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marg\Downloads\DefiLlama Excel Models\"/>
    </mc:Choice>
  </mc:AlternateContent>
  <xr:revisionPtr revIDLastSave="0" documentId="13_ncr:1_{2DA7CC48-B850-4944-ABC6-14EA8FDF33CF}" xr6:coauthVersionLast="47" xr6:coauthVersionMax="47" xr10:uidLastSave="{00000000-0000-0000-0000-000000000000}"/>
  <bookViews>
    <workbookView xWindow="435" yWindow="360" windowWidth="27930" windowHeight="16590" xr2:uid="{00000000-000D-0000-FFFF-FFFF00000000}"/>
  </bookViews>
  <sheets>
    <sheet name="Protocol Comparison" sheetId="1" r:id="rId1"/>
    <sheet name="Instructions" sheetId="2" r:id="rId2"/>
    <sheet name="Top Protocols (Live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 a="1"/>
  <c r="B4" i="3" s="1"/>
  <c r="D23" i="1" a="1"/>
  <c r="D23" i="1" s="1"/>
  <c r="E23" i="1" a="1"/>
  <c r="E23" i="1" s="1"/>
  <c r="F23" i="1" a="1"/>
  <c r="F23" i="1" s="1"/>
  <c r="G23" i="1" a="1"/>
  <c r="G23" i="1" s="1"/>
  <c r="H23" i="1" a="1"/>
  <c r="H23" i="1" s="1"/>
  <c r="C23" i="1" a="1"/>
  <c r="C23" i="1" s="1"/>
  <c r="D22" i="1" a="1"/>
  <c r="D22" i="1" s="1"/>
  <c r="E22" i="1" a="1"/>
  <c r="E22" i="1" s="1"/>
  <c r="F22" i="1" a="1"/>
  <c r="F22" i="1" s="1"/>
  <c r="G22" i="1" a="1"/>
  <c r="G22" i="1" s="1"/>
  <c r="H22" i="1" a="1"/>
  <c r="H22" i="1" s="1"/>
  <c r="C22" i="1" a="1"/>
  <c r="C22" i="1" s="1"/>
  <c r="D21" i="1" a="1"/>
  <c r="D21" i="1" s="1"/>
  <c r="E21" i="1" a="1"/>
  <c r="E21" i="1" s="1"/>
  <c r="F21" i="1" a="1"/>
  <c r="F21" i="1" s="1"/>
  <c r="G21" i="1" a="1"/>
  <c r="G21" i="1" s="1"/>
  <c r="H21" i="1" a="1"/>
  <c r="H21" i="1" s="1"/>
  <c r="C21" i="1" a="1"/>
  <c r="C21" i="1" s="1"/>
  <c r="D18" i="1" a="1"/>
  <c r="D18" i="1" s="1"/>
  <c r="E18" i="1" a="1"/>
  <c r="E18" i="1" s="1"/>
  <c r="F18" i="1" a="1"/>
  <c r="F18" i="1" s="1"/>
  <c r="G18" i="1" a="1"/>
  <c r="G18" i="1" s="1"/>
  <c r="H18" i="1" a="1"/>
  <c r="H18" i="1" s="1"/>
  <c r="C18" i="1" a="1"/>
  <c r="C18" i="1" s="1"/>
  <c r="D17" i="1" a="1"/>
  <c r="D17" i="1" s="1"/>
  <c r="E17" i="1" a="1"/>
  <c r="E17" i="1" s="1"/>
  <c r="F17" i="1" a="1"/>
  <c r="F17" i="1" s="1"/>
  <c r="G17" i="1" a="1"/>
  <c r="G17" i="1" s="1"/>
  <c r="H17" i="1" a="1"/>
  <c r="H17" i="1" s="1"/>
  <c r="C17" i="1" a="1"/>
  <c r="C17" i="1" s="1"/>
  <c r="D16" i="1" a="1"/>
  <c r="D16" i="1" s="1"/>
  <c r="E16" i="1" a="1"/>
  <c r="E16" i="1" s="1"/>
  <c r="F16" i="1" a="1"/>
  <c r="F16" i="1" s="1"/>
  <c r="G16" i="1" a="1"/>
  <c r="G16" i="1" s="1"/>
  <c r="H16" i="1" a="1"/>
  <c r="H16" i="1" s="1"/>
  <c r="C16" i="1" a="1"/>
  <c r="C16" i="1" s="1"/>
  <c r="D15" i="1" a="1"/>
  <c r="D15" i="1" s="1"/>
  <c r="E15" i="1" a="1"/>
  <c r="E15" i="1" s="1"/>
  <c r="F15" i="1" a="1"/>
  <c r="F15" i="1" s="1"/>
  <c r="G15" i="1" a="1"/>
  <c r="G15" i="1" s="1"/>
  <c r="H15" i="1" a="1"/>
  <c r="H15" i="1" s="1"/>
  <c r="C15" i="1" a="1"/>
  <c r="C15" i="1" s="1"/>
  <c r="D14" i="1" a="1"/>
  <c r="D14" i="1" s="1"/>
  <c r="E14" i="1" a="1"/>
  <c r="E14" i="1" s="1"/>
  <c r="F14" i="1" a="1"/>
  <c r="F14" i="1" s="1"/>
  <c r="G14" i="1" a="1"/>
  <c r="G14" i="1" s="1"/>
  <c r="H14" i="1" a="1"/>
  <c r="H14" i="1" s="1"/>
  <c r="C14" i="1" a="1"/>
  <c r="C14" i="1" s="1"/>
  <c r="D13" i="1" a="1"/>
  <c r="D13" i="1" s="1"/>
  <c r="E13" i="1" a="1"/>
  <c r="E13" i="1" s="1"/>
  <c r="F13" i="1" a="1"/>
  <c r="F13" i="1" s="1"/>
  <c r="G13" i="1" a="1"/>
  <c r="G13" i="1" s="1"/>
  <c r="H13" i="1" a="1"/>
  <c r="H13" i="1" s="1"/>
  <c r="C13" i="1" a="1"/>
  <c r="C13" i="1" s="1"/>
  <c r="D12" i="1" a="1"/>
  <c r="D12" i="1" s="1"/>
  <c r="E12" i="1" a="1"/>
  <c r="E12" i="1" s="1"/>
  <c r="F12" i="1" a="1"/>
  <c r="F12" i="1" s="1"/>
  <c r="G12" i="1" a="1"/>
  <c r="G12" i="1" s="1"/>
  <c r="H12" i="1" a="1"/>
  <c r="H12" i="1" s="1"/>
  <c r="C12" i="1" a="1"/>
  <c r="C12" i="1" s="1"/>
  <c r="E11" i="1" a="1"/>
  <c r="E11" i="1" s="1"/>
  <c r="F11" i="1" a="1"/>
  <c r="F11" i="1" s="1"/>
  <c r="G11" i="1" a="1"/>
  <c r="G11" i="1" s="1"/>
  <c r="H11" i="1" a="1"/>
  <c r="H11" i="1" s="1"/>
  <c r="D11" i="1" a="1"/>
  <c r="D11" i="1" s="1"/>
  <c r="C11" i="1" a="1"/>
  <c r="C11" i="1" s="1"/>
  <c r="H9" i="1"/>
  <c r="G9" i="1"/>
  <c r="F9" i="1"/>
  <c r="E9" i="1"/>
  <c r="D9" i="1"/>
  <c r="C9" i="1"/>
  <c r="C3" i="1"/>
  <c r="F29" i="1" l="1"/>
  <c r="D29" i="1"/>
  <c r="D27" i="1"/>
  <c r="F26" i="1"/>
  <c r="E27" i="1"/>
  <c r="G26" i="1"/>
  <c r="G29" i="1"/>
  <c r="G27" i="1"/>
  <c r="H29" i="1"/>
  <c r="H27" i="1"/>
  <c r="H26" i="1"/>
  <c r="E28" i="1"/>
  <c r="F30" i="1"/>
  <c r="F28" i="1"/>
  <c r="G31" i="1"/>
  <c r="G28" i="1"/>
  <c r="C26" i="1"/>
  <c r="H31" i="1"/>
  <c r="H28" i="1"/>
  <c r="D26" i="1"/>
  <c r="C29" i="1"/>
  <c r="C27" i="1"/>
  <c r="E26" i="1"/>
  <c r="D30" i="1"/>
  <c r="D28" i="1"/>
  <c r="F27" i="1"/>
  <c r="E30" i="1"/>
  <c r="C30" i="1"/>
  <c r="E29" i="1"/>
  <c r="G30" i="1"/>
  <c r="H30" i="1"/>
  <c r="C28" i="1"/>
  <c r="C31" i="1"/>
  <c r="D31" i="1"/>
  <c r="E31" i="1"/>
  <c r="F3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<sst xmlns="http://schemas.openxmlformats.org/spreadsheetml/2006/main" count="132" uniqueCount="130">
  <si>
    <t>DefiLlama Protocol Comparison Table</t>
  </si>
  <si>
    <t>Compare DeFi protocols side-by-side across all key metrics</t>
  </si>
  <si>
    <t>Today's Date:</t>
  </si>
  <si>
    <t>🔧 PROTOCOLS TO COMPARE</t>
  </si>
  <si>
    <t>Enter protocol names (see "Top Protocols (Live)" sheet for current rankings):</t>
  </si>
  <si>
    <t>Protocols:</t>
  </si>
  <si>
    <t>jupiter</t>
  </si>
  <si>
    <t>uniswap</t>
  </si>
  <si>
    <t>meteora</t>
  </si>
  <si>
    <t>aerodrome</t>
  </si>
  <si>
    <t>compound-finance</t>
  </si>
  <si>
    <t>📊 METRICS COMPARISON</t>
  </si>
  <si>
    <t>Metric</t>
  </si>
  <si>
    <t>FUNDAMENTAL METRICS</t>
  </si>
  <si>
    <t>Total Value Locked (TVL)</t>
  </si>
  <si>
    <t>24H Fees</t>
  </si>
  <si>
    <t>7D Fees</t>
  </si>
  <si>
    <t>30D Fees</t>
  </si>
  <si>
    <t>24H Revenue</t>
  </si>
  <si>
    <t>7D Revenue</t>
  </si>
  <si>
    <t>24H Volume</t>
  </si>
  <si>
    <t>Holders Revenue (24H)</t>
  </si>
  <si>
    <t>TOKEN METRICS</t>
  </si>
  <si>
    <t>Token Price</t>
  </si>
  <si>
    <t>Market Cap</t>
  </si>
  <si>
    <t>Fully Diluted Valuation (FDV)</t>
  </si>
  <si>
    <t>VALUATION RATIOS</t>
  </si>
  <si>
    <t>FDV / TVL</t>
  </si>
  <si>
    <t>Market Cap / TVL</t>
  </si>
  <si>
    <t>P/F Ratio (Annual)</t>
  </si>
  <si>
    <t>Fee Yield on TVL (Annual)</t>
  </si>
  <si>
    <t>Revenue / TVL (Annual)</t>
  </si>
  <si>
    <t>Take Rate (Revenue/Fees)</t>
  </si>
  <si>
    <t>Note: "-" indicates data not available. Swap protocol names in row 6 to compare different protocols</t>
  </si>
  <si>
    <t>DefiLlama Protocol Comparison Table - Instructions</t>
  </si>
  <si>
    <t>WHAT IS THIS?</t>
  </si>
  <si>
    <t>The 'Top Protocols (Live)' sheet shows ALL protocols tracked by DefiLlama, automatically sorted by TVL.</t>
  </si>
  <si>
    <t>This data updates in real-time, so you always see current rankings.</t>
  </si>
  <si>
    <t>How to use it:</t>
  </si>
  <si>
    <t>1. Open the 'Top Protocols (Live)' sheet (first tab)</t>
  </si>
  <si>
    <t>2. Browse or search for protocols by category (column C)</t>
  </si>
  <si>
    <t>3. Enter protocol names from column B into Row 6 of the main comparison sheet</t>
  </si>
  <si>
    <t>This template allows you to compare up to 6 DeFi protocols side-by-side across all key metrics.</t>
  </si>
  <si>
    <t>Compare lending protocols, DEXes, liquid staking, derivatives, and more using live DefiLlama data.</t>
  </si>
  <si>
    <t>HOW TO USE:</t>
  </si>
  <si>
    <t>FINDING PROTOCOL NAMES:</t>
  </si>
  <si>
    <t>• Visit defillama.com/protocols</t>
  </si>
  <si>
    <t>• Search for your protocol</t>
  </si>
  <si>
    <t>• The URL slug is the protocol name (e.g., defillama.com/protocol/aave → use 'aave')</t>
  </si>
  <si>
    <t>• Common format: lowercase with hyphens (e.g., 'compound-finance', 'rocket-pool')</t>
  </si>
  <si>
    <t>UNDERSTANDING THE METRICS:</t>
  </si>
  <si>
    <t>Fundamental Metrics:</t>
  </si>
  <si>
    <t>• TVL - Total Value Locked in the protocol (higher = more capital deployed)</t>
  </si>
  <si>
    <t>• 24H/7D/30D Fees - Fees generated by the protocol (shows activity/demand)</t>
  </si>
  <si>
    <t>• 24H/7D Revenue - Protocol revenue (portion of fees kept by protocol)</t>
  </si>
  <si>
    <t>• 24H Volume - Trading volume for DEXes</t>
  </si>
  <si>
    <t>• Holders Revenue - Revenue distributed to token holders</t>
  </si>
  <si>
    <t>Token Metrics:</t>
  </si>
  <si>
    <t>• Token Price - Current market price of the protocol token</t>
  </si>
  <si>
    <t>• Market Cap - Total market value of circulating tokens</t>
  </si>
  <si>
    <t>• FDV - Fully Diluted Valuation (if all tokens were in circulation)</t>
  </si>
  <si>
    <t>Valuation Ratios:</t>
  </si>
  <si>
    <t>• FDV/TVL - Valuation efficiency. Lower is better. &lt;1.0 is excellent, &gt;5.0 may be overvalued</t>
  </si>
  <si>
    <t>• Market Cap/TVL - Similar to FDV/TVL but uses circulating market cap</t>
  </si>
  <si>
    <t>• P/F Ratio - Price to Fees ratio. Like P/E ratio for stocks. Lower = better value</t>
  </si>
  <si>
    <t>• Fee Yield on TVL - Annual fees as % of TVL. Shows how productive the capital is</t>
  </si>
  <si>
    <t>• Revenue/TVL - Annual revenue as % of TVL. Shows protocol profitability</t>
  </si>
  <si>
    <t>• Take Rate - What % of fees the protocol keeps</t>
  </si>
  <si>
    <t>EXAMPLE COMPARISONS:</t>
  </si>
  <si>
    <t>Example 1: Aave vs Compound (Lending)</t>
  </si>
  <si>
    <t>Question: Which lending protocol is better value?</t>
  </si>
  <si>
    <t>Look at:</t>
  </si>
  <si>
    <t xml:space="preserve">  • TVL: Which has more capital? (Safety indicator)</t>
  </si>
  <si>
    <t xml:space="preserve">  • 24H Fees: Which generates more activity?</t>
  </si>
  <si>
    <t xml:space="preserve">  • FDV/TVL: Which is more efficiently valued?</t>
  </si>
  <si>
    <t xml:space="preserve">  • Fee Yield on TVL: Which is more productive?</t>
  </si>
  <si>
    <t>Decision: Lower FDV/TVL + higher fees = better potential investment</t>
  </si>
  <si>
    <t>Example 2: Uniswap vs Curve (DEX)</t>
  </si>
  <si>
    <t>Question: Which DEX should I provide liquidity to?</t>
  </si>
  <si>
    <t xml:space="preserve">  • 24H Volume: More volume = more fees for LPs</t>
  </si>
  <si>
    <t xml:space="preserve">  • 24H Fees: Total fees generated</t>
  </si>
  <si>
    <t xml:space="preserve">  • Take Rate: What % do LPs actually receive?</t>
  </si>
  <si>
    <t xml:space="preserve">  • TVL: How much competition for fees?</t>
  </si>
  <si>
    <t>Decision: Higher volume + lower take rate = better for LPs</t>
  </si>
  <si>
    <t>Example 3: Lido vs Rocket Pool (Liquid Staking)</t>
  </si>
  <si>
    <t>Question: Which has better tokenomics?</t>
  </si>
  <si>
    <t xml:space="preserve">  • TVL: Market share of staked ETH</t>
  </si>
  <si>
    <t xml:space="preserve">  • Revenue: Protocol earnings from staking</t>
  </si>
  <si>
    <t xml:space="preserve">  • FDV/TVL: Which token is more efficiently valued?</t>
  </si>
  <si>
    <t xml:space="preserve">  • Take Rate: Protocol fee structure</t>
  </si>
  <si>
    <t>Decision: Growing TVL + sustainable revenue + low FDV/TVL = potential investment</t>
  </si>
  <si>
    <t>INTERPRETATION GUIDE:</t>
  </si>
  <si>
    <t>Good Signs:</t>
  </si>
  <si>
    <t>✅ FDV/TVL &lt; 1.0 (protocol valued less than TVL)</t>
  </si>
  <si>
    <t>✅ Growing TVL over time</t>
  </si>
  <si>
    <t>✅ High fee generation relative to TVL, fee growth</t>
  </si>
  <si>
    <t>✅ Consistent revenue, revenue growth</t>
  </si>
  <si>
    <t>✅ Low P/F ratio compared to competitors</t>
  </si>
  <si>
    <t>Warning Signs:</t>
  </si>
  <si>
    <t>⚠️ Declining TVL</t>
  </si>
  <si>
    <t>⚠️ Very low or no fee generation</t>
  </si>
  <si>
    <t>⚠️ High P/F ratio (&gt;1000)</t>
  </si>
  <si>
    <t>⚠️ Large gap between FDV and Market Cap (token unlock risk)</t>
  </si>
  <si>
    <t>TIPS FOR BEST RESULTS:</t>
  </si>
  <si>
    <t>1. Compare protocols in the same category (lending vs lending, not lending vs DEX)</t>
  </si>
  <si>
    <t>2. Look at multiple metrics, not just one</t>
  </si>
  <si>
    <t>3. Check both absolute values (TVL, fees) and ratios (FDV/TVL, P/F)</t>
  </si>
  <si>
    <t>4. Consider protocol maturity (newer protocols may have different metrics)</t>
  </si>
  <si>
    <t>5. Use the 'Category Templates' sheet for quick comparisons</t>
  </si>
  <si>
    <t>6. Data updates automatically, but refresh if needed</t>
  </si>
  <si>
    <t>COMMON QUESTIONS:</t>
  </si>
  <si>
    <t>Q: Why do some cells show '-'?</t>
  </si>
  <si>
    <t>A: Data not available for that protocol. Not all protocols report all metrics.</t>
  </si>
  <si>
    <t>Q: Can I compare protocols from different categories?</t>
  </si>
  <si>
    <t>A: Yes, but results may not be meaningful. Lending protocols and DEXes have different business models.</t>
  </si>
  <si>
    <t>Q: How often does data update?</t>
  </si>
  <si>
    <t>A: DefiLlama data updates continuously. Your sheet pulls latest data when formulas recalculate.</t>
  </si>
  <si>
    <t>Q: What if I can't find a protocol name?</t>
  </si>
  <si>
    <t>A: Check defillama.com/protocols and use the exact URL slug. Try lowercase with hyphens.</t>
  </si>
  <si>
    <t>Q: Can I add more than 6 protocols?</t>
  </si>
  <si>
    <t>A: Yes! Copy column H and paste to column I, J, etc. Formulas will adjust automatically.</t>
  </si>
  <si>
    <t>IMPORTANT DISCLAIMERS:</t>
  </si>
  <si>
    <t>• This tool is for research and analysis only, not financial advice</t>
  </si>
  <si>
    <t>• Always verify data independently before making investment decisions</t>
  </si>
  <si>
    <t>• Past performance does not guarantee future results</t>
  </si>
  <si>
    <t>• DeFi protocols carry smart contract and other risks</t>
  </si>
  <si>
    <t>• Some metrics may not be reported accurately by all protocols</t>
  </si>
  <si>
    <t>Top Protocols by TVL (Live Data)</t>
  </si>
  <si>
    <t>Auto-updating list of all protocols sorted by TVL. Copy protocol names from column B to use in comparisons.</t>
  </si>
  <si>
    <t>fluid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</si>
</sst>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&quot;-&quot;mm&quot;-&quot;dd"/>
    <numFmt numFmtId="165" formatCode="[&gt;=1000000000]\$#,##0.0,,,&quot;B&quot;;\$#,##0.0,,&quot;M&quot;"/>
    <numFmt numFmtId="166" formatCode="&quot;$&quot;#,##0"/>
    <numFmt numFmtId="167" formatCode="\$#,##0.00"/>
    <numFmt numFmtId="168" formatCode="0.0"/>
  </numFmts>
  <fonts count="2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FFFF"/>
      <name val="Calibri"/>
    </font>
    <font>
      <i/>
      <sz val="10"/>
      <color theme="1"/>
      <name val="Calibri"/>
    </font>
    <font>
      <b/>
      <sz val="10"/>
      <color theme="1"/>
      <name val="Calibri"/>
    </font>
    <font>
      <i/>
      <sz val="9"/>
      <color rgb="FF0066CC"/>
      <name val="Calibri"/>
    </font>
    <font>
      <sz val="11"/>
      <color rgb="FF0000FF"/>
      <name val="Calibri"/>
    </font>
    <font>
      <b/>
      <sz val="10"/>
      <color rgb="FF000000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rgb="FF1A7F37"/>
      <name val="Calibri"/>
    </font>
    <font>
      <i/>
      <sz val="9"/>
      <color rgb="FF666666"/>
      <name val="Calibri"/>
    </font>
    <font>
      <b/>
      <sz val="14"/>
      <color rgb="FF1F4E78"/>
      <name val="Calibri"/>
      <scheme val="minor"/>
    </font>
    <font>
      <sz val="11"/>
      <color theme="1"/>
      <name val="Calibri"/>
    </font>
    <font>
      <b/>
      <sz val="12"/>
      <color theme="1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  <scheme val="minor"/>
    </font>
    <font>
      <b/>
      <sz val="11"/>
      <color theme="1"/>
      <name val="Calibri"/>
      <scheme val="minor"/>
    </font>
    <font>
      <b/>
      <sz val="14"/>
      <color rgb="FFFFFFFF"/>
      <name val="Calibri"/>
      <scheme val="minor"/>
    </font>
    <font>
      <sz val="11"/>
      <name val="Calibri"/>
    </font>
    <font>
      <i/>
      <sz val="9"/>
      <color theme="1"/>
      <name val="Calibri"/>
      <scheme val="minor"/>
    </font>
    <font>
      <b/>
      <sz val="10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164" fontId="1" fillId="0" borderId="0" xfId="0" applyNumberFormat="1" applyFont="1"/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" fillId="3" borderId="0" xfId="0" applyFont="1" applyFill="1"/>
    <xf numFmtId="0" fontId="7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9" fillId="0" borderId="0" xfId="0" applyNumberFormat="1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2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21" fillId="6" borderId="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0" fillId="0" borderId="0" xfId="0"/>
    <xf numFmtId="0" fontId="11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3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2" xfId="0" applyFont="1" applyBorder="1"/>
    <xf numFmtId="0" fontId="19" fillId="0" borderId="3" xfId="0" applyFont="1" applyBorder="1"/>
    <xf numFmtId="0" fontId="20" fillId="0" borderId="0" xfId="0" applyFont="1" applyAlignment="1">
      <alignment horizontal="center" wrapText="1"/>
    </xf>
  </cellXfs>
  <cellStyles count="1">
    <cellStyle name="Normal" xfId="0" builtinId="0"/>
  </cellStyles>
  <dxfs count="2">
    <dxf>
      <font>
        <color rgb="FFE06666"/>
      </font>
      <fill>
        <patternFill patternType="none"/>
      </fill>
    </dxf>
    <dxf>
      <font>
        <color rgb="FF1A7F37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6C9BF7-6C82-48A6-9F5F-7BCDAB537ADC}">
  <we:reference id="wa200009711" version="1.0.0.0" store="en-US" storeType="OMEX"/>
  <we:alternateReferences>
    <we:reference id="WA20000971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_xldudf_DEFILLAMA</we:customFunctionIds>
        <we:customFunctionIds>_xldudf_DEFILLAMA_INFO</we:customFunctionIds>
        <we:customFunctionIds>_xldudf_DEFILLAMA_METRICS</we:customFunctionIds>
        <we:customFunctionIds>_xldudf_DEFILLAMA_CHAINS</we:customFunctionIds>
        <we:customFunctionIds>_xldudf_DEFILLAMA_PROTOCOLS</we:customFunctionIds>
        <we:customFunctionIds>_xldudf_DEFILLAMA_HISTORICAL</we:customFunctionIds>
        <we:customFunctionIds>_xldudf_DEFILLAMA_YIELD</we:customFunctionIds>
        <we:customFunctionIds>_xldudf_DEFILLAMA_YIELD_POOL</we:customFunctionIds>
        <we:customFunctionIds>_xldudf_DEFILLAMA_YIELD_TOP_POOLS</we:customFunctionIds>
        <we:customFunctionIds>_xldudf_DEFILLAMA_YIELD_CHAINS</we:customFunctionIds>
        <we:customFunctionIds>_xldudf_DEFILLAMA_YIELD_PROJECTS</we:customFunctionIds>
        <we:customFunctionIds>_xldudf_DEFILLAMA_STABLECOINS</we:customFunctionIds>
        <we:customFunctionIds>_xldudf_DEFILLAMA_STABLECOIN_MCAP</we:customFunctionIds>
        <we:customFunctionIds>_xldudf_DEFILLAMA_STABLECOIN_HISTORY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showGridLines="0" tabSelected="1" workbookViewId="0">
      <pane ySplit="9" topLeftCell="A10" activePane="bottomLeft" state="frozen"/>
      <selection pane="bottomLeft"/>
    </sheetView>
  </sheetViews>
  <sheetFormatPr defaultColWidth="14.42578125" defaultRowHeight="15" customHeight="1" x14ac:dyDescent="0.25"/>
  <cols>
    <col min="1" max="1" width="5" customWidth="1"/>
    <col min="2" max="2" width="25" customWidth="1"/>
    <col min="3" max="7" width="16" customWidth="1"/>
    <col min="8" max="8" width="17.28515625" customWidth="1"/>
    <col min="9" max="26" width="8.7109375" customWidth="1"/>
  </cols>
  <sheetData>
    <row r="1" spans="1:26" ht="24.75" customHeight="1" x14ac:dyDescent="0.25">
      <c r="A1" s="1"/>
      <c r="B1" s="25" t="s">
        <v>0</v>
      </c>
      <c r="C1" s="23"/>
      <c r="D1" s="23"/>
      <c r="E1" s="23"/>
      <c r="F1" s="23"/>
      <c r="G1" s="23"/>
      <c r="H1" s="2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26" t="s">
        <v>1</v>
      </c>
      <c r="C2" s="23"/>
      <c r="D2" s="23"/>
      <c r="E2" s="23"/>
      <c r="F2" s="23"/>
      <c r="G2" s="23"/>
      <c r="H2" s="2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2" t="s">
        <v>2</v>
      </c>
      <c r="C3" s="3">
        <f ca="1">TODAY()</f>
        <v>46030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"/>
      <c r="B4" s="27" t="s">
        <v>3</v>
      </c>
      <c r="C4" s="23"/>
      <c r="D4" s="23"/>
      <c r="E4" s="23"/>
      <c r="F4" s="23"/>
      <c r="G4" s="23"/>
      <c r="H4" s="2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28" t="s">
        <v>4</v>
      </c>
      <c r="C5" s="23"/>
      <c r="D5" s="23"/>
      <c r="E5" s="23"/>
      <c r="F5" s="23"/>
      <c r="G5" s="23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5">
      <c r="A6" s="1"/>
      <c r="B6" s="4" t="s">
        <v>5</v>
      </c>
      <c r="C6" s="5" t="s">
        <v>129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 x14ac:dyDescent="0.25">
      <c r="A8" s="1"/>
      <c r="B8" s="29" t="s">
        <v>11</v>
      </c>
      <c r="C8" s="23"/>
      <c r="D8" s="23"/>
      <c r="E8" s="23"/>
      <c r="F8" s="23"/>
      <c r="G8" s="23"/>
      <c r="H8" s="2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25">
      <c r="A9" s="1"/>
      <c r="B9" s="7" t="s">
        <v>12</v>
      </c>
      <c r="C9" s="7" t="str">
        <f t="shared" ref="C9:H9" si="0">PROPER(C6)</f>
        <v>Fluid</v>
      </c>
      <c r="D9" s="7" t="str">
        <f t="shared" si="0"/>
        <v>Jupiter</v>
      </c>
      <c r="E9" s="7" t="str">
        <f t="shared" si="0"/>
        <v>Uniswap</v>
      </c>
      <c r="F9" s="7" t="str">
        <f t="shared" si="0"/>
        <v>Meteora</v>
      </c>
      <c r="G9" s="7" t="str">
        <f t="shared" si="0"/>
        <v>Aerodrome</v>
      </c>
      <c r="H9" s="7" t="str">
        <f t="shared" si="0"/>
        <v>Compound-Finance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9.5" customHeight="1" x14ac:dyDescent="0.25">
      <c r="A10" s="1"/>
      <c r="B10" s="22" t="s">
        <v>13</v>
      </c>
      <c r="C10" s="23"/>
      <c r="D10" s="23"/>
      <c r="E10" s="23"/>
      <c r="F10" s="23"/>
      <c r="G10" s="23"/>
      <c r="H10" s="2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/>
      <c r="B11" s="8" t="s">
        <v>14</v>
      </c>
      <c r="C11" s="9" t="str" cm="1">
        <f t="array" ref="C11">IFERROR(_xldudf_DEFILLAMA("tvl",C6),"-")</f>
        <v>N/A</v>
      </c>
      <c r="D11" s="9" t="str" cm="1">
        <f t="array" ref="D11">IFERROR(_xldudf_DEFILLAMA("tvl",D6),"-")</f>
        <v>N/A</v>
      </c>
      <c r="E11" s="9" cm="1">
        <f t="array" ref="E11">IFERROR(_xldudf_DEFILLAMA("tvl",E6),"-")</f>
        <v>4190982210.8184023</v>
      </c>
      <c r="F11" s="9" t="str" cm="1">
        <f t="array" ref="F11">IFERROR(_xldudf_DEFILLAMA("tvl",F6),"-")</f>
        <v>N/A</v>
      </c>
      <c r="G11" s="9" cm="1">
        <f t="array" ref="G11">IFERROR(_xldudf_DEFILLAMA("tvl",G6),"-")</f>
        <v>454289907.29077166</v>
      </c>
      <c r="H11" s="9" cm="1">
        <f t="array" ref="H11">IFERROR(_xldudf_DEFILLAMA("tvl",H6),"-")</f>
        <v>1934463952.481355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8" t="s">
        <v>15</v>
      </c>
      <c r="C12" s="10" cm="1">
        <f t="array" ref="C12">IFERROR(_xldudf_DEFILLAMA("fees",C6,"24h"),"-")</f>
        <v>199075</v>
      </c>
      <c r="D12" s="10" cm="1">
        <f t="array" ref="D12">IFERROR(_xldudf_DEFILLAMA("fees",D6,"24h"),"-")</f>
        <v>2119200</v>
      </c>
      <c r="E12" s="10" cm="1">
        <f t="array" ref="E12">IFERROR(_xldudf_DEFILLAMA("fees",E6,"24h"),"-")</f>
        <v>1504711</v>
      </c>
      <c r="F12" s="10" cm="1">
        <f t="array" ref="F12">IFERROR(_xldudf_DEFILLAMA("fees",F6,"24h"),"-")</f>
        <v>5506699</v>
      </c>
      <c r="G12" s="10" cm="1">
        <f t="array" ref="G12">IFERROR(_xldudf_DEFILLAMA("fees",G6,"24h"),"-")</f>
        <v>227375</v>
      </c>
      <c r="H12" s="10" cm="1">
        <f t="array" ref="H12">IFERROR(_xldudf_DEFILLAMA("fees",H6,"24h"),"-")</f>
        <v>95737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8" t="s">
        <v>16</v>
      </c>
      <c r="C13" s="10" cm="1">
        <f t="array" ref="C13">IFERROR(_xldudf_DEFILLAMA("fees",C6,"7d"),"-")</f>
        <v>1254502</v>
      </c>
      <c r="D13" s="10" cm="1">
        <f t="array" ref="D13">IFERROR(_xldudf_DEFILLAMA("fees",D6,"7d"),"-")</f>
        <v>10779037</v>
      </c>
      <c r="E13" s="10" cm="1">
        <f t="array" ref="E13">IFERROR(_xldudf_DEFILLAMA("fees",E6,"7d"),"-")</f>
        <v>9308064</v>
      </c>
      <c r="F13" s="10" cm="1">
        <f t="array" ref="F13">IFERROR(_xldudf_DEFILLAMA("fees",F6,"7d"),"-")</f>
        <v>32243731</v>
      </c>
      <c r="G13" s="10" cm="1">
        <f t="array" ref="G13">IFERROR(_xldudf_DEFILLAMA("fees",G6,"7d"),"-")</f>
        <v>1604472</v>
      </c>
      <c r="H13" s="10" cm="1">
        <f t="array" ref="H13">IFERROR(_xldudf_DEFILLAMA("fees",H6,"7d"),"-")</f>
        <v>874697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8" t="s">
        <v>17</v>
      </c>
      <c r="C14" s="10" cm="1">
        <f t="array" ref="C14">IFERROR(_xldudf_DEFILLAMA("fees",C6,"30d"),"-")</f>
        <v>6211772</v>
      </c>
      <c r="D14" s="10" cm="1">
        <f t="array" ref="D14">IFERROR(_xldudf_DEFILLAMA("fees",D6,"30d"),"-")</f>
        <v>44339391</v>
      </c>
      <c r="E14" s="10" cm="1">
        <f t="array" ref="E14">IFERROR(_xldudf_DEFILLAMA("fees",E6,"30d"),"-")</f>
        <v>41850156</v>
      </c>
      <c r="F14" s="10" cm="1">
        <f t="array" ref="F14">IFERROR(_xldudf_DEFILLAMA("fees",F6,"30d"),"-")</f>
        <v>72257244</v>
      </c>
      <c r="G14" s="10" cm="1">
        <f t="array" ref="G14">IFERROR(_xldudf_DEFILLAMA("fees",G6,"30d"),"-")</f>
        <v>6237936</v>
      </c>
      <c r="H14" s="10" cm="1">
        <f t="array" ref="H14">IFERROR(_xldudf_DEFILLAMA("fees",H6,"30d"),"-")</f>
        <v>3725118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8" t="s">
        <v>18</v>
      </c>
      <c r="C15" s="10" cm="1">
        <f t="array" ref="C15">IFERROR(_xldudf_DEFILLAMA("revenue",C6,"24h"),"-")</f>
        <v>53937</v>
      </c>
      <c r="D15" s="10" cm="1">
        <f t="array" ref="D15">IFERROR(_xldudf_DEFILLAMA("revenue",D6,"24h"),"-")</f>
        <v>475874</v>
      </c>
      <c r="E15" s="10" cm="1">
        <f t="array" ref="E15">IFERROR(_xldudf_DEFILLAMA("revenue",E6,"24h"),"-")</f>
        <v>58480</v>
      </c>
      <c r="F15" s="10" cm="1">
        <f t="array" ref="F15">IFERROR(_xldudf_DEFILLAMA("revenue",F6,"24h"),"-")</f>
        <v>968960</v>
      </c>
      <c r="G15" s="10" cm="1">
        <f t="array" ref="G15">IFERROR(_xldudf_DEFILLAMA("revenue",G6,"24h"),"-")</f>
        <v>227375</v>
      </c>
      <c r="H15" s="10" cm="1">
        <f t="array" ref="H15">IFERROR(_xldudf_DEFILLAMA("revenue",H6,"24h"),"-")</f>
        <v>12012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8" t="s">
        <v>19</v>
      </c>
      <c r="C16" s="10" cm="1">
        <f t="array" ref="C16">IFERROR(_xldudf_DEFILLAMA("revenue",C6,"7d"),"-")</f>
        <v>246181</v>
      </c>
      <c r="D16" s="10" cm="1">
        <f t="array" ref="D16">IFERROR(_xldudf_DEFILLAMA("revenue",D6,"7d"),"-")</f>
        <v>2465588</v>
      </c>
      <c r="E16" s="10" cm="1">
        <f t="array" ref="E16">IFERROR(_xldudf_DEFILLAMA("revenue",E6,"7d"),"-")</f>
        <v>372708</v>
      </c>
      <c r="F16" s="10" cm="1">
        <f t="array" ref="F16">IFERROR(_xldudf_DEFILLAMA("revenue",F6,"7d"),"-")</f>
        <v>5460158</v>
      </c>
      <c r="G16" s="10" cm="1">
        <f t="array" ref="G16">IFERROR(_xldudf_DEFILLAMA("revenue",G6,"7d"),"-")</f>
        <v>1604472</v>
      </c>
      <c r="H16" s="10" cm="1">
        <f t="array" ref="H16">IFERROR(_xldudf_DEFILLAMA("revenue",H6,"7d"),"-")</f>
        <v>267813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8" t="s">
        <v>20</v>
      </c>
      <c r="C17" s="10" cm="1">
        <f t="array" ref="C17">IFERROR(_xldudf_DEFILLAMA("volume",C6,"24h"),"-")</f>
        <v>544717837</v>
      </c>
      <c r="D17" s="10" cm="1">
        <f t="array" ref="D17">IFERROR(_xldudf_DEFILLAMA("volume",D6,"24h"),"-")</f>
        <v>43824</v>
      </c>
      <c r="E17" s="10" cm="1">
        <f t="array" ref="E17">IFERROR(_xldudf_DEFILLAMA("volume",E6,"24h"),"-")</f>
        <v>1948632743</v>
      </c>
      <c r="F17" s="10" cm="1">
        <f t="array" ref="F17">IFERROR(_xldudf_DEFILLAMA("volume",F6,"24h"),"-")</f>
        <v>2041132870</v>
      </c>
      <c r="G17" s="10" cm="1">
        <f t="array" ref="G17">IFERROR(_xldudf_DEFILLAMA("volume",G6,"24h"),"-")</f>
        <v>433500963</v>
      </c>
      <c r="H17" s="10" t="str" cm="1">
        <f t="array" ref="H17">IFERROR(_xldudf_DEFILLAMA("volume",H6,"24h"),"-")</f>
        <v>N/A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8" t="s">
        <v>21</v>
      </c>
      <c r="C18" s="10" cm="1">
        <f t="array" ref="C18">IFERROR(_xldudf_DEFILLAMA("holders-revenue",C6,"24h"),"-")</f>
        <v>99181</v>
      </c>
      <c r="D18" s="10" cm="1">
        <f t="array" ref="D18">IFERROR(_xldudf_DEFILLAMA("holders-revenue",D6,"24h"),"-")</f>
        <v>391653</v>
      </c>
      <c r="E18" s="10" cm="1">
        <f t="array" ref="E18">IFERROR(_xldudf_DEFILLAMA("holders-revenue",E6,"24h"),"-")</f>
        <v>58480</v>
      </c>
      <c r="F18" s="10" t="str" cm="1">
        <f t="array" ref="F18">IFERROR(_xldudf_DEFILLAMA("holders-revenue",F6,"24h"),"-")</f>
        <v>N/A</v>
      </c>
      <c r="G18" s="10" cm="1">
        <f t="array" ref="G18">IFERROR(_xldudf_DEFILLAMA("holders-revenue",G6,"24h"),"-")</f>
        <v>227375</v>
      </c>
      <c r="H18" s="10" t="str" cm="1">
        <f t="array" ref="H18">IFERROR(_xldudf_DEFILLAMA("holders-revenue",H6,"24h"),"-")</f>
        <v>N/A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1"/>
      <c r="B20" s="22" t="s">
        <v>22</v>
      </c>
      <c r="C20" s="23"/>
      <c r="D20" s="23"/>
      <c r="E20" s="23"/>
      <c r="F20" s="23"/>
      <c r="G20" s="23"/>
      <c r="H20" s="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8" t="s">
        <v>23</v>
      </c>
      <c r="C21" s="11" cm="1">
        <f t="array" ref="C21">IFERROR(_xldudf_DEFILLAMA("price",C6),"-")</f>
        <v>3.08</v>
      </c>
      <c r="D21" s="11" cm="1">
        <f t="array" ref="D21">IFERROR(_xldudf_DEFILLAMA("price",D6),"-")</f>
        <v>0.208347</v>
      </c>
      <c r="E21" s="11" cm="1">
        <f t="array" ref="E21">IFERROR(_xldudf_DEFILLAMA("price",E6),"-")</f>
        <v>5.47</v>
      </c>
      <c r="F21" s="11" cm="1">
        <f t="array" ref="F21">IFERROR(_xldudf_DEFILLAMA("price",F6),"-")</f>
        <v>0.26080799999999998</v>
      </c>
      <c r="G21" s="11" cm="1">
        <f t="array" ref="G21">IFERROR(_xldudf_DEFILLAMA("price",G6),"-")</f>
        <v>0.53542900000000004</v>
      </c>
      <c r="H21" s="11" cm="1">
        <f t="array" ref="H21">IFERROR(_xldudf_DEFILLAMA("price",H6),"-")</f>
        <v>26.8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8" t="s">
        <v>24</v>
      </c>
      <c r="C22" s="9" cm="1">
        <f t="array" ref="C22">IFERROR(_xldudf_DEFILLAMA("mcap",C6),"-")</f>
        <v>237220571</v>
      </c>
      <c r="D22" s="9" cm="1">
        <f t="array" ref="D22">IFERROR(_xldudf_DEFILLAMA("mcap",D6),"-")</f>
        <v>664714796</v>
      </c>
      <c r="E22" s="9" cm="1">
        <f t="array" ref="E22">IFERROR(_xldudf_DEFILLAMA("mcap",E6),"-")</f>
        <v>3469432766</v>
      </c>
      <c r="F22" s="9" cm="1">
        <f t="array" ref="F22">IFERROR(_xldudf_DEFILLAMA("mcap",F6),"-")</f>
        <v>128177337</v>
      </c>
      <c r="G22" s="9" cm="1">
        <f t="array" ref="G22">IFERROR(_xldudf_DEFILLAMA("mcap",G6),"-")</f>
        <v>487843910</v>
      </c>
      <c r="H22" s="9" cm="1">
        <f t="array" ref="H22">IFERROR(_xldudf_DEFILLAMA("mcap",H6),"-")</f>
        <v>259048871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8" t="s">
        <v>25</v>
      </c>
      <c r="C23" s="9" cm="1">
        <f t="array" ref="C23">IFERROR(_xldudf_DEFILLAMA("fdv",C6),"-")</f>
        <v>307948510</v>
      </c>
      <c r="D23" s="9" cm="1">
        <f t="array" ref="D23">IFERROR(_xldudf_DEFILLAMA("fdv",D6),"-")</f>
        <v>1430091488</v>
      </c>
      <c r="E23" s="9" cm="1">
        <f t="array" ref="E23">IFERROR(_xldudf_DEFILLAMA("fdv",E6),"-")</f>
        <v>4918340686</v>
      </c>
      <c r="F23" s="9" cm="1">
        <f t="array" ref="F23">IFERROR(_xldudf_DEFILLAMA("fdv",F6),"-")</f>
        <v>259837922</v>
      </c>
      <c r="G23" s="9" cm="1">
        <f t="array" ref="G23">IFERROR(_xldudf_DEFILLAMA("fdv",G6),"-")</f>
        <v>973812814</v>
      </c>
      <c r="H23" s="9" cm="1">
        <f t="array" ref="H23">IFERROR(_xldudf_DEFILLAMA("fdv",H6),"-")</f>
        <v>267939387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1"/>
      <c r="B25" s="22" t="s">
        <v>26</v>
      </c>
      <c r="C25" s="23"/>
      <c r="D25" s="23"/>
      <c r="E25" s="23"/>
      <c r="F25" s="23"/>
      <c r="G25" s="23"/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8" t="s">
        <v>27</v>
      </c>
      <c r="C26" s="12" t="str">
        <f t="shared" ref="C26:H26" si="1">IFERROR(C23/C11,"-")</f>
        <v>-</v>
      </c>
      <c r="D26" s="12" t="str">
        <f t="shared" si="1"/>
        <v>-</v>
      </c>
      <c r="E26" s="12">
        <f t="shared" si="1"/>
        <v>1.1735532241831113</v>
      </c>
      <c r="F26" s="12" t="str">
        <f t="shared" si="1"/>
        <v>-</v>
      </c>
      <c r="G26" s="12">
        <f t="shared" si="1"/>
        <v>2.1435933274579746</v>
      </c>
      <c r="H26" s="12">
        <f t="shared" si="1"/>
        <v>0.13850833801080226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8" t="s">
        <v>28</v>
      </c>
      <c r="C27" s="12" t="str">
        <f t="shared" ref="C27:H27" si="2">IFERROR(C22/C11,"-")</f>
        <v>-</v>
      </c>
      <c r="D27" s="12" t="str">
        <f t="shared" si="2"/>
        <v>-</v>
      </c>
      <c r="E27" s="12">
        <f t="shared" si="2"/>
        <v>0.82783285432330667</v>
      </c>
      <c r="F27" s="12" t="str">
        <f t="shared" si="2"/>
        <v>-</v>
      </c>
      <c r="G27" s="12">
        <f t="shared" si="2"/>
        <v>1.073860330530636</v>
      </c>
      <c r="H27" s="12">
        <f t="shared" si="2"/>
        <v>0.13391248292205993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8" t="s">
        <v>29</v>
      </c>
      <c r="C28" s="13">
        <f t="shared" ref="C28:H28" si="3">IFERROR(C21/(C12*365),"-")</f>
        <v>4.2387824510277846E-8</v>
      </c>
      <c r="D28" s="12">
        <f t="shared" si="3"/>
        <v>2.6935338742456444E-10</v>
      </c>
      <c r="E28" s="12">
        <f t="shared" si="3"/>
        <v>9.9595878343834881E-9</v>
      </c>
      <c r="F28" s="12">
        <f t="shared" si="3"/>
        <v>1.2975876577844996E-10</v>
      </c>
      <c r="G28" s="12">
        <f t="shared" si="3"/>
        <v>6.4515833628291933E-9</v>
      </c>
      <c r="H28" s="12">
        <f t="shared" si="3"/>
        <v>7.669412822027699E-7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8" t="s">
        <v>30</v>
      </c>
      <c r="C29" s="14" t="str">
        <f t="shared" ref="C29:H29" si="4">IFERROR((C12*365)/C11,"-")</f>
        <v>-</v>
      </c>
      <c r="D29" s="14" t="str">
        <f t="shared" si="4"/>
        <v>-</v>
      </c>
      <c r="E29" s="14">
        <f t="shared" si="4"/>
        <v>0.13104792322483996</v>
      </c>
      <c r="F29" s="14" t="str">
        <f t="shared" si="4"/>
        <v>-</v>
      </c>
      <c r="G29" s="14">
        <f t="shared" si="4"/>
        <v>0.18268483113555156</v>
      </c>
      <c r="H29" s="14">
        <f t="shared" si="4"/>
        <v>1.8063921509200002E-2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8" t="s">
        <v>31</v>
      </c>
      <c r="C30" s="14" t="str">
        <f t="shared" ref="C30:H30" si="5">IFERROR((C15*365)/C11,"-")</f>
        <v>-</v>
      </c>
      <c r="D30" s="14" t="str">
        <f t="shared" si="5"/>
        <v>-</v>
      </c>
      <c r="E30" s="14">
        <f t="shared" si="5"/>
        <v>5.0931258894157351E-3</v>
      </c>
      <c r="F30" s="14" t="str">
        <f t="shared" si="5"/>
        <v>-</v>
      </c>
      <c r="G30" s="14">
        <f t="shared" si="5"/>
        <v>0.18268483113555156</v>
      </c>
      <c r="H30" s="14">
        <f t="shared" si="5"/>
        <v>2.2664573275589421E-3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8" t="s">
        <v>32</v>
      </c>
      <c r="C31" s="14">
        <f t="shared" ref="C31:H31" si="6">IFERROR(C15/C12,"-")</f>
        <v>0.27093808866005276</v>
      </c>
      <c r="D31" s="14">
        <f t="shared" si="6"/>
        <v>0.22455360513401285</v>
      </c>
      <c r="E31" s="14">
        <f t="shared" si="6"/>
        <v>3.8864605894420923E-2</v>
      </c>
      <c r="F31" s="14">
        <f t="shared" si="6"/>
        <v>0.1759602258994</v>
      </c>
      <c r="G31" s="14">
        <f t="shared" si="6"/>
        <v>1</v>
      </c>
      <c r="H31" s="14">
        <f t="shared" si="6"/>
        <v>0.12546873204717091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0" customHeight="1" x14ac:dyDescent="0.25">
      <c r="A33" s="1"/>
      <c r="B33" s="24" t="s">
        <v>33</v>
      </c>
      <c r="C33" s="23"/>
      <c r="D33" s="23"/>
      <c r="E33" s="23"/>
      <c r="F33" s="23"/>
      <c r="G33" s="23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9">
    <mergeCell ref="B25:H25"/>
    <mergeCell ref="B33:H33"/>
    <mergeCell ref="B1:H1"/>
    <mergeCell ref="B2:H2"/>
    <mergeCell ref="B4:H4"/>
    <mergeCell ref="B5:H5"/>
    <mergeCell ref="B8:H8"/>
    <mergeCell ref="B10:H10"/>
    <mergeCell ref="B20:H20"/>
  </mergeCells>
  <conditionalFormatting sqref="C29:H3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95"/>
  <sheetViews>
    <sheetView workbookViewId="0"/>
  </sheetViews>
  <sheetFormatPr defaultColWidth="14.42578125" defaultRowHeight="15" customHeight="1" x14ac:dyDescent="0.25"/>
  <cols>
    <col min="1" max="1" width="100" customWidth="1"/>
    <col min="2" max="26" width="8.7109375" customWidth="1"/>
  </cols>
  <sheetData>
    <row r="1" spans="1:1" ht="18.75" x14ac:dyDescent="0.25">
      <c r="A1" s="15" t="s">
        <v>34</v>
      </c>
    </row>
    <row r="2" spans="1:1" x14ac:dyDescent="0.25">
      <c r="A2" s="16"/>
    </row>
    <row r="3" spans="1:1" ht="15.75" x14ac:dyDescent="0.25">
      <c r="A3" s="17" t="s">
        <v>35</v>
      </c>
    </row>
    <row r="4" spans="1:1" x14ac:dyDescent="0.25">
      <c r="A4" s="18" t="s">
        <v>36</v>
      </c>
    </row>
    <row r="5" spans="1:1" x14ac:dyDescent="0.25">
      <c r="A5" s="18" t="s">
        <v>37</v>
      </c>
    </row>
    <row r="6" spans="1:1" x14ac:dyDescent="0.25">
      <c r="A6" s="16"/>
    </row>
    <row r="7" spans="1:1" x14ac:dyDescent="0.25">
      <c r="A7" s="19" t="s">
        <v>38</v>
      </c>
    </row>
    <row r="8" spans="1:1" x14ac:dyDescent="0.25">
      <c r="A8" s="18" t="s">
        <v>39</v>
      </c>
    </row>
    <row r="9" spans="1:1" x14ac:dyDescent="0.25">
      <c r="A9" s="18" t="s">
        <v>40</v>
      </c>
    </row>
    <row r="10" spans="1:1" x14ac:dyDescent="0.25">
      <c r="A10" s="18" t="s">
        <v>41</v>
      </c>
    </row>
    <row r="11" spans="1:1" x14ac:dyDescent="0.25">
      <c r="A11" s="18" t="s">
        <v>42</v>
      </c>
    </row>
    <row r="12" spans="1:1" x14ac:dyDescent="0.25">
      <c r="A12" s="18" t="s">
        <v>43</v>
      </c>
    </row>
    <row r="13" spans="1:1" x14ac:dyDescent="0.25">
      <c r="A13" s="16"/>
    </row>
    <row r="14" spans="1:1" ht="15.75" x14ac:dyDescent="0.25">
      <c r="A14" s="17" t="s">
        <v>44</v>
      </c>
    </row>
    <row r="15" spans="1:1" x14ac:dyDescent="0.25">
      <c r="A15" s="16"/>
    </row>
    <row r="16" spans="1:1" ht="15.75" x14ac:dyDescent="0.25">
      <c r="A16" s="17" t="s">
        <v>45</v>
      </c>
    </row>
    <row r="17" spans="1:1" ht="15.75" customHeight="1" x14ac:dyDescent="0.25">
      <c r="A17" s="18" t="s">
        <v>46</v>
      </c>
    </row>
    <row r="18" spans="1:1" ht="15.75" customHeight="1" x14ac:dyDescent="0.25">
      <c r="A18" s="18" t="s">
        <v>47</v>
      </c>
    </row>
    <row r="19" spans="1:1" ht="15.75" customHeight="1" x14ac:dyDescent="0.25">
      <c r="A19" s="18" t="s">
        <v>48</v>
      </c>
    </row>
    <row r="20" spans="1:1" ht="15.75" customHeight="1" x14ac:dyDescent="0.25">
      <c r="A20" s="18" t="s">
        <v>49</v>
      </c>
    </row>
    <row r="21" spans="1:1" ht="15.75" customHeight="1" x14ac:dyDescent="0.25">
      <c r="A21" s="16"/>
    </row>
    <row r="22" spans="1:1" ht="15.75" customHeight="1" x14ac:dyDescent="0.25">
      <c r="A22" s="17" t="s">
        <v>50</v>
      </c>
    </row>
    <row r="23" spans="1:1" ht="15.75" customHeight="1" x14ac:dyDescent="0.25">
      <c r="A23" s="16"/>
    </row>
    <row r="24" spans="1:1" ht="15.75" customHeight="1" x14ac:dyDescent="0.25">
      <c r="A24" s="20" t="s">
        <v>51</v>
      </c>
    </row>
    <row r="25" spans="1:1" ht="15.75" customHeight="1" x14ac:dyDescent="0.25">
      <c r="A25" s="18" t="s">
        <v>52</v>
      </c>
    </row>
    <row r="26" spans="1:1" ht="15.75" customHeight="1" x14ac:dyDescent="0.25">
      <c r="A26" s="18" t="s">
        <v>53</v>
      </c>
    </row>
    <row r="27" spans="1:1" ht="15.75" customHeight="1" x14ac:dyDescent="0.25">
      <c r="A27" s="18" t="s">
        <v>54</v>
      </c>
    </row>
    <row r="28" spans="1:1" ht="15.75" customHeight="1" x14ac:dyDescent="0.25">
      <c r="A28" s="18" t="s">
        <v>55</v>
      </c>
    </row>
    <row r="29" spans="1:1" ht="15.75" customHeight="1" x14ac:dyDescent="0.25">
      <c r="A29" s="18" t="s">
        <v>56</v>
      </c>
    </row>
    <row r="30" spans="1:1" ht="15.75" customHeight="1" x14ac:dyDescent="0.25">
      <c r="A30" s="16"/>
    </row>
    <row r="31" spans="1:1" ht="15.75" customHeight="1" x14ac:dyDescent="0.25">
      <c r="A31" s="20" t="s">
        <v>57</v>
      </c>
    </row>
    <row r="32" spans="1:1" ht="15.75" customHeight="1" x14ac:dyDescent="0.25">
      <c r="A32" s="18" t="s">
        <v>58</v>
      </c>
    </row>
    <row r="33" spans="1:1" ht="15.75" customHeight="1" x14ac:dyDescent="0.25">
      <c r="A33" s="18" t="s">
        <v>59</v>
      </c>
    </row>
    <row r="34" spans="1:1" ht="15.75" customHeight="1" x14ac:dyDescent="0.25">
      <c r="A34" s="18" t="s">
        <v>60</v>
      </c>
    </row>
    <row r="35" spans="1:1" ht="15.75" customHeight="1" x14ac:dyDescent="0.25">
      <c r="A35" s="16"/>
    </row>
    <row r="36" spans="1:1" ht="15.75" customHeight="1" x14ac:dyDescent="0.25">
      <c r="A36" s="20" t="s">
        <v>61</v>
      </c>
    </row>
    <row r="37" spans="1:1" ht="15.75" customHeight="1" x14ac:dyDescent="0.25">
      <c r="A37" s="18" t="s">
        <v>62</v>
      </c>
    </row>
    <row r="38" spans="1:1" ht="15.75" customHeight="1" x14ac:dyDescent="0.25">
      <c r="A38" s="18" t="s">
        <v>63</v>
      </c>
    </row>
    <row r="39" spans="1:1" ht="15.75" customHeight="1" x14ac:dyDescent="0.25">
      <c r="A39" s="18" t="s">
        <v>64</v>
      </c>
    </row>
    <row r="40" spans="1:1" ht="15.75" customHeight="1" x14ac:dyDescent="0.25">
      <c r="A40" s="18" t="s">
        <v>65</v>
      </c>
    </row>
    <row r="41" spans="1:1" ht="15.75" customHeight="1" x14ac:dyDescent="0.25">
      <c r="A41" s="18" t="s">
        <v>66</v>
      </c>
    </row>
    <row r="42" spans="1:1" ht="15.75" customHeight="1" x14ac:dyDescent="0.25">
      <c r="A42" s="18" t="s">
        <v>67</v>
      </c>
    </row>
    <row r="43" spans="1:1" ht="15.75" customHeight="1" x14ac:dyDescent="0.25">
      <c r="A43" s="16"/>
    </row>
    <row r="44" spans="1:1" ht="15.75" customHeight="1" x14ac:dyDescent="0.25">
      <c r="A44" s="17" t="s">
        <v>68</v>
      </c>
    </row>
    <row r="45" spans="1:1" ht="15.75" customHeight="1" x14ac:dyDescent="0.25">
      <c r="A45" s="16"/>
    </row>
    <row r="46" spans="1:1" ht="15.75" customHeight="1" x14ac:dyDescent="0.25">
      <c r="A46" s="20" t="s">
        <v>69</v>
      </c>
    </row>
    <row r="47" spans="1:1" ht="15.75" customHeight="1" x14ac:dyDescent="0.25">
      <c r="A47" s="18" t="s">
        <v>70</v>
      </c>
    </row>
    <row r="48" spans="1:1" ht="15.75" customHeight="1" x14ac:dyDescent="0.25">
      <c r="A48" s="18" t="s">
        <v>71</v>
      </c>
    </row>
    <row r="49" spans="1:1" ht="15.75" customHeight="1" x14ac:dyDescent="0.25">
      <c r="A49" s="18" t="s">
        <v>72</v>
      </c>
    </row>
    <row r="50" spans="1:1" ht="15.75" customHeight="1" x14ac:dyDescent="0.25">
      <c r="A50" s="18" t="s">
        <v>73</v>
      </c>
    </row>
    <row r="51" spans="1:1" ht="15.75" customHeight="1" x14ac:dyDescent="0.25">
      <c r="A51" s="18" t="s">
        <v>74</v>
      </c>
    </row>
    <row r="52" spans="1:1" ht="15.75" customHeight="1" x14ac:dyDescent="0.25">
      <c r="A52" s="18" t="s">
        <v>75</v>
      </c>
    </row>
    <row r="53" spans="1:1" ht="15.75" customHeight="1" x14ac:dyDescent="0.25">
      <c r="A53" s="18" t="s">
        <v>76</v>
      </c>
    </row>
    <row r="54" spans="1:1" ht="15.75" customHeight="1" x14ac:dyDescent="0.25">
      <c r="A54" s="16"/>
    </row>
    <row r="55" spans="1:1" ht="15.75" customHeight="1" x14ac:dyDescent="0.25">
      <c r="A55" s="20" t="s">
        <v>77</v>
      </c>
    </row>
    <row r="56" spans="1:1" ht="15.75" customHeight="1" x14ac:dyDescent="0.25">
      <c r="A56" s="18" t="s">
        <v>78</v>
      </c>
    </row>
    <row r="57" spans="1:1" ht="15.75" customHeight="1" x14ac:dyDescent="0.25">
      <c r="A57" s="18" t="s">
        <v>71</v>
      </c>
    </row>
    <row r="58" spans="1:1" ht="15.75" customHeight="1" x14ac:dyDescent="0.25">
      <c r="A58" s="18" t="s">
        <v>79</v>
      </c>
    </row>
    <row r="59" spans="1:1" ht="15.75" customHeight="1" x14ac:dyDescent="0.25">
      <c r="A59" s="18" t="s">
        <v>80</v>
      </c>
    </row>
    <row r="60" spans="1:1" ht="15.75" customHeight="1" x14ac:dyDescent="0.25">
      <c r="A60" s="18" t="s">
        <v>81</v>
      </c>
    </row>
    <row r="61" spans="1:1" ht="15.75" customHeight="1" x14ac:dyDescent="0.25">
      <c r="A61" s="18" t="s">
        <v>82</v>
      </c>
    </row>
    <row r="62" spans="1:1" ht="15.75" customHeight="1" x14ac:dyDescent="0.25">
      <c r="A62" s="18" t="s">
        <v>83</v>
      </c>
    </row>
    <row r="63" spans="1:1" ht="15.75" customHeight="1" x14ac:dyDescent="0.25">
      <c r="A63" s="16"/>
    </row>
    <row r="64" spans="1:1" ht="15.75" customHeight="1" x14ac:dyDescent="0.25">
      <c r="A64" s="20" t="s">
        <v>84</v>
      </c>
    </row>
    <row r="65" spans="1:1" ht="15.75" customHeight="1" x14ac:dyDescent="0.25">
      <c r="A65" s="18" t="s">
        <v>85</v>
      </c>
    </row>
    <row r="66" spans="1:1" ht="15.75" customHeight="1" x14ac:dyDescent="0.25">
      <c r="A66" s="18" t="s">
        <v>71</v>
      </c>
    </row>
    <row r="67" spans="1:1" ht="15.75" customHeight="1" x14ac:dyDescent="0.25">
      <c r="A67" s="18" t="s">
        <v>86</v>
      </c>
    </row>
    <row r="68" spans="1:1" ht="15.75" customHeight="1" x14ac:dyDescent="0.25">
      <c r="A68" s="18" t="s">
        <v>87</v>
      </c>
    </row>
    <row r="69" spans="1:1" ht="15.75" customHeight="1" x14ac:dyDescent="0.25">
      <c r="A69" s="18" t="s">
        <v>88</v>
      </c>
    </row>
    <row r="70" spans="1:1" ht="15.75" customHeight="1" x14ac:dyDescent="0.25">
      <c r="A70" s="18" t="s">
        <v>89</v>
      </c>
    </row>
    <row r="71" spans="1:1" ht="15.75" customHeight="1" x14ac:dyDescent="0.25">
      <c r="A71" s="18" t="s">
        <v>90</v>
      </c>
    </row>
    <row r="72" spans="1:1" ht="15.75" customHeight="1" x14ac:dyDescent="0.25">
      <c r="A72" s="16"/>
    </row>
    <row r="73" spans="1:1" ht="15.75" customHeight="1" x14ac:dyDescent="0.25">
      <c r="A73" s="17" t="s">
        <v>91</v>
      </c>
    </row>
    <row r="74" spans="1:1" ht="15.75" customHeight="1" x14ac:dyDescent="0.25">
      <c r="A74" s="16"/>
    </row>
    <row r="75" spans="1:1" ht="15.75" customHeight="1" x14ac:dyDescent="0.25">
      <c r="A75" s="20" t="s">
        <v>92</v>
      </c>
    </row>
    <row r="76" spans="1:1" ht="15.75" customHeight="1" x14ac:dyDescent="0.25">
      <c r="A76" s="18" t="s">
        <v>93</v>
      </c>
    </row>
    <row r="77" spans="1:1" ht="15.75" customHeight="1" x14ac:dyDescent="0.25">
      <c r="A77" s="18" t="s">
        <v>94</v>
      </c>
    </row>
    <row r="78" spans="1:1" ht="15.75" customHeight="1" x14ac:dyDescent="0.25">
      <c r="A78" s="18" t="s">
        <v>95</v>
      </c>
    </row>
    <row r="79" spans="1:1" ht="15.75" customHeight="1" x14ac:dyDescent="0.25">
      <c r="A79" s="18" t="s">
        <v>96</v>
      </c>
    </row>
    <row r="80" spans="1:1" ht="15.75" customHeight="1" x14ac:dyDescent="0.25">
      <c r="A80" s="18" t="s">
        <v>97</v>
      </c>
    </row>
    <row r="81" spans="1:1" ht="15.75" customHeight="1" x14ac:dyDescent="0.25">
      <c r="A81" s="16"/>
    </row>
    <row r="82" spans="1:1" ht="15.75" customHeight="1" x14ac:dyDescent="0.25">
      <c r="A82" s="20" t="s">
        <v>98</v>
      </c>
    </row>
    <row r="83" spans="1:1" ht="15.75" customHeight="1" x14ac:dyDescent="0.25">
      <c r="A83" s="18" t="s">
        <v>99</v>
      </c>
    </row>
    <row r="84" spans="1:1" ht="15.75" customHeight="1" x14ac:dyDescent="0.25">
      <c r="A84" s="18" t="s">
        <v>100</v>
      </c>
    </row>
    <row r="85" spans="1:1" ht="15.75" customHeight="1" x14ac:dyDescent="0.25">
      <c r="A85" s="18" t="s">
        <v>101</v>
      </c>
    </row>
    <row r="86" spans="1:1" ht="15.75" customHeight="1" x14ac:dyDescent="0.25">
      <c r="A86" s="18" t="s">
        <v>102</v>
      </c>
    </row>
    <row r="87" spans="1:1" ht="15.75" customHeight="1" x14ac:dyDescent="0.25">
      <c r="A87" s="16"/>
    </row>
    <row r="88" spans="1:1" ht="15.75" customHeight="1" x14ac:dyDescent="0.25">
      <c r="A88" s="17" t="s">
        <v>103</v>
      </c>
    </row>
    <row r="89" spans="1:1" ht="15.75" customHeight="1" x14ac:dyDescent="0.25">
      <c r="A89" s="18" t="s">
        <v>104</v>
      </c>
    </row>
    <row r="90" spans="1:1" ht="15.75" customHeight="1" x14ac:dyDescent="0.25">
      <c r="A90" s="18" t="s">
        <v>105</v>
      </c>
    </row>
    <row r="91" spans="1:1" ht="15.75" customHeight="1" x14ac:dyDescent="0.25">
      <c r="A91" s="18" t="s">
        <v>106</v>
      </c>
    </row>
    <row r="92" spans="1:1" ht="15.75" customHeight="1" x14ac:dyDescent="0.25">
      <c r="A92" s="18" t="s">
        <v>107</v>
      </c>
    </row>
    <row r="93" spans="1:1" ht="15.75" customHeight="1" x14ac:dyDescent="0.25">
      <c r="A93" s="18" t="s">
        <v>108</v>
      </c>
    </row>
    <row r="94" spans="1:1" ht="15.75" customHeight="1" x14ac:dyDescent="0.25">
      <c r="A94" s="18" t="s">
        <v>109</v>
      </c>
    </row>
    <row r="95" spans="1:1" ht="15.75" customHeight="1" x14ac:dyDescent="0.25">
      <c r="A95" s="16"/>
    </row>
    <row r="96" spans="1:1" ht="15.75" customHeight="1" x14ac:dyDescent="0.25">
      <c r="A96" s="17" t="s">
        <v>110</v>
      </c>
    </row>
    <row r="97" spans="1:1" ht="15.75" customHeight="1" x14ac:dyDescent="0.25">
      <c r="A97" s="16"/>
    </row>
    <row r="98" spans="1:1" ht="15.75" customHeight="1" x14ac:dyDescent="0.25">
      <c r="A98" s="19" t="s">
        <v>111</v>
      </c>
    </row>
    <row r="99" spans="1:1" ht="15.75" customHeight="1" x14ac:dyDescent="0.25">
      <c r="A99" s="18" t="s">
        <v>112</v>
      </c>
    </row>
    <row r="100" spans="1:1" ht="15.75" customHeight="1" x14ac:dyDescent="0.25">
      <c r="A100" s="16"/>
    </row>
    <row r="101" spans="1:1" ht="15.75" customHeight="1" x14ac:dyDescent="0.25">
      <c r="A101" s="19" t="s">
        <v>113</v>
      </c>
    </row>
    <row r="102" spans="1:1" ht="15.75" customHeight="1" x14ac:dyDescent="0.25">
      <c r="A102" s="18" t="s">
        <v>114</v>
      </c>
    </row>
    <row r="103" spans="1:1" ht="15.75" customHeight="1" x14ac:dyDescent="0.25">
      <c r="A103" s="16"/>
    </row>
    <row r="104" spans="1:1" ht="15.75" customHeight="1" x14ac:dyDescent="0.25">
      <c r="A104" s="19" t="s">
        <v>115</v>
      </c>
    </row>
    <row r="105" spans="1:1" ht="15.75" customHeight="1" x14ac:dyDescent="0.25">
      <c r="A105" s="18" t="s">
        <v>116</v>
      </c>
    </row>
    <row r="106" spans="1:1" ht="15.75" customHeight="1" x14ac:dyDescent="0.25">
      <c r="A106" s="16"/>
    </row>
    <row r="107" spans="1:1" ht="15.75" customHeight="1" x14ac:dyDescent="0.25">
      <c r="A107" s="19" t="s">
        <v>117</v>
      </c>
    </row>
    <row r="108" spans="1:1" ht="15.75" customHeight="1" x14ac:dyDescent="0.25">
      <c r="A108" s="18" t="s">
        <v>118</v>
      </c>
    </row>
    <row r="109" spans="1:1" ht="15.75" customHeight="1" x14ac:dyDescent="0.25">
      <c r="A109" s="16"/>
    </row>
    <row r="110" spans="1:1" ht="15.75" customHeight="1" x14ac:dyDescent="0.25">
      <c r="A110" s="19" t="s">
        <v>119</v>
      </c>
    </row>
    <row r="111" spans="1:1" ht="15.75" customHeight="1" x14ac:dyDescent="0.25">
      <c r="A111" s="18" t="s">
        <v>120</v>
      </c>
    </row>
    <row r="112" spans="1:1" ht="15.75" customHeight="1" x14ac:dyDescent="0.25">
      <c r="A112" s="16"/>
    </row>
    <row r="113" spans="1:1" ht="15.75" customHeight="1" x14ac:dyDescent="0.25">
      <c r="A113" s="17" t="s">
        <v>121</v>
      </c>
    </row>
    <row r="114" spans="1:1" ht="15.75" customHeight="1" x14ac:dyDescent="0.25">
      <c r="A114" s="18" t="s">
        <v>122</v>
      </c>
    </row>
    <row r="115" spans="1:1" ht="15.75" customHeight="1" x14ac:dyDescent="0.25">
      <c r="A115" s="18" t="s">
        <v>123</v>
      </c>
    </row>
    <row r="116" spans="1:1" ht="15.75" customHeight="1" x14ac:dyDescent="0.25">
      <c r="A116" s="18" t="s">
        <v>124</v>
      </c>
    </row>
    <row r="117" spans="1:1" ht="15.75" customHeight="1" x14ac:dyDescent="0.25">
      <c r="A117" s="18" t="s">
        <v>125</v>
      </c>
    </row>
    <row r="118" spans="1:1" ht="15.75" customHeight="1" x14ac:dyDescent="0.25">
      <c r="A118" s="18" t="s">
        <v>126</v>
      </c>
    </row>
    <row r="119" spans="1:1" ht="15.75" customHeight="1" x14ac:dyDescent="0.25"/>
    <row r="120" spans="1:1" ht="15.75" customHeight="1" x14ac:dyDescent="0.25"/>
    <row r="121" spans="1:1" ht="15.75" customHeight="1" x14ac:dyDescent="0.25"/>
    <row r="122" spans="1:1" ht="15.75" customHeight="1" x14ac:dyDescent="0.25"/>
    <row r="123" spans="1:1" ht="15.75" customHeight="1" x14ac:dyDescent="0.25"/>
    <row r="124" spans="1:1" ht="15.75" customHeight="1" x14ac:dyDescent="0.25"/>
    <row r="125" spans="1:1" ht="15.75" customHeight="1" x14ac:dyDescent="0.25"/>
    <row r="126" spans="1:1" ht="15.75" customHeight="1" x14ac:dyDescent="0.25"/>
    <row r="127" spans="1:1" ht="15.75" customHeight="1" x14ac:dyDescent="0.25"/>
    <row r="128" spans="1:1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731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429" sqref="B1429"/>
    </sheetView>
  </sheetViews>
  <sheetFormatPr defaultColWidth="14.42578125" defaultRowHeight="15" customHeight="1" x14ac:dyDescent="0.25"/>
  <cols>
    <col min="1" max="1" width="5" customWidth="1"/>
    <col min="2" max="2" width="30" customWidth="1"/>
    <col min="3" max="3" width="25" customWidth="1"/>
    <col min="4" max="4" width="15" customWidth="1"/>
    <col min="5" max="6" width="20" customWidth="1"/>
    <col min="7" max="26" width="8.7109375" customWidth="1"/>
  </cols>
  <sheetData>
    <row r="1" spans="2:6" ht="24.75" customHeight="1" x14ac:dyDescent="0.25">
      <c r="B1" s="30" t="s">
        <v>127</v>
      </c>
      <c r="C1" s="31"/>
      <c r="D1" s="31"/>
      <c r="E1" s="31"/>
      <c r="F1" s="32"/>
    </row>
    <row r="2" spans="2:6" ht="30" customHeight="1" x14ac:dyDescent="0.25">
      <c r="B2" s="33" t="s">
        <v>128</v>
      </c>
      <c r="C2" s="23"/>
      <c r="D2" s="23"/>
      <c r="E2" s="23"/>
      <c r="F2" s="23"/>
    </row>
    <row r="4" spans="2:6" ht="19.5" customHeight="1" x14ac:dyDescent="0.25">
      <c r="B4" s="21" t="str" cm="1">
        <f t="array" ref="B4:F6743">_xldudf_DEFILLAMA_PROTOCOLS()</f>
        <v>Protocol</v>
      </c>
      <c r="C4" s="21" t="str">
        <v>Category</v>
      </c>
      <c r="D4" s="21" t="str">
        <v>Symbol</v>
      </c>
      <c r="E4" s="21" t="str">
        <v>TVL</v>
      </c>
      <c r="F4" s="21" t="str">
        <v>MCAP</v>
      </c>
    </row>
    <row r="5" spans="2:6" ht="15" customHeight="1" x14ac:dyDescent="0.25">
      <c r="B5" t="str">
        <v>0.exchange</v>
      </c>
      <c r="C5" t="str">
        <v>Dexs</v>
      </c>
      <c r="D5" t="str">
        <v>ZERO</v>
      </c>
      <c r="E5">
        <v>52631.029410303367</v>
      </c>
      <c r="F5">
        <v>44955.772390104714</v>
      </c>
    </row>
    <row r="6" spans="2:6" ht="30" customHeight="1" x14ac:dyDescent="0.25">
      <c r="B6" t="str">
        <v>01</v>
      </c>
      <c r="C6" t="str">
        <v>Derivatives</v>
      </c>
      <c r="D6" t="str">
        <v>-</v>
      </c>
      <c r="E6">
        <v>252424.00850241302</v>
      </c>
      <c r="F6">
        <v>0</v>
      </c>
    </row>
    <row r="7" spans="2:6" ht="15" customHeight="1" x14ac:dyDescent="0.25">
      <c r="B7" t="str">
        <v>0vix</v>
      </c>
      <c r="C7" t="str">
        <v>Lending</v>
      </c>
      <c r="D7" t="str">
        <v>-</v>
      </c>
      <c r="E7">
        <v>0</v>
      </c>
      <c r="F7">
        <v>0</v>
      </c>
    </row>
    <row r="8" spans="2:6" ht="15" customHeight="1" x14ac:dyDescent="0.25">
      <c r="B8" t="str">
        <v>0x</v>
      </c>
      <c r="C8" t="str">
        <v>DEX Aggregator</v>
      </c>
      <c r="D8" t="str">
        <v>ZRX</v>
      </c>
      <c r="E8">
        <v>0</v>
      </c>
      <c r="F8">
        <v>0</v>
      </c>
    </row>
    <row r="9" spans="2:6" ht="15" customHeight="1" x14ac:dyDescent="0.25">
      <c r="B9" t="str">
        <v>0x Aggregator</v>
      </c>
      <c r="C9" t="str">
        <v>DEX Aggregator</v>
      </c>
      <c r="D9" t="str">
        <v>ZRX</v>
      </c>
      <c r="E9">
        <v>0</v>
      </c>
      <c r="F9">
        <v>118856432.85779314</v>
      </c>
    </row>
    <row r="10" spans="2:6" ht="15" customHeight="1" x14ac:dyDescent="0.25">
      <c r="B10" t="str">
        <v>0x NODES</v>
      </c>
      <c r="C10" t="str">
        <v>Yield Aggregator</v>
      </c>
      <c r="D10" t="str">
        <v>BIOS</v>
      </c>
      <c r="E10">
        <v>0</v>
      </c>
      <c r="F10">
        <v>0</v>
      </c>
    </row>
    <row r="11" spans="2:6" ht="15" customHeight="1" x14ac:dyDescent="0.25">
      <c r="B11" t="str">
        <v>0x0.ai</v>
      </c>
      <c r="C11" t="str">
        <v>Privacy</v>
      </c>
      <c r="D11" t="str">
        <v>0X0</v>
      </c>
      <c r="E11">
        <v>325291.93873926351</v>
      </c>
      <c r="F11">
        <v>7863690.2974713678</v>
      </c>
    </row>
    <row r="12" spans="2:6" ht="15" customHeight="1" x14ac:dyDescent="0.25">
      <c r="B12" t="str">
        <v>0xAcid</v>
      </c>
      <c r="C12" t="str">
        <v>Liquid Staking</v>
      </c>
      <c r="D12" t="str">
        <v>ACID</v>
      </c>
      <c r="E12">
        <v>0</v>
      </c>
      <c r="F12">
        <v>0</v>
      </c>
    </row>
    <row r="13" spans="2:6" ht="15" customHeight="1" x14ac:dyDescent="0.25">
      <c r="B13" t="str">
        <v>0xDAO</v>
      </c>
      <c r="C13" t="str">
        <v>Yield</v>
      </c>
      <c r="D13" t="str">
        <v>OXD</v>
      </c>
      <c r="E13">
        <v>48921.241402042047</v>
      </c>
      <c r="F13">
        <v>0</v>
      </c>
    </row>
    <row r="14" spans="2:6" ht="15" customHeight="1" x14ac:dyDescent="0.25">
      <c r="B14" t="str">
        <v>0xLend</v>
      </c>
      <c r="C14" t="str">
        <v>Lending</v>
      </c>
      <c r="D14" t="str">
        <v>-</v>
      </c>
      <c r="E14">
        <v>1164.2087599022987</v>
      </c>
      <c r="F14">
        <v>0</v>
      </c>
    </row>
    <row r="15" spans="2:6" ht="15" customHeight="1" x14ac:dyDescent="0.25">
      <c r="B15" t="str">
        <v>0xRoulette Protocol</v>
      </c>
      <c r="C15" t="str">
        <v>Luck Games</v>
      </c>
      <c r="D15" t="str">
        <v>-</v>
      </c>
      <c r="E15">
        <v>143.24385691305653</v>
      </c>
      <c r="F15">
        <v>0</v>
      </c>
    </row>
    <row r="16" spans="2:6" ht="15" customHeight="1" x14ac:dyDescent="0.25">
      <c r="B16" t="str">
        <v>0xScans</v>
      </c>
      <c r="C16" t="str">
        <v>Developer Tools</v>
      </c>
      <c r="D16" t="str">
        <v>SCAN</v>
      </c>
      <c r="E16">
        <v>0</v>
      </c>
      <c r="F16">
        <v>0</v>
      </c>
    </row>
    <row r="17" spans="2:6" ht="15" customHeight="1" x14ac:dyDescent="0.25">
      <c r="B17" t="str">
        <v>10KDex</v>
      </c>
      <c r="C17" t="str">
        <v>Derivatives</v>
      </c>
      <c r="D17" t="str">
        <v>-</v>
      </c>
      <c r="E17">
        <v>101729.17987714129</v>
      </c>
      <c r="F17">
        <v>0</v>
      </c>
    </row>
    <row r="18" spans="2:6" ht="15" customHeight="1" x14ac:dyDescent="0.25">
      <c r="B18" t="str">
        <v>10KSwap</v>
      </c>
      <c r="C18" t="str">
        <v>Dexs</v>
      </c>
      <c r="D18" t="str">
        <v>-</v>
      </c>
      <c r="E18">
        <v>855781.96244826727</v>
      </c>
      <c r="F18">
        <v>0</v>
      </c>
    </row>
    <row r="19" spans="2:6" ht="15" customHeight="1" x14ac:dyDescent="0.25">
      <c r="B19" t="str">
        <v>1155Tech</v>
      </c>
      <c r="C19" t="str">
        <v>NFT Marketplace</v>
      </c>
      <c r="D19" t="str">
        <v>-</v>
      </c>
      <c r="E19">
        <v>0</v>
      </c>
      <c r="F19">
        <v>0</v>
      </c>
    </row>
    <row r="20" spans="2:6" ht="15" customHeight="1" x14ac:dyDescent="0.25">
      <c r="B20" t="str">
        <v>1776.MEME</v>
      </c>
      <c r="C20" t="str">
        <v>Launchpad</v>
      </c>
      <c r="D20" t="str">
        <v>-</v>
      </c>
      <c r="E20">
        <v>832.37822709600857</v>
      </c>
      <c r="F20">
        <v>0</v>
      </c>
    </row>
    <row r="21" spans="2:6" ht="15.75" customHeight="1" x14ac:dyDescent="0.25">
      <c r="B21" t="str">
        <v>1BCH</v>
      </c>
      <c r="C21" t="str">
        <v>Dexs</v>
      </c>
      <c r="D21" t="str">
        <v>1BCH</v>
      </c>
      <c r="E21">
        <v>230.35935547211329</v>
      </c>
      <c r="F21">
        <v>0</v>
      </c>
    </row>
    <row r="22" spans="2:6" ht="15.75" customHeight="1" x14ac:dyDescent="0.25">
      <c r="B22" t="str">
        <v>1Beam</v>
      </c>
      <c r="C22" t="str">
        <v>Dexs</v>
      </c>
      <c r="D22" t="str">
        <v>1BEAM</v>
      </c>
      <c r="E22">
        <v>3300.5640191616226</v>
      </c>
      <c r="F22">
        <v>0</v>
      </c>
    </row>
    <row r="23" spans="2:6" ht="15.75" customHeight="1" x14ac:dyDescent="0.25">
      <c r="B23" t="str">
        <v>1delta</v>
      </c>
      <c r="C23" t="str">
        <v>DEX Aggregator</v>
      </c>
      <c r="D23" t="str">
        <v>-</v>
      </c>
      <c r="E23">
        <v>0</v>
      </c>
      <c r="F23">
        <v>0</v>
      </c>
    </row>
    <row r="24" spans="2:6" ht="15.75" customHeight="1" x14ac:dyDescent="0.25">
      <c r="B24" t="str">
        <v>1DEX</v>
      </c>
      <c r="C24" t="str">
        <v>Dexs</v>
      </c>
      <c r="D24" t="str">
        <v>-</v>
      </c>
      <c r="E24">
        <v>337510.65815150028</v>
      </c>
      <c r="F24">
        <v>0</v>
      </c>
    </row>
    <row r="25" spans="2:6" ht="15.75" customHeight="1" x14ac:dyDescent="0.25">
      <c r="B25" t="str">
        <v>1inch</v>
      </c>
      <c r="C25" t="str">
        <v>DEX Aggregator</v>
      </c>
      <c r="D25" t="str">
        <v>1INCH</v>
      </c>
      <c r="E25">
        <v>4183749.7837492996</v>
      </c>
      <c r="F25">
        <v>211033611.55773908</v>
      </c>
    </row>
    <row r="26" spans="2:6" ht="15.75" customHeight="1" x14ac:dyDescent="0.25">
      <c r="B26" t="str">
        <v>1INTRO</v>
      </c>
      <c r="C26" t="str">
        <v>Dexs</v>
      </c>
      <c r="D26" t="str">
        <v>INTRO</v>
      </c>
      <c r="E26">
        <v>106050.14722992435</v>
      </c>
      <c r="F26">
        <v>88857.611976380838</v>
      </c>
    </row>
    <row r="27" spans="2:6" ht="15.75" customHeight="1" x14ac:dyDescent="0.25">
      <c r="B27" t="str">
        <v>1Pulse</v>
      </c>
      <c r="C27" t="str">
        <v>Dexs</v>
      </c>
      <c r="D27" t="str">
        <v>-</v>
      </c>
      <c r="E27">
        <v>7.9554196268625494</v>
      </c>
      <c r="F27">
        <v>0</v>
      </c>
    </row>
    <row r="28" spans="2:6" ht="15.75" customHeight="1" x14ac:dyDescent="0.25">
      <c r="B28" t="str">
        <v>1sec</v>
      </c>
      <c r="C28" t="str">
        <v>Bridge</v>
      </c>
      <c r="D28" t="str">
        <v>-</v>
      </c>
      <c r="E28">
        <v>1705410.1904604447</v>
      </c>
      <c r="F28">
        <v>0</v>
      </c>
    </row>
    <row r="29" spans="2:6" ht="15.75" customHeight="1" x14ac:dyDescent="0.25">
      <c r="B29" t="str">
        <v>1Swap</v>
      </c>
      <c r="C29" t="str">
        <v>Dexs</v>
      </c>
      <c r="D29" t="str">
        <v>1SWAP</v>
      </c>
      <c r="E29">
        <v>10049.430127318954</v>
      </c>
      <c r="F29">
        <v>0</v>
      </c>
    </row>
    <row r="30" spans="2:6" ht="15.75" customHeight="1" x14ac:dyDescent="0.25">
      <c r="B30" t="str">
        <v>21.co</v>
      </c>
      <c r="C30" t="str">
        <v>Bridge</v>
      </c>
      <c r="D30" t="str">
        <v>-</v>
      </c>
      <c r="E30">
        <v>474908.90317871317</v>
      </c>
      <c r="F30">
        <v>0</v>
      </c>
    </row>
    <row r="31" spans="2:6" ht="15.75" customHeight="1" x14ac:dyDescent="0.25">
      <c r="B31" t="str">
        <v>246Club</v>
      </c>
      <c r="C31" t="str">
        <v>Lending</v>
      </c>
      <c r="D31" t="str">
        <v>-</v>
      </c>
      <c r="E31">
        <v>121153.06917017333</v>
      </c>
      <c r="F31">
        <v>0</v>
      </c>
    </row>
    <row r="32" spans="2:6" ht="15.75" customHeight="1" x14ac:dyDescent="0.25">
      <c r="B32" t="str">
        <v>2Doge Finance</v>
      </c>
      <c r="C32" t="str">
        <v>Algo-Stables</v>
      </c>
      <c r="D32" t="str">
        <v>2DOGE</v>
      </c>
      <c r="E32">
        <v>0</v>
      </c>
      <c r="F32">
        <v>0</v>
      </c>
    </row>
    <row r="33" spans="2:6" ht="15.75" customHeight="1" x14ac:dyDescent="0.25">
      <c r="B33" t="str">
        <v>2omb Finance</v>
      </c>
      <c r="C33" t="str">
        <v>Algo-Stables</v>
      </c>
      <c r="D33" t="str">
        <v>2OMB</v>
      </c>
      <c r="E33">
        <v>0</v>
      </c>
      <c r="F33">
        <v>0</v>
      </c>
    </row>
    <row r="34" spans="2:6" ht="15.75" customHeight="1" x14ac:dyDescent="0.25">
      <c r="B34" t="str">
        <v>2Pi Network</v>
      </c>
      <c r="C34" t="str">
        <v>Yield</v>
      </c>
      <c r="D34" t="str">
        <v>-</v>
      </c>
      <c r="E34">
        <v>2390.6454298938561</v>
      </c>
      <c r="F34">
        <v>0</v>
      </c>
    </row>
    <row r="35" spans="2:6" ht="15.75" customHeight="1" x14ac:dyDescent="0.25">
      <c r="B35" t="str">
        <v>2THICK</v>
      </c>
      <c r="C35" t="str">
        <v>Dexs</v>
      </c>
      <c r="D35" t="str">
        <v>ELITE</v>
      </c>
      <c r="E35">
        <v>86307.834744157808</v>
      </c>
      <c r="F35">
        <v>0</v>
      </c>
    </row>
    <row r="36" spans="2:6" ht="15.75" customHeight="1" x14ac:dyDescent="0.25">
      <c r="B36" t="str">
        <v>3A DAO</v>
      </c>
      <c r="C36" t="str">
        <v>CDP</v>
      </c>
      <c r="D36" t="str">
        <v>A3A</v>
      </c>
      <c r="E36">
        <v>9389.74061327253</v>
      </c>
      <c r="F36">
        <v>0</v>
      </c>
    </row>
    <row r="37" spans="2:6" ht="15.75" customHeight="1" x14ac:dyDescent="0.25">
      <c r="B37" t="str">
        <v>3F Mutual</v>
      </c>
      <c r="C37" t="str">
        <v>Insurance</v>
      </c>
      <c r="D37" t="str">
        <v>-</v>
      </c>
      <c r="E37">
        <v>5942004.7760392204</v>
      </c>
      <c r="F37">
        <v>0</v>
      </c>
    </row>
    <row r="38" spans="2:6" ht="15.75" customHeight="1" x14ac:dyDescent="0.25">
      <c r="B38" t="str">
        <v>3jane Lending</v>
      </c>
      <c r="C38" t="str">
        <v>Lending</v>
      </c>
      <c r="D38" t="str">
        <v>-</v>
      </c>
      <c r="E38">
        <v>43297045.824782118</v>
      </c>
      <c r="F38">
        <v>0</v>
      </c>
    </row>
    <row r="39" spans="2:6" ht="15.75" customHeight="1" x14ac:dyDescent="0.25">
      <c r="B39" t="str">
        <v>3jane Options</v>
      </c>
      <c r="C39" t="str">
        <v>Options Vault</v>
      </c>
      <c r="D39" t="str">
        <v>-</v>
      </c>
      <c r="E39">
        <v>177642.27270182152</v>
      </c>
      <c r="F39">
        <v>0</v>
      </c>
    </row>
    <row r="40" spans="2:6" ht="15.75" customHeight="1" x14ac:dyDescent="0.25">
      <c r="B40" t="str">
        <v>3route</v>
      </c>
      <c r="C40" t="str">
        <v>DEX Aggregator</v>
      </c>
      <c r="D40" t="str">
        <v>-</v>
      </c>
      <c r="E40">
        <v>0</v>
      </c>
      <c r="F40">
        <v>0</v>
      </c>
    </row>
    <row r="41" spans="2:6" ht="15.75" customHeight="1" x14ac:dyDescent="0.25">
      <c r="B41" t="str">
        <v>3xcalibur</v>
      </c>
      <c r="C41" t="str">
        <v>Dexs</v>
      </c>
      <c r="D41" t="str">
        <v>XCAL</v>
      </c>
      <c r="E41">
        <v>3179.0652083297718</v>
      </c>
      <c r="F41">
        <v>11505.802031938916</v>
      </c>
    </row>
    <row r="42" spans="2:6" ht="15.75" customHeight="1" x14ac:dyDescent="0.25">
      <c r="B42" t="str">
        <v>40 Acres</v>
      </c>
      <c r="C42" t="str">
        <v>Lending</v>
      </c>
      <c r="D42" t="str">
        <v>-</v>
      </c>
      <c r="E42">
        <v>26989939.799635615</v>
      </c>
      <c r="F42">
        <v>0</v>
      </c>
    </row>
    <row r="43" spans="2:6" ht="15.75" customHeight="1" x14ac:dyDescent="0.25">
      <c r="B43" t="str">
        <v>4Swap</v>
      </c>
      <c r="C43" t="str">
        <v>Dexs</v>
      </c>
      <c r="D43" t="str">
        <v>-</v>
      </c>
      <c r="E43">
        <v>457393.3080298907</v>
      </c>
      <c r="F43">
        <v>0</v>
      </c>
    </row>
    <row r="44" spans="2:6" ht="15.75" customHeight="1" x14ac:dyDescent="0.25">
      <c r="B44" t="str">
        <v>5ire Dapp Staking</v>
      </c>
      <c r="C44" t="str">
        <v>Yield</v>
      </c>
      <c r="D44" t="str">
        <v>5IRE</v>
      </c>
      <c r="E44">
        <v>0</v>
      </c>
      <c r="F44">
        <v>150908.27471504299</v>
      </c>
    </row>
    <row r="45" spans="2:6" ht="15.75" customHeight="1" x14ac:dyDescent="0.25">
      <c r="B45" t="str">
        <v>7K Aggregator</v>
      </c>
      <c r="C45" t="str">
        <v>DEX Aggregator</v>
      </c>
      <c r="D45" t="str">
        <v>-</v>
      </c>
      <c r="E45">
        <v>0</v>
      </c>
      <c r="F45">
        <v>0</v>
      </c>
    </row>
    <row r="46" spans="2:6" ht="15.75" customHeight="1" x14ac:dyDescent="0.25">
      <c r="B46" t="str">
        <v>88mph</v>
      </c>
      <c r="C46" t="str">
        <v>Lending</v>
      </c>
      <c r="D46" t="str">
        <v>MPH</v>
      </c>
      <c r="E46">
        <v>435650.18081932451</v>
      </c>
      <c r="F46">
        <v>355110.52070379519</v>
      </c>
    </row>
    <row r="47" spans="2:6" ht="15.75" customHeight="1" x14ac:dyDescent="0.25">
      <c r="B47" t="str">
        <v>8DX</v>
      </c>
      <c r="C47" t="str">
        <v>DEX Aggregator</v>
      </c>
      <c r="D47" t="str">
        <v>-</v>
      </c>
      <c r="E47">
        <v>0</v>
      </c>
      <c r="F47">
        <v>0</v>
      </c>
    </row>
    <row r="48" spans="2:6" ht="15.75" customHeight="1" x14ac:dyDescent="0.25">
      <c r="B48" t="str">
        <v>8ightDAO</v>
      </c>
      <c r="C48" t="str">
        <v>Reserve Currency</v>
      </c>
      <c r="D48" t="str">
        <v>EIGHT</v>
      </c>
      <c r="E48">
        <v>0</v>
      </c>
      <c r="F48">
        <v>0</v>
      </c>
    </row>
    <row r="49" spans="2:6" ht="15.75" customHeight="1" x14ac:dyDescent="0.25">
      <c r="B49" t="str">
        <v>8lends</v>
      </c>
      <c r="C49" t="str">
        <v>RWA Lending</v>
      </c>
      <c r="D49" t="str">
        <v>-</v>
      </c>
      <c r="E49">
        <v>221925.85432521475</v>
      </c>
      <c r="F49">
        <v>0</v>
      </c>
    </row>
    <row r="50" spans="2:6" ht="15.75" customHeight="1" x14ac:dyDescent="0.25">
      <c r="B50" t="str">
        <v>9inch V2</v>
      </c>
      <c r="C50" t="str">
        <v>Dexs</v>
      </c>
      <c r="D50" t="str">
        <v>9INCH</v>
      </c>
      <c r="E50">
        <v>783516.08101399255</v>
      </c>
      <c r="F50">
        <v>0</v>
      </c>
    </row>
    <row r="51" spans="2:6" ht="15.75" customHeight="1" x14ac:dyDescent="0.25">
      <c r="B51" t="str">
        <v>9inch V3</v>
      </c>
      <c r="C51" t="str">
        <v>Dexs</v>
      </c>
      <c r="D51" t="str">
        <v>9INCH</v>
      </c>
      <c r="E51">
        <v>298910.62089568464</v>
      </c>
      <c r="F51">
        <v>0</v>
      </c>
    </row>
    <row r="52" spans="2:6" ht="15.75" customHeight="1" x14ac:dyDescent="0.25">
      <c r="B52" t="str">
        <v>9mm V2</v>
      </c>
      <c r="C52" t="str">
        <v>Dexs</v>
      </c>
      <c r="D52" t="str">
        <v>-</v>
      </c>
      <c r="E52">
        <v>86901.121358473523</v>
      </c>
      <c r="F52">
        <v>0</v>
      </c>
    </row>
    <row r="53" spans="2:6" ht="15.75" customHeight="1" x14ac:dyDescent="0.25">
      <c r="B53" t="str">
        <v>9mm V3</v>
      </c>
      <c r="C53" t="str">
        <v>Dexs</v>
      </c>
      <c r="D53" t="str">
        <v>-</v>
      </c>
      <c r="E53">
        <v>3723808.1265188605</v>
      </c>
      <c r="F53">
        <v>0</v>
      </c>
    </row>
    <row r="54" spans="2:6" ht="15.75" customHeight="1" x14ac:dyDescent="0.25">
      <c r="B54" t="str">
        <v>9Summits</v>
      </c>
      <c r="C54" t="str">
        <v>Risk Curators</v>
      </c>
      <c r="D54" t="str">
        <v>-</v>
      </c>
      <c r="E54">
        <v>157535.53949531243</v>
      </c>
      <c r="F54">
        <v>0</v>
      </c>
    </row>
    <row r="55" spans="2:6" ht="15.75" customHeight="1" x14ac:dyDescent="0.25">
      <c r="B55" t="str">
        <v>A-DEX</v>
      </c>
      <c r="C55" t="str">
        <v>Dexs</v>
      </c>
      <c r="D55" t="str">
        <v>-</v>
      </c>
      <c r="E55">
        <v>27.593973430618654</v>
      </c>
      <c r="F55">
        <v>0</v>
      </c>
    </row>
    <row r="56" spans="2:6" ht="15.75" customHeight="1" x14ac:dyDescent="0.25">
      <c r="B56" t="str">
        <v>A51 Finance V2</v>
      </c>
      <c r="C56" t="str">
        <v>Liquidity manager</v>
      </c>
      <c r="D56" t="str">
        <v>A51</v>
      </c>
      <c r="E56">
        <v>21516.556937744492</v>
      </c>
      <c r="F56">
        <v>0</v>
      </c>
    </row>
    <row r="57" spans="2:6" ht="15.75" customHeight="1" x14ac:dyDescent="0.25">
      <c r="B57" t="str">
        <v>A51 Finance V3</v>
      </c>
      <c r="C57" t="str">
        <v>Liquidity manager</v>
      </c>
      <c r="D57" t="str">
        <v>A51</v>
      </c>
      <c r="E57">
        <v>5796.4389925370815</v>
      </c>
      <c r="F57">
        <v>1182653.7806079842</v>
      </c>
    </row>
    <row r="58" spans="2:6" ht="15.75" customHeight="1" x14ac:dyDescent="0.25">
      <c r="B58" t="str">
        <v>Aark Digital</v>
      </c>
      <c r="C58" t="str">
        <v>Interface</v>
      </c>
      <c r="D58" t="str">
        <v>AARK</v>
      </c>
      <c r="E58">
        <v>0</v>
      </c>
      <c r="F58">
        <v>561093.23087700445</v>
      </c>
    </row>
    <row r="59" spans="2:6" ht="15.75" customHeight="1" x14ac:dyDescent="0.25">
      <c r="B59" t="str">
        <v>Aarna Protocol</v>
      </c>
      <c r="C59" t="str">
        <v>Yield</v>
      </c>
      <c r="D59" t="str">
        <v>-</v>
      </c>
      <c r="E59">
        <v>713054.0907746664</v>
      </c>
      <c r="F59">
        <v>0</v>
      </c>
    </row>
    <row r="60" spans="2:6" ht="15.75" customHeight="1" x14ac:dyDescent="0.25">
      <c r="B60" t="str">
        <v>Aave Aptos</v>
      </c>
      <c r="C60" t="str">
        <v>Lending</v>
      </c>
      <c r="D60" t="str">
        <v>AAVE</v>
      </c>
      <c r="E60">
        <v>40188049.866609789</v>
      </c>
      <c r="F60">
        <v>0</v>
      </c>
    </row>
    <row r="61" spans="2:6" ht="15.75" customHeight="1" x14ac:dyDescent="0.25">
      <c r="B61" t="str">
        <v>Aave Arc</v>
      </c>
      <c r="C61" t="str">
        <v>Lending</v>
      </c>
      <c r="D61" t="str">
        <v>AAVE</v>
      </c>
      <c r="E61">
        <v>57267.214566223418</v>
      </c>
      <c r="F61">
        <v>0</v>
      </c>
    </row>
    <row r="62" spans="2:6" ht="15.75" customHeight="1" x14ac:dyDescent="0.25">
      <c r="B62" t="str">
        <v>Aave Horizon RWA</v>
      </c>
      <c r="C62" t="str">
        <v>RWA Lending</v>
      </c>
      <c r="D62" t="str">
        <v>AAVE</v>
      </c>
      <c r="E62">
        <v>415061549.387721</v>
      </c>
      <c r="F62">
        <v>0</v>
      </c>
    </row>
    <row r="63" spans="2:6" ht="15.75" customHeight="1" x14ac:dyDescent="0.25">
      <c r="B63" t="str">
        <v>Aave V1</v>
      </c>
      <c r="C63" t="str">
        <v>Lending</v>
      </c>
      <c r="D63" t="str">
        <v>AAVE</v>
      </c>
      <c r="E63">
        <v>10619103.200105488</v>
      </c>
      <c r="F63">
        <v>0</v>
      </c>
    </row>
    <row r="64" spans="2:6" ht="15.75" customHeight="1" x14ac:dyDescent="0.25">
      <c r="B64" t="str">
        <v>Aave V2</v>
      </c>
      <c r="C64" t="str">
        <v>Lending</v>
      </c>
      <c r="D64" t="str">
        <v>AAVE</v>
      </c>
      <c r="E64">
        <v>187204547.74262989</v>
      </c>
      <c r="F64">
        <v>2493424848.9037814</v>
      </c>
    </row>
    <row r="65" spans="2:6" ht="15.75" customHeight="1" x14ac:dyDescent="0.25">
      <c r="B65" t="str">
        <v>Aave V3</v>
      </c>
      <c r="C65" t="str">
        <v>Lending</v>
      </c>
      <c r="D65" t="str">
        <v>AAVE</v>
      </c>
      <c r="E65">
        <v>32997479606.175915</v>
      </c>
      <c r="F65">
        <v>0</v>
      </c>
    </row>
    <row r="66" spans="2:6" ht="15.75" customHeight="1" x14ac:dyDescent="0.25">
      <c r="B66" t="str">
        <v>Aave-Chan</v>
      </c>
      <c r="C66" t="str">
        <v>DAO Service Provider</v>
      </c>
      <c r="D66" t="str">
        <v>-</v>
      </c>
      <c r="E66">
        <v>0</v>
      </c>
      <c r="F66">
        <v>0</v>
      </c>
    </row>
    <row r="67" spans="2:6" ht="15.75" customHeight="1" x14ac:dyDescent="0.25">
      <c r="B67" t="str">
        <v>Aavegotchi</v>
      </c>
      <c r="C67" t="str">
        <v>Gaming</v>
      </c>
      <c r="D67" t="str">
        <v>GHST</v>
      </c>
      <c r="E67">
        <v>555277.47969729151</v>
      </c>
      <c r="F67">
        <v>9361540.1865746062</v>
      </c>
    </row>
    <row r="68" spans="2:6" ht="15.75" customHeight="1" x14ac:dyDescent="0.25">
      <c r="B68" t="str">
        <v>Abachi</v>
      </c>
      <c r="C68" t="str">
        <v>Services</v>
      </c>
      <c r="D68" t="str">
        <v>ABI</v>
      </c>
      <c r="E68">
        <v>0</v>
      </c>
      <c r="F68">
        <v>0</v>
      </c>
    </row>
    <row r="69" spans="2:6" ht="15.75" customHeight="1" x14ac:dyDescent="0.25">
      <c r="B69" t="str">
        <v>Abacus</v>
      </c>
      <c r="C69" t="str">
        <v>Governance Incentives</v>
      </c>
      <c r="D69" t="str">
        <v>-</v>
      </c>
      <c r="E69">
        <v>22813.61004156241</v>
      </c>
      <c r="F69">
        <v>0</v>
      </c>
    </row>
    <row r="70" spans="2:6" ht="15.75" customHeight="1" x14ac:dyDescent="0.25">
      <c r="B70" t="str">
        <v>ABC Pool</v>
      </c>
      <c r="C70" t="str">
        <v>Staking Pool</v>
      </c>
      <c r="D70" t="str">
        <v>ABC</v>
      </c>
      <c r="E70">
        <v>7576081.5766435759</v>
      </c>
      <c r="F70">
        <v>0</v>
      </c>
    </row>
    <row r="71" spans="2:6" ht="15.75" customHeight="1" x14ac:dyDescent="0.25">
      <c r="B71" t="str">
        <v>ABcDeFX</v>
      </c>
      <c r="C71" t="str">
        <v>Dexs</v>
      </c>
      <c r="D71" t="str">
        <v>-</v>
      </c>
      <c r="E71">
        <v>32.2308899547495</v>
      </c>
      <c r="F71">
        <v>0</v>
      </c>
    </row>
    <row r="72" spans="2:6" ht="15.75" customHeight="1" x14ac:dyDescent="0.25">
      <c r="B72" t="str">
        <v>ABEL Finance</v>
      </c>
      <c r="C72" t="str">
        <v>Lending</v>
      </c>
      <c r="D72" t="str">
        <v>ABEL</v>
      </c>
      <c r="E72">
        <v>257180.87540469936</v>
      </c>
      <c r="F72">
        <v>0</v>
      </c>
    </row>
    <row r="73" spans="2:6" ht="15.75" customHeight="1" x14ac:dyDescent="0.25">
      <c r="B73" t="str">
        <v>ABEx Finance</v>
      </c>
      <c r="C73" t="str">
        <v>Derivatives</v>
      </c>
      <c r="D73" t="str">
        <v>ALP</v>
      </c>
      <c r="E73">
        <v>2754.1900186844955</v>
      </c>
      <c r="F73">
        <v>0</v>
      </c>
    </row>
    <row r="74" spans="2:6" ht="15.75" customHeight="1" x14ac:dyDescent="0.25">
      <c r="B74" t="str">
        <v>Aboard Exchange</v>
      </c>
      <c r="C74" t="str">
        <v>Derivatives</v>
      </c>
      <c r="D74" t="str">
        <v>ABE</v>
      </c>
      <c r="E74">
        <v>125.16802275431745</v>
      </c>
      <c r="F74">
        <v>0</v>
      </c>
    </row>
    <row r="75" spans="2:6" ht="15.75" customHeight="1" x14ac:dyDescent="0.25">
      <c r="B75" t="str">
        <v>Aborean AMM</v>
      </c>
      <c r="C75" t="str">
        <v>Dexs</v>
      </c>
      <c r="D75" t="str">
        <v>ABX</v>
      </c>
      <c r="E75">
        <v>9039128.6705684643</v>
      </c>
      <c r="F75">
        <v>0</v>
      </c>
    </row>
    <row r="76" spans="2:6" ht="15.75" customHeight="1" x14ac:dyDescent="0.25">
      <c r="B76" t="str">
        <v>Aborean CL</v>
      </c>
      <c r="C76" t="str">
        <v>Dexs</v>
      </c>
      <c r="D76" t="str">
        <v>ABX</v>
      </c>
      <c r="E76">
        <v>6224841.9744617091</v>
      </c>
      <c r="F76">
        <v>0</v>
      </c>
    </row>
    <row r="77" spans="2:6" ht="15.75" customHeight="1" x14ac:dyDescent="0.25">
      <c r="B77" t="str">
        <v>Abracadabra Spell</v>
      </c>
      <c r="C77" t="str">
        <v>CDP</v>
      </c>
      <c r="D77" t="str">
        <v>SPELL</v>
      </c>
      <c r="E77">
        <v>15284105.515531175</v>
      </c>
      <c r="F77">
        <v>0</v>
      </c>
    </row>
    <row r="78" spans="2:6" ht="15.75" customHeight="1" x14ac:dyDescent="0.25">
      <c r="B78" t="str">
        <v>AbstraDEX</v>
      </c>
      <c r="C78" t="str">
        <v>Dexs</v>
      </c>
      <c r="D78" t="str">
        <v>-</v>
      </c>
      <c r="E78">
        <v>385446.02418388624</v>
      </c>
      <c r="F78">
        <v>0</v>
      </c>
    </row>
    <row r="79" spans="2:6" ht="15.75" customHeight="1" x14ac:dyDescent="0.25">
      <c r="B79" t="str">
        <v>Acala</v>
      </c>
      <c r="C79" t="str">
        <v>Canonical Bridge</v>
      </c>
      <c r="D79" t="str">
        <v>ACA</v>
      </c>
      <c r="E79">
        <v>0</v>
      </c>
      <c r="F79">
        <v>8912593.5241546687</v>
      </c>
    </row>
    <row r="80" spans="2:6" ht="15.75" customHeight="1" x14ac:dyDescent="0.25">
      <c r="B80" t="str">
        <v>Acala Dollar</v>
      </c>
      <c r="C80" t="str">
        <v>CDP</v>
      </c>
      <c r="D80" t="str">
        <v>aUSD</v>
      </c>
      <c r="E80">
        <v>0</v>
      </c>
      <c r="F80">
        <v>0</v>
      </c>
    </row>
    <row r="81" spans="2:6" ht="15.75" customHeight="1" x14ac:dyDescent="0.25">
      <c r="B81" t="str">
        <v>Acala Euphrates</v>
      </c>
      <c r="C81" t="str">
        <v>Yield</v>
      </c>
      <c r="D81" t="str">
        <v>DOT</v>
      </c>
      <c r="E81">
        <v>529119.04460830276</v>
      </c>
      <c r="F81">
        <v>0</v>
      </c>
    </row>
    <row r="82" spans="2:6" ht="15.75" customHeight="1" x14ac:dyDescent="0.25">
      <c r="B82" t="str">
        <v>Acala LCDOT</v>
      </c>
      <c r="C82" t="str">
        <v>Liquid Staking</v>
      </c>
      <c r="D82" t="str">
        <v>DOT</v>
      </c>
      <c r="E82">
        <v>5054241.8782072347</v>
      </c>
      <c r="F82">
        <v>0</v>
      </c>
    </row>
    <row r="83" spans="2:6" ht="15.75" customHeight="1" x14ac:dyDescent="0.25">
      <c r="B83" t="str">
        <v>Acala Liquid Staking</v>
      </c>
      <c r="C83" t="str">
        <v>Liquid Staking</v>
      </c>
      <c r="D83" t="str">
        <v>DOT</v>
      </c>
      <c r="E83">
        <v>6913563.760796438</v>
      </c>
      <c r="F83">
        <v>0</v>
      </c>
    </row>
    <row r="84" spans="2:6" ht="15.75" customHeight="1" x14ac:dyDescent="0.25">
      <c r="B84" t="str">
        <v>Acala Swap</v>
      </c>
      <c r="C84" t="str">
        <v>Dexs</v>
      </c>
      <c r="D84" t="str">
        <v>ACA</v>
      </c>
      <c r="E84">
        <v>0</v>
      </c>
      <c r="F84">
        <v>0</v>
      </c>
    </row>
    <row r="85" spans="2:6" ht="15.75" customHeight="1" x14ac:dyDescent="0.25">
      <c r="B85" t="str">
        <v>Access Protocol</v>
      </c>
      <c r="C85" t="str">
        <v>SoFi</v>
      </c>
      <c r="D85" t="str">
        <v>ACS</v>
      </c>
      <c r="E85">
        <v>0</v>
      </c>
      <c r="F85">
        <v>13558739.678408183</v>
      </c>
    </row>
    <row r="86" spans="2:6" ht="15.75" customHeight="1" x14ac:dyDescent="0.25">
      <c r="B86" t="str">
        <v>Accountable</v>
      </c>
      <c r="C86" t="str">
        <v>Uncollateralized Lending</v>
      </c>
      <c r="D86" t="str">
        <v>-</v>
      </c>
      <c r="E86">
        <v>7472.1226938411555</v>
      </c>
      <c r="F86">
        <v>0</v>
      </c>
    </row>
    <row r="87" spans="2:6" ht="15.75" customHeight="1" x14ac:dyDescent="0.25">
      <c r="B87" t="str">
        <v>Accumulated Finance Lending</v>
      </c>
      <c r="C87" t="str">
        <v>Lending</v>
      </c>
      <c r="D87" t="str">
        <v>-</v>
      </c>
      <c r="E87">
        <v>204882.55789494351</v>
      </c>
      <c r="F87">
        <v>0</v>
      </c>
    </row>
    <row r="88" spans="2:6" ht="15.75" customHeight="1" x14ac:dyDescent="0.25">
      <c r="B88" t="str">
        <v>Accumulated Finance Liquid Staking</v>
      </c>
      <c r="C88" t="str">
        <v>Liquid Staking</v>
      </c>
      <c r="D88" t="str">
        <v>-</v>
      </c>
      <c r="E88">
        <v>1162492.0362970221</v>
      </c>
      <c r="F88">
        <v>0</v>
      </c>
    </row>
    <row r="89" spans="2:6" ht="15.75" customHeight="1" x14ac:dyDescent="0.25">
      <c r="B89" t="str">
        <v>Accumulator</v>
      </c>
      <c r="C89" t="str">
        <v>Yield Aggregator</v>
      </c>
      <c r="D89" t="str">
        <v>-</v>
      </c>
      <c r="E89">
        <v>2428.8095122478203</v>
      </c>
      <c r="F89">
        <v>0</v>
      </c>
    </row>
    <row r="90" spans="2:6" ht="15.75" customHeight="1" x14ac:dyDescent="0.25">
      <c r="B90" t="str">
        <v>Ace of Base</v>
      </c>
      <c r="C90" t="str">
        <v>Farm</v>
      </c>
      <c r="D90" t="str">
        <v>ACE</v>
      </c>
      <c r="E90">
        <v>22.402281854975985</v>
      </c>
      <c r="F90">
        <v>0</v>
      </c>
    </row>
    <row r="91" spans="2:6" ht="15.75" customHeight="1" x14ac:dyDescent="0.25">
      <c r="B91" t="str">
        <v>ACET</v>
      </c>
      <c r="C91" t="str">
        <v>Farm</v>
      </c>
      <c r="D91" t="str">
        <v>ACT</v>
      </c>
      <c r="E91">
        <v>0</v>
      </c>
      <c r="F91">
        <v>21729022.815347888</v>
      </c>
    </row>
    <row r="92" spans="2:6" ht="15.75" customHeight="1" x14ac:dyDescent="0.25">
      <c r="B92" t="str">
        <v>ACoconut</v>
      </c>
      <c r="C92" t="str">
        <v>Yield</v>
      </c>
      <c r="D92" t="str">
        <v>AC</v>
      </c>
      <c r="E92">
        <v>5681.0213813539258</v>
      </c>
      <c r="F92">
        <v>0</v>
      </c>
    </row>
    <row r="93" spans="2:6" ht="15.75" customHeight="1" x14ac:dyDescent="0.25">
      <c r="B93" t="str">
        <v>Across</v>
      </c>
      <c r="C93" t="str">
        <v>Cross Chain Bridge</v>
      </c>
      <c r="D93" t="str">
        <v>ACX</v>
      </c>
      <c r="E93">
        <v>44819209.935033843</v>
      </c>
      <c r="F93">
        <v>35040402.27820114</v>
      </c>
    </row>
    <row r="94" spans="2:6" ht="15.75" customHeight="1" x14ac:dyDescent="0.25">
      <c r="B94" t="str">
        <v>ACryptoS</v>
      </c>
      <c r="C94" t="str">
        <v>Liquidity manager</v>
      </c>
      <c r="D94" t="str">
        <v>ACS</v>
      </c>
      <c r="E94">
        <v>10554773.048289619</v>
      </c>
      <c r="F94">
        <v>350976.1524491231</v>
      </c>
    </row>
    <row r="95" spans="2:6" ht="15.75" customHeight="1" x14ac:dyDescent="0.25">
      <c r="B95" t="str">
        <v>Acumen</v>
      </c>
      <c r="C95" t="str">
        <v>Lending</v>
      </c>
      <c r="D95" t="str">
        <v>ACM</v>
      </c>
      <c r="E95">
        <v>0</v>
      </c>
      <c r="F95">
        <v>0</v>
      </c>
    </row>
    <row r="96" spans="2:6" ht="15.75" customHeight="1" x14ac:dyDescent="0.25">
      <c r="B96" t="str">
        <v>Ad-Astra Bridge</v>
      </c>
      <c r="C96" t="str">
        <v>Bridge</v>
      </c>
      <c r="D96" t="str">
        <v>-</v>
      </c>
      <c r="E96">
        <v>4.627122616687017</v>
      </c>
      <c r="F96">
        <v>0</v>
      </c>
    </row>
    <row r="97" spans="2:6" ht="15.75" customHeight="1" x14ac:dyDescent="0.25">
      <c r="B97" t="str">
        <v>Adamant Finance</v>
      </c>
      <c r="C97" t="str">
        <v>Yield</v>
      </c>
      <c r="D97" t="str">
        <v>ADDY</v>
      </c>
      <c r="E97">
        <v>519732.39002796903</v>
      </c>
      <c r="F97">
        <v>0</v>
      </c>
    </row>
    <row r="98" spans="2:6" ht="15.75" customHeight="1" x14ac:dyDescent="0.25">
      <c r="B98" t="str">
        <v>ADAO</v>
      </c>
      <c r="C98" t="str">
        <v>Yield</v>
      </c>
      <c r="D98" t="str">
        <v>ibASTR</v>
      </c>
      <c r="E98">
        <v>1738.4754534100573</v>
      </c>
      <c r="F98">
        <v>0</v>
      </c>
    </row>
    <row r="99" spans="2:6" ht="15.75" customHeight="1" x14ac:dyDescent="0.25">
      <c r="B99" t="str">
        <v>AdaSwap</v>
      </c>
      <c r="C99" t="str">
        <v>Dexs</v>
      </c>
      <c r="D99" t="str">
        <v>ASW</v>
      </c>
      <c r="E99">
        <v>0</v>
      </c>
      <c r="F99">
        <v>0</v>
      </c>
    </row>
    <row r="100" spans="2:6" ht="15.75" customHeight="1" x14ac:dyDescent="0.25">
      <c r="B100" t="str">
        <v>ADAX Pro</v>
      </c>
      <c r="C100" t="str">
        <v>Dexs</v>
      </c>
      <c r="D100" t="str">
        <v>ADAX</v>
      </c>
      <c r="E100">
        <v>0</v>
      </c>
      <c r="F100">
        <v>0</v>
      </c>
    </row>
    <row r="101" spans="2:6" ht="15.75" customHeight="1" x14ac:dyDescent="0.25">
      <c r="B101" t="str">
        <v>ADEN</v>
      </c>
      <c r="C101" t="str">
        <v>Interface</v>
      </c>
      <c r="D101" t="str">
        <v>-</v>
      </c>
      <c r="E101">
        <v>0</v>
      </c>
      <c r="F101">
        <v>0</v>
      </c>
    </row>
    <row r="102" spans="2:6" ht="15.75" customHeight="1" x14ac:dyDescent="0.25">
      <c r="B102" t="str">
        <v>Adena Finance</v>
      </c>
      <c r="C102" t="str">
        <v>Dexs</v>
      </c>
      <c r="D102" t="str">
        <v>ADENA</v>
      </c>
      <c r="E102">
        <v>46.036336901253819</v>
      </c>
      <c r="F102">
        <v>0</v>
      </c>
    </row>
    <row r="103" spans="2:6" ht="15.75" customHeight="1" x14ac:dyDescent="0.25">
      <c r="B103" t="str">
        <v>Adrastea LRT</v>
      </c>
      <c r="C103" t="str">
        <v>Liquid Restaking</v>
      </c>
      <c r="D103" t="str">
        <v>-</v>
      </c>
      <c r="E103">
        <v>1753136.4593035576</v>
      </c>
      <c r="F103">
        <v>0</v>
      </c>
    </row>
    <row r="104" spans="2:6" ht="15.75" customHeight="1" x14ac:dyDescent="0.25">
      <c r="B104" t="str">
        <v>Adrastea LST</v>
      </c>
      <c r="C104" t="str">
        <v>Liquid Staking</v>
      </c>
      <c r="D104" t="str">
        <v>-</v>
      </c>
      <c r="E104">
        <v>7490618.1583572989</v>
      </c>
      <c r="F104">
        <v>0</v>
      </c>
    </row>
    <row r="105" spans="2:6" ht="15.75" customHeight="1" x14ac:dyDescent="0.25">
      <c r="B105" t="str">
        <v>Adrastea Restaking Operator</v>
      </c>
      <c r="C105" t="str">
        <v>Staking Pool</v>
      </c>
      <c r="D105" t="str">
        <v>-</v>
      </c>
      <c r="E105">
        <v>0</v>
      </c>
      <c r="F105">
        <v>0</v>
      </c>
    </row>
    <row r="106" spans="2:6" ht="15.75" customHeight="1" x14ac:dyDescent="0.25">
      <c r="B106" t="str">
        <v>Adrastea Validator</v>
      </c>
      <c r="C106" t="str">
        <v>Staking Pool</v>
      </c>
      <c r="D106" t="str">
        <v>-</v>
      </c>
      <c r="E106">
        <v>23647465.271385476</v>
      </c>
      <c r="F106">
        <v>0</v>
      </c>
    </row>
    <row r="107" spans="2:6" ht="15.75" customHeight="1" x14ac:dyDescent="0.25">
      <c r="B107" t="str">
        <v>Adrastea Yield</v>
      </c>
      <c r="C107" t="str">
        <v>Yield</v>
      </c>
      <c r="D107" t="str">
        <v>-</v>
      </c>
      <c r="E107">
        <v>85568.70260793854</v>
      </c>
      <c r="F107">
        <v>0</v>
      </c>
    </row>
    <row r="108" spans="2:6" ht="15.75" customHeight="1" x14ac:dyDescent="0.25">
      <c r="B108" t="str">
        <v>Adrena Protocol</v>
      </c>
      <c r="C108" t="str">
        <v>Derivatives</v>
      </c>
      <c r="D108" t="str">
        <v>ADX</v>
      </c>
      <c r="E108">
        <v>1589530.8825484687</v>
      </c>
      <c r="F108">
        <v>1376753.9676359938</v>
      </c>
    </row>
    <row r="109" spans="2:6" ht="15.75" customHeight="1" x14ac:dyDescent="0.25">
      <c r="B109" t="str">
        <v>Aegis</v>
      </c>
      <c r="C109" t="str">
        <v>Basis Trading</v>
      </c>
      <c r="D109" t="str">
        <v>-</v>
      </c>
      <c r="E109">
        <v>42537079.705508322</v>
      </c>
      <c r="F109">
        <v>0</v>
      </c>
    </row>
    <row r="110" spans="2:6" ht="15.75" customHeight="1" x14ac:dyDescent="0.25">
      <c r="B110" t="str">
        <v>Aegis Markets</v>
      </c>
      <c r="C110" t="str">
        <v>Liquidity manager</v>
      </c>
      <c r="D110" t="str">
        <v>-</v>
      </c>
      <c r="E110">
        <v>5501989.5891304649</v>
      </c>
      <c r="F110">
        <v>0</v>
      </c>
    </row>
    <row r="111" spans="2:6" ht="15.75" customHeight="1" x14ac:dyDescent="0.25">
      <c r="B111" t="str">
        <v>Aelin</v>
      </c>
      <c r="C111" t="str">
        <v>Charity Fundraising</v>
      </c>
      <c r="D111" t="str">
        <v>Aelin</v>
      </c>
      <c r="E111">
        <v>25613.234476944552</v>
      </c>
      <c r="F111">
        <v>0</v>
      </c>
    </row>
    <row r="112" spans="2:6" ht="15.75" customHeight="1" x14ac:dyDescent="0.25">
      <c r="B112" t="str">
        <v>Aequinox</v>
      </c>
      <c r="C112" t="str">
        <v>Dexs</v>
      </c>
      <c r="D112" t="str">
        <v>AEQ</v>
      </c>
      <c r="E112">
        <v>634192.60058544134</v>
      </c>
      <c r="F112">
        <v>0</v>
      </c>
    </row>
    <row r="113" spans="2:6" ht="15.75" customHeight="1" x14ac:dyDescent="0.25">
      <c r="B113" t="str">
        <v>Aera V2</v>
      </c>
      <c r="C113" t="str">
        <v>Onchain Capital Allocator</v>
      </c>
      <c r="D113" t="str">
        <v>-</v>
      </c>
      <c r="E113">
        <v>51075967.213955462</v>
      </c>
      <c r="F113">
        <v>0</v>
      </c>
    </row>
    <row r="114" spans="2:6" ht="15.75" customHeight="1" x14ac:dyDescent="0.25">
      <c r="B114" t="str">
        <v>Aera V3</v>
      </c>
      <c r="C114" t="str">
        <v>Onchain Capital Allocator</v>
      </c>
      <c r="D114" t="str">
        <v>-</v>
      </c>
      <c r="E114">
        <v>88520299.414965391</v>
      </c>
      <c r="F114">
        <v>0</v>
      </c>
    </row>
    <row r="115" spans="2:6" ht="15.75" customHeight="1" x14ac:dyDescent="0.25">
      <c r="B115" t="str">
        <v>Aeria</v>
      </c>
      <c r="C115" t="str">
        <v>Options Vault</v>
      </c>
      <c r="D115" t="str">
        <v>-</v>
      </c>
      <c r="E115">
        <v>365.10013783822814</v>
      </c>
      <c r="F115">
        <v>0</v>
      </c>
    </row>
    <row r="116" spans="2:6" ht="15.75" customHeight="1" x14ac:dyDescent="0.25">
      <c r="B116" t="str">
        <v>Aerie Lab</v>
      </c>
      <c r="C116" t="str">
        <v>Dexs</v>
      </c>
      <c r="D116" t="str">
        <v>-</v>
      </c>
      <c r="E116">
        <v>0</v>
      </c>
      <c r="F116">
        <v>0</v>
      </c>
    </row>
    <row r="117" spans="2:6" ht="15.75" customHeight="1" x14ac:dyDescent="0.25">
      <c r="B117" t="str">
        <v>Aerodrome Ignition</v>
      </c>
      <c r="C117" t="str">
        <v>Launchpad</v>
      </c>
      <c r="D117" t="str">
        <v>AERO</v>
      </c>
      <c r="E117">
        <v>27756730.823187143</v>
      </c>
      <c r="F117">
        <v>0</v>
      </c>
    </row>
    <row r="118" spans="2:6" ht="15.75" customHeight="1" x14ac:dyDescent="0.25">
      <c r="B118" t="str">
        <v>Aerodrome Slipstream</v>
      </c>
      <c r="C118" t="str">
        <v>Dexs</v>
      </c>
      <c r="D118" t="str">
        <v>AERO</v>
      </c>
      <c r="E118">
        <v>271689597.99480987</v>
      </c>
      <c r="F118">
        <v>0</v>
      </c>
    </row>
    <row r="119" spans="2:6" ht="15.75" customHeight="1" x14ac:dyDescent="0.25">
      <c r="B119" t="str">
        <v>Aerodrome V1</v>
      </c>
      <c r="C119" t="str">
        <v>Dexs</v>
      </c>
      <c r="D119" t="str">
        <v>AERO</v>
      </c>
      <c r="E119">
        <v>171896436.32975069</v>
      </c>
      <c r="F119">
        <v>0</v>
      </c>
    </row>
    <row r="120" spans="2:6" ht="15.75" customHeight="1" x14ac:dyDescent="0.25">
      <c r="B120" t="str">
        <v>Aerostrategy</v>
      </c>
      <c r="C120" t="str">
        <v>ve-Incentive Automator</v>
      </c>
      <c r="D120" t="str">
        <v>AEROSTRAT</v>
      </c>
      <c r="E120">
        <v>5810.2072085330092</v>
      </c>
      <c r="F120">
        <v>0</v>
      </c>
    </row>
    <row r="121" spans="2:6" ht="15.75" customHeight="1" x14ac:dyDescent="0.25">
      <c r="B121" t="str">
        <v>Aethir</v>
      </c>
      <c r="C121" t="str">
        <v>Developer Tools</v>
      </c>
      <c r="D121" t="str">
        <v>ATH</v>
      </c>
      <c r="E121">
        <v>0</v>
      </c>
      <c r="F121">
        <v>165445314.71386737</v>
      </c>
    </row>
    <row r="122" spans="2:6" ht="15.75" customHeight="1" x14ac:dyDescent="0.25">
      <c r="B122" t="str">
        <v>AethonSwap</v>
      </c>
      <c r="C122" t="str">
        <v>Dexs</v>
      </c>
      <c r="D122" t="str">
        <v>AETHON</v>
      </c>
      <c r="E122">
        <v>1061.4885613491863</v>
      </c>
      <c r="F122">
        <v>0</v>
      </c>
    </row>
    <row r="123" spans="2:6" ht="15.75" customHeight="1" x14ac:dyDescent="0.25">
      <c r="B123" t="str">
        <v>Aevo Options</v>
      </c>
      <c r="C123" t="str">
        <v>Options</v>
      </c>
      <c r="D123" t="str">
        <v>AEVO</v>
      </c>
      <c r="E123">
        <v>0</v>
      </c>
      <c r="F123">
        <v>0</v>
      </c>
    </row>
    <row r="124" spans="2:6" ht="15.75" customHeight="1" x14ac:dyDescent="0.25">
      <c r="B124" t="str">
        <v>Aevo Perps</v>
      </c>
      <c r="C124" t="str">
        <v>Derivatives</v>
      </c>
      <c r="D124" t="str">
        <v>AEVO</v>
      </c>
      <c r="E124">
        <v>27201971.153596304</v>
      </c>
      <c r="F124">
        <v>0</v>
      </c>
    </row>
    <row r="125" spans="2:6" ht="15.75" customHeight="1" x14ac:dyDescent="0.25">
      <c r="B125" t="str">
        <v>Affine DeFi Earn</v>
      </c>
      <c r="C125" t="str">
        <v>Yield Aggregator</v>
      </c>
      <c r="D125" t="str">
        <v>-</v>
      </c>
      <c r="E125">
        <v>42981.307438202704</v>
      </c>
      <c r="F125">
        <v>0</v>
      </c>
    </row>
    <row r="126" spans="2:6" ht="15.75" customHeight="1" x14ac:dyDescent="0.25">
      <c r="B126" t="str">
        <v>Affine Restaking</v>
      </c>
      <c r="C126" t="str">
        <v>Liquid Restaking</v>
      </c>
      <c r="D126" t="str">
        <v>-</v>
      </c>
      <c r="E126">
        <v>156547.71622295759</v>
      </c>
      <c r="F126">
        <v>0</v>
      </c>
    </row>
    <row r="127" spans="2:6" ht="15.75" customHeight="1" x14ac:dyDescent="0.25">
      <c r="B127" t="str">
        <v>Affluent</v>
      </c>
      <c r="C127" t="str">
        <v>Lending</v>
      </c>
      <c r="D127" t="str">
        <v>-</v>
      </c>
      <c r="E127">
        <v>5721621.5177817615</v>
      </c>
      <c r="F127">
        <v>0</v>
      </c>
    </row>
    <row r="128" spans="2:6" ht="15.75" customHeight="1" x14ac:dyDescent="0.25">
      <c r="B128" t="str">
        <v>AfraSwap</v>
      </c>
      <c r="C128" t="str">
        <v>Dexs</v>
      </c>
      <c r="D128" t="str">
        <v>AFRA</v>
      </c>
      <c r="E128">
        <v>583.46601870448046</v>
      </c>
      <c r="F128">
        <v>0</v>
      </c>
    </row>
    <row r="129" spans="2:6" ht="15.75" customHeight="1" x14ac:dyDescent="0.25">
      <c r="B129" t="str">
        <v>Aftermath afSUI</v>
      </c>
      <c r="C129" t="str">
        <v>Liquid Staking</v>
      </c>
      <c r="D129" t="str">
        <v>-</v>
      </c>
      <c r="E129">
        <v>11337367.908466727</v>
      </c>
      <c r="F129">
        <v>0</v>
      </c>
    </row>
    <row r="130" spans="2:6" ht="15.75" customHeight="1" x14ac:dyDescent="0.25">
      <c r="B130" t="str">
        <v>Aftermath Aggregator</v>
      </c>
      <c r="C130" t="str">
        <v>DEX Aggregator</v>
      </c>
      <c r="D130" t="str">
        <v>-</v>
      </c>
      <c r="E130">
        <v>0</v>
      </c>
      <c r="F130">
        <v>0</v>
      </c>
    </row>
    <row r="131" spans="2:6" ht="15.75" customHeight="1" x14ac:dyDescent="0.25">
      <c r="B131" t="str">
        <v>Aftermath AMM</v>
      </c>
      <c r="C131" t="str">
        <v>Dexs</v>
      </c>
      <c r="D131" t="str">
        <v>-</v>
      </c>
      <c r="E131">
        <v>9778752.2646648046</v>
      </c>
      <c r="F131">
        <v>0</v>
      </c>
    </row>
    <row r="132" spans="2:6" ht="15.75" customHeight="1" x14ac:dyDescent="0.25">
      <c r="B132" t="str">
        <v>AgarthaDAO</v>
      </c>
      <c r="C132" t="str">
        <v>Reserve Currency</v>
      </c>
      <c r="D132" t="str">
        <v>CLAVIS</v>
      </c>
      <c r="E132">
        <v>0</v>
      </c>
      <c r="F132">
        <v>0</v>
      </c>
    </row>
    <row r="133" spans="2:6" ht="15.75" customHeight="1" x14ac:dyDescent="0.25">
      <c r="B133" t="str">
        <v>Agave</v>
      </c>
      <c r="C133" t="str">
        <v>Lending</v>
      </c>
      <c r="D133" t="str">
        <v>AGVE</v>
      </c>
      <c r="E133">
        <v>122164.45941307343</v>
      </c>
      <c r="F133">
        <v>4421502.9963578796</v>
      </c>
    </row>
    <row r="134" spans="2:6" ht="15.75" customHeight="1" x14ac:dyDescent="0.25">
      <c r="B134" t="str">
        <v>AGDEX</v>
      </c>
      <c r="C134" t="str">
        <v>Derivatives</v>
      </c>
      <c r="D134" t="str">
        <v>-</v>
      </c>
      <c r="E134">
        <v>122.99728575946298</v>
      </c>
      <c r="F134">
        <v>0</v>
      </c>
    </row>
    <row r="135" spans="2:6" ht="15.75" customHeight="1" x14ac:dyDescent="0.25">
      <c r="B135" t="str">
        <v>AgentFi</v>
      </c>
      <c r="C135" t="str">
        <v>AI Agents</v>
      </c>
      <c r="D135" t="str">
        <v>-</v>
      </c>
      <c r="E135">
        <v>181999.4657139584</v>
      </c>
      <c r="F135">
        <v>0</v>
      </c>
    </row>
    <row r="136" spans="2:6" ht="15.75" customHeight="1" x14ac:dyDescent="0.25">
      <c r="B136" t="str">
        <v>Aggre</v>
      </c>
      <c r="C136" t="str">
        <v>DEX Aggregator</v>
      </c>
      <c r="D136" t="str">
        <v>-</v>
      </c>
      <c r="E136">
        <v>0</v>
      </c>
      <c r="F136">
        <v>0</v>
      </c>
    </row>
    <row r="137" spans="2:6" ht="15.75" customHeight="1" x14ac:dyDescent="0.25">
      <c r="B137" t="str">
        <v>AggreLend</v>
      </c>
      <c r="C137" t="str">
        <v>Yield Aggregator</v>
      </c>
      <c r="D137" t="str">
        <v>-</v>
      </c>
      <c r="E137">
        <v>382195.08653241978</v>
      </c>
      <c r="F137">
        <v>0</v>
      </c>
    </row>
    <row r="138" spans="2:6" ht="15.75" customHeight="1" x14ac:dyDescent="0.25">
      <c r="B138" t="str">
        <v>Agile Finance</v>
      </c>
      <c r="C138" t="str">
        <v>Lending</v>
      </c>
      <c r="D138" t="str">
        <v>AGL</v>
      </c>
      <c r="E138">
        <v>0</v>
      </c>
      <c r="F138">
        <v>0</v>
      </c>
    </row>
    <row r="139" spans="2:6" ht="15.75" customHeight="1" x14ac:dyDescent="0.25">
      <c r="B139" t="str">
        <v>Agility LSD</v>
      </c>
      <c r="C139" t="str">
        <v>Indexes</v>
      </c>
      <c r="D139" t="str">
        <v>AGI</v>
      </c>
      <c r="E139">
        <v>31808.490191640234</v>
      </c>
      <c r="F139">
        <v>0</v>
      </c>
    </row>
    <row r="140" spans="2:6" ht="15.75" customHeight="1" x14ac:dyDescent="0.25">
      <c r="B140" t="str">
        <v>Agni Finance</v>
      </c>
      <c r="C140" t="str">
        <v>Dexs</v>
      </c>
      <c r="D140" t="str">
        <v>-</v>
      </c>
      <c r="E140">
        <v>37601424.937137589</v>
      </c>
      <c r="F140">
        <v>0</v>
      </c>
    </row>
    <row r="141" spans="2:6" ht="15.75" customHeight="1" x14ac:dyDescent="0.25">
      <c r="B141" t="str">
        <v>Agora</v>
      </c>
      <c r="C141" t="str">
        <v>Lending</v>
      </c>
      <c r="D141" t="str">
        <v>AGORA</v>
      </c>
      <c r="E141">
        <v>7793.18606331308</v>
      </c>
      <c r="F141">
        <v>8833.1013041321967</v>
      </c>
    </row>
    <row r="142" spans="2:6" ht="15.75" customHeight="1" x14ac:dyDescent="0.25">
      <c r="B142" t="str">
        <v>AGS Finance</v>
      </c>
      <c r="C142" t="str">
        <v>Dexs</v>
      </c>
      <c r="D142" t="str">
        <v>AGS</v>
      </c>
      <c r="E142">
        <v>1469.3337578241235</v>
      </c>
      <c r="F142">
        <v>0</v>
      </c>
    </row>
    <row r="143" spans="2:6" ht="15.75" customHeight="1" x14ac:dyDescent="0.25">
      <c r="B143" t="str">
        <v>Agus</v>
      </c>
      <c r="C143" t="str">
        <v>Dexs</v>
      </c>
      <c r="D143" t="str">
        <v>AGUS</v>
      </c>
      <c r="E143">
        <v>4.1075567145287484E-2</v>
      </c>
      <c r="F143">
        <v>0</v>
      </c>
    </row>
    <row r="144" spans="2:6" ht="15.75" customHeight="1" x14ac:dyDescent="0.25">
      <c r="B144" t="str">
        <v>AIDApp</v>
      </c>
      <c r="C144" t="str">
        <v>Launchpad</v>
      </c>
      <c r="D144" t="str">
        <v>-</v>
      </c>
      <c r="E144">
        <v>1.9790407517985364</v>
      </c>
      <c r="F144">
        <v>0</v>
      </c>
    </row>
    <row r="145" spans="2:6" ht="15.75" customHeight="1" x14ac:dyDescent="0.25">
      <c r="B145" t="str">
        <v>AILayer farm</v>
      </c>
      <c r="C145" t="str">
        <v>Farm</v>
      </c>
      <c r="D145" t="str">
        <v>-</v>
      </c>
      <c r="E145">
        <v>92605427.371099502</v>
      </c>
      <c r="F145">
        <v>0</v>
      </c>
    </row>
    <row r="146" spans="2:6" ht="15.75" customHeight="1" x14ac:dyDescent="0.25">
      <c r="B146" t="str">
        <v>Aimbot</v>
      </c>
      <c r="C146" t="str">
        <v>Telegram Bot</v>
      </c>
      <c r="D146" t="str">
        <v>AIMBOT</v>
      </c>
      <c r="E146">
        <v>0</v>
      </c>
      <c r="F146">
        <v>4366.5445013009776</v>
      </c>
    </row>
    <row r="147" spans="2:6" ht="15.75" customHeight="1" x14ac:dyDescent="0.25">
      <c r="B147" t="str">
        <v>AImstrong</v>
      </c>
      <c r="C147" t="str">
        <v>Lending</v>
      </c>
      <c r="D147" t="str">
        <v>-</v>
      </c>
      <c r="E147">
        <v>393.38525935657594</v>
      </c>
      <c r="F147">
        <v>0</v>
      </c>
    </row>
    <row r="148" spans="2:6" ht="15.75" customHeight="1" x14ac:dyDescent="0.25">
      <c r="B148" t="str">
        <v>AINN Swap</v>
      </c>
      <c r="C148" t="str">
        <v>Dexs</v>
      </c>
      <c r="D148" t="str">
        <v>-</v>
      </c>
      <c r="E148">
        <v>119575.26719508947</v>
      </c>
      <c r="F148">
        <v>0</v>
      </c>
    </row>
    <row r="149" spans="2:6" ht="15.75" customHeight="1" x14ac:dyDescent="0.25">
      <c r="B149" t="str">
        <v>AirDAO Bridge</v>
      </c>
      <c r="C149" t="str">
        <v>Bridge</v>
      </c>
      <c r="D149" t="str">
        <v>-</v>
      </c>
      <c r="E149">
        <v>1442.3617664807891</v>
      </c>
      <c r="F149">
        <v>0</v>
      </c>
    </row>
    <row r="150" spans="2:6" ht="15.75" customHeight="1" x14ac:dyDescent="0.25">
      <c r="B150" t="str">
        <v>AirPuff</v>
      </c>
      <c r="C150" t="str">
        <v>Leveraged Farming</v>
      </c>
      <c r="D150" t="str">
        <v>APUFF</v>
      </c>
      <c r="E150">
        <v>868609.68624629988</v>
      </c>
      <c r="F150">
        <v>0</v>
      </c>
    </row>
    <row r="151" spans="2:6" ht="15.75" customHeight="1" x14ac:dyDescent="0.25">
      <c r="B151" t="str">
        <v>AirSwap</v>
      </c>
      <c r="C151" t="str">
        <v>DEX Aggregator</v>
      </c>
      <c r="D151" t="str">
        <v>AST</v>
      </c>
      <c r="E151">
        <v>0</v>
      </c>
      <c r="F151">
        <v>3401557.081482905</v>
      </c>
    </row>
    <row r="152" spans="2:6" ht="15.75" customHeight="1" x14ac:dyDescent="0.25">
      <c r="B152" t="str">
        <v>AITECH</v>
      </c>
      <c r="C152" t="str">
        <v>Services</v>
      </c>
      <c r="D152" t="str">
        <v>AITECH</v>
      </c>
      <c r="E152">
        <v>0</v>
      </c>
      <c r="F152">
        <v>18599417.895196788</v>
      </c>
    </row>
    <row r="153" spans="2:6" ht="15.75" customHeight="1" x14ac:dyDescent="0.25">
      <c r="B153" t="str">
        <v>aixCB</v>
      </c>
      <c r="C153" t="str">
        <v>Farm</v>
      </c>
      <c r="D153" t="str">
        <v>AIXCB</v>
      </c>
      <c r="E153">
        <v>0</v>
      </c>
      <c r="F153">
        <v>400952.8864359557</v>
      </c>
    </row>
    <row r="154" spans="2:6" ht="15.75" customHeight="1" x14ac:dyDescent="0.25">
      <c r="B154" t="str">
        <v>Ajira Pay Finance V1</v>
      </c>
      <c r="C154" t="str">
        <v>Payments</v>
      </c>
      <c r="D154" t="str">
        <v>AJP</v>
      </c>
      <c r="E154">
        <v>36.628678584941206</v>
      </c>
      <c r="F154">
        <v>0</v>
      </c>
    </row>
    <row r="155" spans="2:6" ht="15.75" customHeight="1" x14ac:dyDescent="0.25">
      <c r="B155" t="str">
        <v>Ajira Pay Finance V2</v>
      </c>
      <c r="C155" t="str">
        <v>Payments</v>
      </c>
      <c r="D155" t="str">
        <v>AJP</v>
      </c>
      <c r="E155">
        <v>3360.3143687114684</v>
      </c>
      <c r="F155">
        <v>0</v>
      </c>
    </row>
    <row r="156" spans="2:6" ht="15.75" customHeight="1" x14ac:dyDescent="0.25">
      <c r="B156" t="str">
        <v>Ajna V1</v>
      </c>
      <c r="C156" t="str">
        <v>Lending</v>
      </c>
      <c r="D156" t="str">
        <v>AJNA</v>
      </c>
      <c r="E156">
        <v>597336.37226919795</v>
      </c>
      <c r="F156">
        <v>0</v>
      </c>
    </row>
    <row r="157" spans="2:6" ht="15.75" customHeight="1" x14ac:dyDescent="0.25">
      <c r="B157" t="str">
        <v>Ajna V2</v>
      </c>
      <c r="C157" t="str">
        <v>Lending</v>
      </c>
      <c r="D157" t="str">
        <v>AJNA</v>
      </c>
      <c r="E157">
        <v>734109.88699726714</v>
      </c>
      <c r="F157">
        <v>0</v>
      </c>
    </row>
    <row r="158" spans="2:6" ht="15.75" customHeight="1" x14ac:dyDescent="0.25">
      <c r="B158" t="str">
        <v>Akiba Finance</v>
      </c>
      <c r="C158" t="str">
        <v>Algo-Stables</v>
      </c>
      <c r="D158" t="str">
        <v>AKIBA</v>
      </c>
      <c r="E158">
        <v>0</v>
      </c>
      <c r="F158">
        <v>0</v>
      </c>
    </row>
    <row r="159" spans="2:6" ht="15.75" customHeight="1" x14ac:dyDescent="0.25">
      <c r="B159" t="str">
        <v>AkitaSwap</v>
      </c>
      <c r="C159" t="str">
        <v>Dexs</v>
      </c>
      <c r="D159" t="str">
        <v>-</v>
      </c>
      <c r="E159">
        <v>62323.95809712843</v>
      </c>
      <c r="F159">
        <v>0</v>
      </c>
    </row>
    <row r="160" spans="2:6" ht="15.75" customHeight="1" x14ac:dyDescent="0.25">
      <c r="B160" t="str">
        <v>AKKA</v>
      </c>
      <c r="C160" t="str">
        <v>DEX Aggregator</v>
      </c>
      <c r="D160" t="str">
        <v>-</v>
      </c>
      <c r="E160">
        <v>0</v>
      </c>
      <c r="F160">
        <v>0</v>
      </c>
    </row>
    <row r="161" spans="2:6" ht="15.75" customHeight="1" x14ac:dyDescent="0.25">
      <c r="B161" t="str">
        <v>Akronswap</v>
      </c>
      <c r="C161" t="str">
        <v>Dexs</v>
      </c>
      <c r="D161" t="str">
        <v>-</v>
      </c>
      <c r="E161">
        <v>3220.3081521451059</v>
      </c>
      <c r="F161">
        <v>0</v>
      </c>
    </row>
    <row r="162" spans="2:6" ht="15.75" customHeight="1" x14ac:dyDescent="0.25">
      <c r="B162" t="str">
        <v>Akropolis</v>
      </c>
      <c r="C162" t="str">
        <v>Yield</v>
      </c>
      <c r="D162" t="str">
        <v>AKRO</v>
      </c>
      <c r="E162">
        <v>0</v>
      </c>
      <c r="F162">
        <v>205260.38899751793</v>
      </c>
    </row>
    <row r="163" spans="2:6" ht="15.75" customHeight="1" x14ac:dyDescent="0.25">
      <c r="B163" t="str">
        <v>Aktionariat</v>
      </c>
      <c r="C163" t="str">
        <v>RWA</v>
      </c>
      <c r="D163" t="str">
        <v>DAKS</v>
      </c>
      <c r="E163">
        <v>9151552.0498945899</v>
      </c>
      <c r="F163">
        <v>0</v>
      </c>
    </row>
    <row r="164" spans="2:6" ht="15.75" customHeight="1" x14ac:dyDescent="0.25">
      <c r="B164" t="str">
        <v>Aladdin DAO</v>
      </c>
      <c r="C164" t="str">
        <v>Yield Aggregator</v>
      </c>
      <c r="D164" t="str">
        <v>ALD</v>
      </c>
      <c r="E164">
        <v>37450.799289368268</v>
      </c>
      <c r="F164">
        <v>3863503.6863763309</v>
      </c>
    </row>
    <row r="165" spans="2:6" ht="15.75" customHeight="1" x14ac:dyDescent="0.25">
      <c r="B165" t="str">
        <v>Alchemist</v>
      </c>
      <c r="C165" t="str">
        <v>Yield</v>
      </c>
      <c r="D165" t="str">
        <v>MIST</v>
      </c>
      <c r="E165">
        <v>461025.42958294851</v>
      </c>
      <c r="F165">
        <v>1254577.6579302044</v>
      </c>
    </row>
    <row r="166" spans="2:6" ht="15.75" customHeight="1" x14ac:dyDescent="0.25">
      <c r="B166" t="str">
        <v>Alchemix</v>
      </c>
      <c r="C166" t="str">
        <v>Synthetics</v>
      </c>
      <c r="D166" t="str">
        <v>ALCX</v>
      </c>
      <c r="E166">
        <v>42682025.050677106</v>
      </c>
      <c r="F166">
        <v>18805952.379136361</v>
      </c>
    </row>
    <row r="167" spans="2:6" ht="15.75" customHeight="1" x14ac:dyDescent="0.25">
      <c r="B167" t="str">
        <v>Alcor Exchange</v>
      </c>
      <c r="C167" t="str">
        <v>Dexs</v>
      </c>
      <c r="D167" t="str">
        <v>-</v>
      </c>
      <c r="E167">
        <v>286644.7839461462</v>
      </c>
      <c r="F167">
        <v>0</v>
      </c>
    </row>
    <row r="168" spans="2:6" ht="15.75" customHeight="1" x14ac:dyDescent="0.25">
      <c r="B168" t="str">
        <v>Alcum</v>
      </c>
      <c r="C168" t="str">
        <v>Yield</v>
      </c>
      <c r="D168" t="str">
        <v>-</v>
      </c>
      <c r="E168">
        <v>132176.41079076001</v>
      </c>
      <c r="F168">
        <v>0</v>
      </c>
    </row>
    <row r="169" spans="2:6" ht="15.75" customHeight="1" x14ac:dyDescent="0.25">
      <c r="B169" t="str">
        <v>Aldrin</v>
      </c>
      <c r="C169" t="str">
        <v>Dexs</v>
      </c>
      <c r="D169" t="str">
        <v>RIN</v>
      </c>
      <c r="E169">
        <v>637589.18259726919</v>
      </c>
      <c r="F169">
        <v>15704.469474899897</v>
      </c>
    </row>
    <row r="170" spans="2:6" ht="15.75" customHeight="1" x14ac:dyDescent="0.25">
      <c r="B170" t="str">
        <v>Alephium Bridge</v>
      </c>
      <c r="C170" t="str">
        <v>Bridge</v>
      </c>
      <c r="D170" t="str">
        <v>-</v>
      </c>
      <c r="E170">
        <v>2003833.9779290897</v>
      </c>
      <c r="F170">
        <v>0</v>
      </c>
    </row>
    <row r="171" spans="2:6" ht="15.75" customHeight="1" x14ac:dyDescent="0.25">
      <c r="B171" t="str">
        <v>ALEX</v>
      </c>
      <c r="C171" t="str">
        <v>Dexs</v>
      </c>
      <c r="D171" t="str">
        <v>ALEX</v>
      </c>
      <c r="E171">
        <v>2046794.0781185732</v>
      </c>
      <c r="F171">
        <v>1119261.803877725</v>
      </c>
    </row>
    <row r="172" spans="2:6" ht="15.75" customHeight="1" x14ac:dyDescent="0.25">
      <c r="B172" t="str">
        <v>AlfaFrens</v>
      </c>
      <c r="C172" t="str">
        <v>SoFi</v>
      </c>
      <c r="D172" t="str">
        <v>-</v>
      </c>
      <c r="E172">
        <v>6329.9007516788215</v>
      </c>
      <c r="F172">
        <v>0</v>
      </c>
    </row>
    <row r="173" spans="2:6" ht="15.75" customHeight="1" x14ac:dyDescent="0.25">
      <c r="B173" t="str">
        <v>Algebra DEX</v>
      </c>
      <c r="C173" t="str">
        <v>Dexs</v>
      </c>
      <c r="D173" t="str">
        <v>ALGB</v>
      </c>
      <c r="E173">
        <v>82943.053453192697</v>
      </c>
      <c r="F173">
        <v>0</v>
      </c>
    </row>
    <row r="174" spans="2:6" ht="15.75" customHeight="1" x14ac:dyDescent="0.25">
      <c r="B174" t="str">
        <v>Algebra Integral</v>
      </c>
      <c r="C174" t="str">
        <v>Dexs</v>
      </c>
      <c r="D174" t="str">
        <v>ALGB</v>
      </c>
      <c r="E174">
        <v>0</v>
      </c>
      <c r="F174">
        <v>0</v>
      </c>
    </row>
    <row r="175" spans="2:6" ht="15.75" customHeight="1" x14ac:dyDescent="0.25">
      <c r="B175" t="str">
        <v>Algem</v>
      </c>
      <c r="C175" t="str">
        <v>Liquid Staking</v>
      </c>
      <c r="D175" t="str">
        <v>-</v>
      </c>
      <c r="E175">
        <v>43066.468342432934</v>
      </c>
      <c r="F175">
        <v>0</v>
      </c>
    </row>
    <row r="176" spans="2:6" ht="15.75" customHeight="1" x14ac:dyDescent="0.25">
      <c r="B176" t="str">
        <v>AlgoBlocks</v>
      </c>
      <c r="C176" t="str">
        <v>Services</v>
      </c>
      <c r="D176" t="str">
        <v>ALGOBLK</v>
      </c>
      <c r="E176">
        <v>0</v>
      </c>
      <c r="F176">
        <v>0</v>
      </c>
    </row>
    <row r="177" spans="2:6" ht="15.75" customHeight="1" x14ac:dyDescent="0.25">
      <c r="B177" t="str">
        <v>Algodex</v>
      </c>
      <c r="C177" t="str">
        <v>Dexs</v>
      </c>
      <c r="D177" t="str">
        <v>ALGX</v>
      </c>
      <c r="E177">
        <v>4217.0224089209314</v>
      </c>
      <c r="F177">
        <v>0</v>
      </c>
    </row>
    <row r="178" spans="2:6" ht="15.75" customHeight="1" x14ac:dyDescent="0.25">
      <c r="B178" t="str">
        <v>Algofi Lend</v>
      </c>
      <c r="C178" t="str">
        <v>Lending</v>
      </c>
      <c r="D178" t="str">
        <v>-</v>
      </c>
      <c r="E178">
        <v>797220.00434251409</v>
      </c>
      <c r="F178">
        <v>0</v>
      </c>
    </row>
    <row r="179" spans="2:6" ht="15.75" customHeight="1" x14ac:dyDescent="0.25">
      <c r="B179" t="str">
        <v>Algofi Swap</v>
      </c>
      <c r="C179" t="str">
        <v>Dexs</v>
      </c>
      <c r="D179" t="str">
        <v>-</v>
      </c>
      <c r="E179">
        <v>71190.485773739245</v>
      </c>
      <c r="F179">
        <v>0</v>
      </c>
    </row>
    <row r="180" spans="2:6" ht="15.75" customHeight="1" x14ac:dyDescent="0.25">
      <c r="B180" t="str">
        <v>Algomint</v>
      </c>
      <c r="C180" t="str">
        <v>Algo-Stables</v>
      </c>
      <c r="D180" t="str">
        <v>goMINT</v>
      </c>
      <c r="E180">
        <v>261.91570374266303</v>
      </c>
      <c r="F180">
        <v>0</v>
      </c>
    </row>
    <row r="181" spans="2:6" ht="15.75" customHeight="1" x14ac:dyDescent="0.25">
      <c r="B181" t="str">
        <v>AlgoRai Finance</v>
      </c>
      <c r="C181" t="str">
        <v>Options Vault</v>
      </c>
      <c r="D181" t="str">
        <v>-</v>
      </c>
      <c r="E181">
        <v>18364.155832278619</v>
      </c>
      <c r="F181">
        <v>0</v>
      </c>
    </row>
    <row r="182" spans="2:6" ht="15.75" customHeight="1" x14ac:dyDescent="0.25">
      <c r="B182" t="str">
        <v>Alien Base Area51</v>
      </c>
      <c r="C182" t="str">
        <v>Dexs</v>
      </c>
      <c r="D182" t="str">
        <v>ALB</v>
      </c>
      <c r="E182">
        <v>26305.566929256023</v>
      </c>
      <c r="F182">
        <v>0</v>
      </c>
    </row>
    <row r="183" spans="2:6" ht="15.75" customHeight="1" x14ac:dyDescent="0.25">
      <c r="B183" t="str">
        <v>Alien Base StableSwap</v>
      </c>
      <c r="C183" t="str">
        <v>Dexs</v>
      </c>
      <c r="D183" t="str">
        <v>ALB</v>
      </c>
      <c r="E183">
        <v>2574.2859691571202</v>
      </c>
      <c r="F183">
        <v>0</v>
      </c>
    </row>
    <row r="184" spans="2:6" ht="15.75" customHeight="1" x14ac:dyDescent="0.25">
      <c r="B184" t="str">
        <v>Alien Base V2</v>
      </c>
      <c r="C184" t="str">
        <v>Dexs</v>
      </c>
      <c r="D184" t="str">
        <v>ALB</v>
      </c>
      <c r="E184">
        <v>1383130.7838892986</v>
      </c>
      <c r="F184">
        <v>0</v>
      </c>
    </row>
    <row r="185" spans="2:6" ht="15.75" customHeight="1" x14ac:dyDescent="0.25">
      <c r="B185" t="str">
        <v>Alien Base V3</v>
      </c>
      <c r="C185" t="str">
        <v>Dexs</v>
      </c>
      <c r="D185" t="str">
        <v>ALB</v>
      </c>
      <c r="E185">
        <v>4629489.2466762653</v>
      </c>
      <c r="F185">
        <v>0</v>
      </c>
    </row>
    <row r="186" spans="2:6" ht="15.75" customHeight="1" x14ac:dyDescent="0.25">
      <c r="B186" t="str">
        <v>Alien Finance</v>
      </c>
      <c r="C186" t="str">
        <v>Lending</v>
      </c>
      <c r="D186" t="str">
        <v>ALIEN</v>
      </c>
      <c r="E186">
        <v>0</v>
      </c>
      <c r="F186">
        <v>0</v>
      </c>
    </row>
    <row r="187" spans="2:6" ht="15.75" customHeight="1" x14ac:dyDescent="0.25">
      <c r="B187" t="str">
        <v>Alien Worlds</v>
      </c>
      <c r="C187" t="str">
        <v>Gaming</v>
      </c>
      <c r="D187" t="str">
        <v>TLM</v>
      </c>
      <c r="E187">
        <v>72012.173618815519</v>
      </c>
      <c r="F187">
        <v>15309676.11097201</v>
      </c>
    </row>
    <row r="188" spans="2:6" ht="15.75" customHeight="1" x14ac:dyDescent="0.25">
      <c r="B188" t="str">
        <v>AlienFi</v>
      </c>
      <c r="C188" t="str">
        <v>Dexs</v>
      </c>
      <c r="D188" t="str">
        <v>ALIEN</v>
      </c>
      <c r="E188">
        <v>112799.07888079816</v>
      </c>
      <c r="F188">
        <v>0</v>
      </c>
    </row>
    <row r="189" spans="2:6" ht="15.75" customHeight="1" x14ac:dyDescent="0.25">
      <c r="B189" t="str">
        <v>AliensFarm</v>
      </c>
      <c r="C189" t="str">
        <v>Dexs</v>
      </c>
      <c r="D189" t="str">
        <v>PAUL</v>
      </c>
      <c r="E189">
        <v>1577.6049981930773</v>
      </c>
      <c r="F189">
        <v>0</v>
      </c>
    </row>
    <row r="190" spans="2:6" ht="15.75" customHeight="1" x14ac:dyDescent="0.25">
      <c r="B190" t="str">
        <v>Alita Finance</v>
      </c>
      <c r="C190" t="str">
        <v>Dexs</v>
      </c>
      <c r="D190" t="str">
        <v>ALI</v>
      </c>
      <c r="E190">
        <v>253613.34256070622</v>
      </c>
      <c r="F190">
        <v>0</v>
      </c>
    </row>
    <row r="191" spans="2:6" ht="15.75" customHeight="1" x14ac:dyDescent="0.25">
      <c r="B191" t="str">
        <v>Alium Swap</v>
      </c>
      <c r="C191" t="str">
        <v>Dexs</v>
      </c>
      <c r="D191" t="str">
        <v>ALM</v>
      </c>
      <c r="E191">
        <v>20236.367424937729</v>
      </c>
      <c r="F191">
        <v>0</v>
      </c>
    </row>
    <row r="192" spans="2:6" ht="15.75" customHeight="1" x14ac:dyDescent="0.25">
      <c r="B192" t="str">
        <v>Alkemi</v>
      </c>
      <c r="C192" t="str">
        <v>Lending</v>
      </c>
      <c r="D192" t="str">
        <v>ALK</v>
      </c>
      <c r="E192">
        <v>195566.20590674091</v>
      </c>
      <c r="F192">
        <v>0</v>
      </c>
    </row>
    <row r="193" spans="2:6" ht="15.75" customHeight="1" x14ac:dyDescent="0.25">
      <c r="B193" t="str">
        <v>Alkimi</v>
      </c>
      <c r="C193" t="str">
        <v>Services</v>
      </c>
      <c r="D193" t="str">
        <v>ALKIMI</v>
      </c>
      <c r="E193">
        <v>0</v>
      </c>
      <c r="F193">
        <v>4828603.75216508</v>
      </c>
    </row>
    <row r="194" spans="2:6" ht="15.75" customHeight="1" x14ac:dyDescent="0.25">
      <c r="B194" t="str">
        <v>Alkimiya</v>
      </c>
      <c r="C194" t="str">
        <v>Derivatives</v>
      </c>
      <c r="D194" t="str">
        <v>-</v>
      </c>
      <c r="E194">
        <v>10908.630249270718</v>
      </c>
      <c r="F194">
        <v>0</v>
      </c>
    </row>
    <row r="195" spans="2:6" ht="15.75" customHeight="1" x14ac:dyDescent="0.25">
      <c r="B195" t="str">
        <v>Allbridge Classic</v>
      </c>
      <c r="C195" t="str">
        <v>Bridge</v>
      </c>
      <c r="D195" t="str">
        <v>ABR</v>
      </c>
      <c r="E195">
        <v>17646954.66717029</v>
      </c>
      <c r="F195">
        <v>0</v>
      </c>
    </row>
    <row r="196" spans="2:6" ht="15.75" customHeight="1" x14ac:dyDescent="0.25">
      <c r="B196" t="str">
        <v>Allbridge Core</v>
      </c>
      <c r="C196" t="str">
        <v>Bridge</v>
      </c>
      <c r="D196" t="str">
        <v>-</v>
      </c>
      <c r="E196">
        <v>23553739.804744773</v>
      </c>
      <c r="F196">
        <v>0</v>
      </c>
    </row>
    <row r="197" spans="2:6" ht="15.75" customHeight="1" x14ac:dyDescent="0.25">
      <c r="B197" t="str">
        <v>Alligator</v>
      </c>
      <c r="C197" t="str">
        <v>Dexs</v>
      </c>
      <c r="D197" t="str">
        <v>GTR</v>
      </c>
      <c r="E197">
        <v>8498.2926926540586</v>
      </c>
      <c r="F197">
        <v>0</v>
      </c>
    </row>
    <row r="198" spans="2:6" ht="15.75" customHeight="1" x14ac:dyDescent="0.25">
      <c r="B198" t="str">
        <v>Allinx</v>
      </c>
      <c r="C198" t="str">
        <v>Yield</v>
      </c>
      <c r="D198" t="str">
        <v>INX</v>
      </c>
      <c r="E198">
        <v>0</v>
      </c>
      <c r="F198">
        <v>0</v>
      </c>
    </row>
    <row r="199" spans="2:6" ht="15.75" customHeight="1" x14ac:dyDescent="0.25">
      <c r="B199" t="str">
        <v>AllInXSwap</v>
      </c>
      <c r="C199" t="str">
        <v>Dexs</v>
      </c>
      <c r="D199" t="str">
        <v>X</v>
      </c>
      <c r="E199">
        <v>371.83645765610345</v>
      </c>
      <c r="F199">
        <v>0</v>
      </c>
    </row>
    <row r="200" spans="2:6" ht="15.75" customHeight="1" x14ac:dyDescent="0.25">
      <c r="B200" t="str">
        <v>alloBTC</v>
      </c>
      <c r="C200" t="str">
        <v>Restaked BTC</v>
      </c>
      <c r="D200" t="str">
        <v>-</v>
      </c>
      <c r="E200">
        <v>0.49860294357221918</v>
      </c>
      <c r="F200">
        <v>0</v>
      </c>
    </row>
    <row r="201" spans="2:6" ht="15.75" customHeight="1" x14ac:dyDescent="0.25">
      <c r="B201" t="str">
        <v>Allora Network</v>
      </c>
      <c r="C201" t="str">
        <v>Decentralized AI</v>
      </c>
      <c r="D201" t="str">
        <v>ALLO</v>
      </c>
      <c r="E201">
        <v>0</v>
      </c>
      <c r="F201">
        <v>0</v>
      </c>
    </row>
    <row r="202" spans="2:6" ht="15.75" customHeight="1" x14ac:dyDescent="0.25">
      <c r="B202" t="str">
        <v>Allspark</v>
      </c>
      <c r="C202" t="str">
        <v>Derivatives</v>
      </c>
      <c r="D202" t="str">
        <v>-</v>
      </c>
      <c r="E202">
        <v>1.7658935878593328E-11</v>
      </c>
      <c r="F202">
        <v>0</v>
      </c>
    </row>
    <row r="203" spans="2:6" ht="15.75" customHeight="1" x14ac:dyDescent="0.25">
      <c r="B203" t="str">
        <v>Allstake</v>
      </c>
      <c r="C203" t="str">
        <v>Restaking</v>
      </c>
      <c r="D203" t="str">
        <v>-</v>
      </c>
      <c r="E203">
        <v>1976210.6701256749</v>
      </c>
      <c r="F203">
        <v>0</v>
      </c>
    </row>
    <row r="204" spans="2:6" ht="15.75" customHeight="1" x14ac:dyDescent="0.25">
      <c r="B204" t="str">
        <v>Almanak</v>
      </c>
      <c r="C204" t="str">
        <v>Onchain Capital Allocator</v>
      </c>
      <c r="D204" t="str">
        <v>-</v>
      </c>
      <c r="E204">
        <v>4167360.4937312733</v>
      </c>
      <c r="F204">
        <v>0</v>
      </c>
    </row>
    <row r="205" spans="2:6" ht="15.75" customHeight="1" x14ac:dyDescent="0.25">
      <c r="B205" t="str">
        <v>Almond</v>
      </c>
      <c r="C205" t="str">
        <v>Yield</v>
      </c>
      <c r="D205" t="str">
        <v>ALM</v>
      </c>
      <c r="E205">
        <v>0</v>
      </c>
      <c r="F205">
        <v>0</v>
      </c>
    </row>
    <row r="206" spans="2:6" ht="15.75" customHeight="1" x14ac:dyDescent="0.25">
      <c r="B206" t="str">
        <v>Aloe</v>
      </c>
      <c r="C206" t="str">
        <v>Lending</v>
      </c>
      <c r="D206" t="str">
        <v>-</v>
      </c>
      <c r="E206">
        <v>114750.65077474457</v>
      </c>
      <c r="F206">
        <v>0</v>
      </c>
    </row>
    <row r="207" spans="2:6" ht="15.75" customHeight="1" x14ac:dyDescent="0.25">
      <c r="B207" t="str">
        <v>Alongside</v>
      </c>
      <c r="C207" t="str">
        <v>Indexes</v>
      </c>
      <c r="D207" t="str">
        <v>AMKT</v>
      </c>
      <c r="E207">
        <v>643189.29402199702</v>
      </c>
      <c r="F207">
        <v>625680.9138426102</v>
      </c>
    </row>
    <row r="208" spans="2:6" ht="15.75" customHeight="1" x14ac:dyDescent="0.25">
      <c r="B208" t="str">
        <v>Alpaca City</v>
      </c>
      <c r="C208" t="str">
        <v>Yield</v>
      </c>
      <c r="D208" t="str">
        <v>ALPA</v>
      </c>
      <c r="E208">
        <v>0</v>
      </c>
      <c r="F208">
        <v>22946.133251282215</v>
      </c>
    </row>
    <row r="209" spans="2:6" ht="15.75" customHeight="1" x14ac:dyDescent="0.25">
      <c r="B209" t="str">
        <v>Alpaca Finance 2.0</v>
      </c>
      <c r="C209" t="str">
        <v>Lending</v>
      </c>
      <c r="D209" t="str">
        <v>ALPACA</v>
      </c>
      <c r="E209">
        <v>15573361.850946009</v>
      </c>
      <c r="F209">
        <v>0</v>
      </c>
    </row>
    <row r="210" spans="2:6" ht="15.75" customHeight="1" x14ac:dyDescent="0.25">
      <c r="B210" t="str">
        <v>Alpaca Leveraged Yield Farming</v>
      </c>
      <c r="C210" t="str">
        <v>Leveraged Farming</v>
      </c>
      <c r="D210" t="str">
        <v>ALPACA</v>
      </c>
      <c r="E210">
        <v>41183027.827803835</v>
      </c>
      <c r="F210">
        <v>0</v>
      </c>
    </row>
    <row r="211" spans="2:6" ht="15.75" customHeight="1" x14ac:dyDescent="0.25">
      <c r="B211" t="str">
        <v>Alpaca Perpetual Futures Exchange</v>
      </c>
      <c r="C211" t="str">
        <v>Derivatives</v>
      </c>
      <c r="D211" t="str">
        <v>ALPACA</v>
      </c>
      <c r="E211">
        <v>64562.577838880723</v>
      </c>
      <c r="F211">
        <v>0</v>
      </c>
    </row>
    <row r="212" spans="2:6" ht="15.75" customHeight="1" x14ac:dyDescent="0.25">
      <c r="B212" t="str">
        <v>Alpha</v>
      </c>
      <c r="C212" t="str">
        <v>SoFi</v>
      </c>
      <c r="D212" t="str">
        <v>BTC</v>
      </c>
      <c r="E212">
        <v>564415.90723381808</v>
      </c>
      <c r="F212">
        <v>0</v>
      </c>
    </row>
    <row r="213" spans="2:6" ht="15.75" customHeight="1" x14ac:dyDescent="0.25">
      <c r="B213" t="str">
        <v>Alpha Arcade</v>
      </c>
      <c r="C213" t="str">
        <v>Prediction Market</v>
      </c>
      <c r="D213" t="str">
        <v>ALPHA</v>
      </c>
      <c r="E213">
        <v>218095.74430942451</v>
      </c>
      <c r="F213">
        <v>0</v>
      </c>
    </row>
    <row r="214" spans="2:6" ht="15.75" customHeight="1" x14ac:dyDescent="0.25">
      <c r="B214" t="str">
        <v>Alphadex</v>
      </c>
      <c r="C214" t="str">
        <v>Dexs</v>
      </c>
      <c r="D214" t="str">
        <v>ROAR</v>
      </c>
      <c r="E214">
        <v>176359.83913796532</v>
      </c>
      <c r="F214">
        <v>0</v>
      </c>
    </row>
    <row r="215" spans="2:6" ht="15.75" customHeight="1" x14ac:dyDescent="0.25">
      <c r="B215" t="str">
        <v>AlphaFi Agg</v>
      </c>
      <c r="C215" t="str">
        <v>Yield Aggregator</v>
      </c>
      <c r="D215" t="str">
        <v>ALPHA</v>
      </c>
      <c r="E215">
        <v>20287431.458536875</v>
      </c>
      <c r="F215">
        <v>0</v>
      </c>
    </row>
    <row r="216" spans="2:6" ht="15.75" customHeight="1" x14ac:dyDescent="0.25">
      <c r="B216" t="str">
        <v>AlphaFi stSUI</v>
      </c>
      <c r="C216" t="str">
        <v>Liquid Staking</v>
      </c>
      <c r="D216" t="str">
        <v>ALPHA</v>
      </c>
      <c r="E216">
        <v>8433655.7691294663</v>
      </c>
      <c r="F216">
        <v>0</v>
      </c>
    </row>
    <row r="217" spans="2:6" ht="15.75" customHeight="1" x14ac:dyDescent="0.25">
      <c r="B217" t="str">
        <v>alphagrowth</v>
      </c>
      <c r="C217" t="str">
        <v>Risk Curators</v>
      </c>
      <c r="D217" t="str">
        <v>-</v>
      </c>
      <c r="E217">
        <v>1711230.4006138337</v>
      </c>
      <c r="F217">
        <v>0</v>
      </c>
    </row>
    <row r="218" spans="2:6" ht="15.75" customHeight="1" x14ac:dyDescent="0.25">
      <c r="B218" t="str">
        <v>AlphaLend</v>
      </c>
      <c r="C218" t="str">
        <v>Lending</v>
      </c>
      <c r="D218" t="str">
        <v>BLUE</v>
      </c>
      <c r="E218">
        <v>103848990.66708723</v>
      </c>
      <c r="F218">
        <v>14779048.446896967</v>
      </c>
    </row>
    <row r="219" spans="2:6" ht="15.75" customHeight="1" x14ac:dyDescent="0.25">
      <c r="B219" t="str">
        <v>AlphaPing</v>
      </c>
      <c r="C219" t="str">
        <v>Risk Curators</v>
      </c>
      <c r="D219" t="str">
        <v>-</v>
      </c>
      <c r="E219">
        <v>37846674.455896772</v>
      </c>
      <c r="F219">
        <v>0</v>
      </c>
    </row>
    <row r="220" spans="2:6" ht="15.75" customHeight="1" x14ac:dyDescent="0.25">
      <c r="B220" t="str">
        <v>AlphaQ</v>
      </c>
      <c r="C220" t="str">
        <v>Dexs</v>
      </c>
      <c r="D220" t="str">
        <v>-</v>
      </c>
      <c r="E220">
        <v>0</v>
      </c>
      <c r="F220">
        <v>0</v>
      </c>
    </row>
    <row r="221" spans="2:6" ht="15.75" customHeight="1" x14ac:dyDescent="0.25">
      <c r="B221" t="str">
        <v>AlphaSec Bridge</v>
      </c>
      <c r="C221" t="str">
        <v>Bridge</v>
      </c>
      <c r="D221" t="str">
        <v>-</v>
      </c>
      <c r="E221">
        <v>369110.614607914</v>
      </c>
      <c r="F221">
        <v>0</v>
      </c>
    </row>
    <row r="222" spans="2:6" ht="15.75" customHeight="1" x14ac:dyDescent="0.25">
      <c r="B222" t="str">
        <v>AlphaSec Spot</v>
      </c>
      <c r="C222" t="str">
        <v>Dexs</v>
      </c>
      <c r="D222" t="str">
        <v>-</v>
      </c>
      <c r="E222">
        <v>0</v>
      </c>
      <c r="F222">
        <v>0</v>
      </c>
    </row>
    <row r="223" spans="2:6" ht="15.75" customHeight="1" x14ac:dyDescent="0.25">
      <c r="B223" t="str">
        <v>AlphaX</v>
      </c>
      <c r="C223" t="str">
        <v>Derivatives</v>
      </c>
      <c r="D223" t="str">
        <v>-</v>
      </c>
      <c r="E223">
        <v>6.1195417496151929</v>
      </c>
      <c r="F223">
        <v>0</v>
      </c>
    </row>
    <row r="224" spans="2:6" ht="15.75" customHeight="1" x14ac:dyDescent="0.25">
      <c r="B224" t="str">
        <v>AlphBanX</v>
      </c>
      <c r="C224" t="str">
        <v>CDP</v>
      </c>
      <c r="D224" t="str">
        <v>ABX</v>
      </c>
      <c r="E224">
        <v>918289.83729612851</v>
      </c>
      <c r="F224">
        <v>1902833.5195998515</v>
      </c>
    </row>
    <row r="225" spans="2:6" ht="15.75" customHeight="1" x14ac:dyDescent="0.25">
      <c r="B225" t="str">
        <v>AlphPad</v>
      </c>
      <c r="C225" t="str">
        <v>Launchpad</v>
      </c>
      <c r="D225" t="str">
        <v>APAD</v>
      </c>
      <c r="E225">
        <v>0</v>
      </c>
      <c r="F225">
        <v>43719.420032565467</v>
      </c>
    </row>
    <row r="226" spans="2:6" ht="15.75" customHeight="1" x14ac:dyDescent="0.25">
      <c r="B226" t="str">
        <v>ALTA Finance</v>
      </c>
      <c r="C226" t="str">
        <v>RWA Lending</v>
      </c>
      <c r="D226" t="str">
        <v>-</v>
      </c>
      <c r="E226">
        <v>0</v>
      </c>
      <c r="F226">
        <v>0</v>
      </c>
    </row>
    <row r="227" spans="2:6" ht="15.75" customHeight="1" x14ac:dyDescent="0.25">
      <c r="B227" t="str">
        <v>Altai Exchange</v>
      </c>
      <c r="C227" t="str">
        <v>RWA</v>
      </c>
      <c r="D227" t="str">
        <v>-</v>
      </c>
      <c r="E227">
        <v>30087.752903892346</v>
      </c>
      <c r="F227">
        <v>0</v>
      </c>
    </row>
    <row r="228" spans="2:6" ht="15.75" customHeight="1" x14ac:dyDescent="0.25">
      <c r="B228" t="str">
        <v>Alternity</v>
      </c>
      <c r="C228" t="str">
        <v>CDP</v>
      </c>
      <c r="D228" t="str">
        <v>LCNY</v>
      </c>
      <c r="E228">
        <v>14163.779203234455</v>
      </c>
      <c r="F228">
        <v>0</v>
      </c>
    </row>
    <row r="229" spans="2:6" ht="15.75" customHeight="1" x14ac:dyDescent="0.25">
      <c r="B229" t="str">
        <v>Alterscope</v>
      </c>
      <c r="C229" t="str">
        <v>Risk Curators</v>
      </c>
      <c r="D229" t="str">
        <v>-</v>
      </c>
      <c r="E229">
        <v>1823931.1433460657</v>
      </c>
      <c r="F229">
        <v>0</v>
      </c>
    </row>
    <row r="230" spans="2:6" ht="15.75" customHeight="1" x14ac:dyDescent="0.25">
      <c r="B230" t="str">
        <v>Altitude</v>
      </c>
      <c r="C230" t="str">
        <v>Cross Chain Bridge</v>
      </c>
      <c r="D230" t="str">
        <v>ALTD</v>
      </c>
      <c r="E230">
        <v>53960.616700792962</v>
      </c>
      <c r="F230">
        <v>0</v>
      </c>
    </row>
    <row r="231" spans="2:6" ht="15.75" customHeight="1" x14ac:dyDescent="0.25">
      <c r="B231" t="str">
        <v>Altitude.Fi</v>
      </c>
      <c r="C231" t="str">
        <v>Lending</v>
      </c>
      <c r="D231" t="str">
        <v>-</v>
      </c>
      <c r="E231">
        <v>13470754.932662237</v>
      </c>
      <c r="F231">
        <v>0</v>
      </c>
    </row>
    <row r="232" spans="2:6" ht="15.75" customHeight="1" x14ac:dyDescent="0.25">
      <c r="B232" t="str">
        <v>AltLayer</v>
      </c>
      <c r="C232" t="str">
        <v>Developer Tools</v>
      </c>
      <c r="D232" t="str">
        <v>ALT</v>
      </c>
      <c r="E232">
        <v>0</v>
      </c>
      <c r="F232">
        <v>66822881.788271695</v>
      </c>
    </row>
    <row r="233" spans="2:6" ht="15.75" customHeight="1" x14ac:dyDescent="0.25">
      <c r="B233" t="str">
        <v>Altr Lend</v>
      </c>
      <c r="C233" t="str">
        <v>Lending</v>
      </c>
      <c r="D233" t="str">
        <v>-</v>
      </c>
      <c r="E233">
        <v>0</v>
      </c>
      <c r="F233">
        <v>0</v>
      </c>
    </row>
    <row r="234" spans="2:6" ht="15.75" customHeight="1" x14ac:dyDescent="0.25">
      <c r="B234" t="str">
        <v>Alvey Dex</v>
      </c>
      <c r="C234" t="str">
        <v>Dexs</v>
      </c>
      <c r="D234" t="str">
        <v>-</v>
      </c>
      <c r="E234">
        <v>0</v>
      </c>
      <c r="F234">
        <v>0</v>
      </c>
    </row>
    <row r="235" spans="2:6" ht="15.75" customHeight="1" x14ac:dyDescent="0.25">
      <c r="B235" t="str">
        <v>Alyx finance</v>
      </c>
      <c r="C235" t="str">
        <v>Reserve Currency</v>
      </c>
      <c r="D235" t="str">
        <v>ALYX</v>
      </c>
      <c r="E235">
        <v>1.1832929192270412</v>
      </c>
      <c r="F235">
        <v>0</v>
      </c>
    </row>
    <row r="236" spans="2:6" ht="15.75" customHeight="1" x14ac:dyDescent="0.25">
      <c r="B236" t="str">
        <v>Amana</v>
      </c>
      <c r="C236" t="str">
        <v>Yield Aggregator</v>
      </c>
      <c r="D236" t="str">
        <v>-</v>
      </c>
      <c r="E236">
        <v>62741.003629365827</v>
      </c>
      <c r="F236">
        <v>0</v>
      </c>
    </row>
    <row r="237" spans="2:6" ht="15.75" customHeight="1" x14ac:dyDescent="0.25">
      <c r="B237" t="str">
        <v>Amaterasu Finance</v>
      </c>
      <c r="C237" t="str">
        <v>Dexs</v>
      </c>
      <c r="D237" t="str">
        <v>IZA</v>
      </c>
      <c r="E237">
        <v>7882.2496890594866</v>
      </c>
      <c r="F237">
        <v>0</v>
      </c>
    </row>
    <row r="238" spans="2:6" ht="15.75" customHeight="1" x14ac:dyDescent="0.25">
      <c r="B238" t="str">
        <v>Amber Finance</v>
      </c>
      <c r="C238" t="str">
        <v>Lending</v>
      </c>
      <c r="D238" t="str">
        <v>-</v>
      </c>
      <c r="E238">
        <v>30966658.828042213</v>
      </c>
      <c r="F238">
        <v>0</v>
      </c>
    </row>
    <row r="239" spans="2:6" ht="15.75" customHeight="1" x14ac:dyDescent="0.25">
      <c r="B239" t="str">
        <v>Ambient</v>
      </c>
      <c r="C239" t="str">
        <v>Dexs</v>
      </c>
      <c r="D239" t="str">
        <v>-</v>
      </c>
      <c r="E239">
        <v>4655877.3260316905</v>
      </c>
      <c r="F239">
        <v>0</v>
      </c>
    </row>
    <row r="240" spans="2:6" ht="15.75" customHeight="1" x14ac:dyDescent="0.25">
      <c r="B240" t="str">
        <v>Ambire Wallet</v>
      </c>
      <c r="C240" t="str">
        <v>Wallets</v>
      </c>
      <c r="D240" t="str">
        <v>WALLET</v>
      </c>
      <c r="E240">
        <v>0</v>
      </c>
      <c r="F240">
        <v>10485136.149910128</v>
      </c>
    </row>
    <row r="241" spans="2:6" ht="15.75" customHeight="1" x14ac:dyDescent="0.25">
      <c r="B241" t="str">
        <v>Ambit Finance</v>
      </c>
      <c r="C241" t="str">
        <v>Lending</v>
      </c>
      <c r="D241" t="str">
        <v>AMBT</v>
      </c>
      <c r="E241">
        <v>89746.095225938785</v>
      </c>
      <c r="F241">
        <v>0</v>
      </c>
    </row>
    <row r="242" spans="2:6" ht="15.75" customHeight="1" x14ac:dyDescent="0.25">
      <c r="B242" t="str">
        <v>AmesDefi</v>
      </c>
      <c r="C242" t="str">
        <v>Algo-Stables</v>
      </c>
      <c r="D242" t="str">
        <v>AMES</v>
      </c>
      <c r="E242">
        <v>0</v>
      </c>
      <c r="F242">
        <v>0</v>
      </c>
    </row>
    <row r="243" spans="2:6" ht="15.75" customHeight="1" x14ac:dyDescent="0.25">
      <c r="B243" t="str">
        <v>Amet Finance</v>
      </c>
      <c r="C243" t="str">
        <v>Services</v>
      </c>
      <c r="D243" t="str">
        <v>-</v>
      </c>
      <c r="E243">
        <v>0</v>
      </c>
      <c r="F243">
        <v>0</v>
      </c>
    </row>
    <row r="244" spans="2:6" ht="15.75" customHeight="1" x14ac:dyDescent="0.25">
      <c r="B244" t="str">
        <v>Ammos Finance</v>
      </c>
      <c r="C244" t="str">
        <v>Dexs</v>
      </c>
      <c r="D244" t="str">
        <v>-</v>
      </c>
      <c r="E244">
        <v>2407.78397556139</v>
      </c>
      <c r="F244">
        <v>0</v>
      </c>
    </row>
    <row r="245" spans="2:6" ht="15.75" customHeight="1" x14ac:dyDescent="0.25">
      <c r="B245" t="str">
        <v>Amnis Finance</v>
      </c>
      <c r="C245" t="str">
        <v>Liquid Staking</v>
      </c>
      <c r="D245" t="str">
        <v>AMI</v>
      </c>
      <c r="E245">
        <v>46958080.154211156</v>
      </c>
      <c r="F245">
        <v>1231534.6981030388</v>
      </c>
    </row>
    <row r="246" spans="2:6" ht="15.75" customHeight="1" x14ac:dyDescent="0.25">
      <c r="B246" t="str">
        <v>Amogus DAO</v>
      </c>
      <c r="C246" t="str">
        <v>Reserve Currency</v>
      </c>
      <c r="D246" t="str">
        <v>SUS</v>
      </c>
      <c r="E246">
        <v>45.004572669834353</v>
      </c>
      <c r="F246">
        <v>0</v>
      </c>
    </row>
    <row r="247" spans="2:6" ht="15.75" customHeight="1" x14ac:dyDescent="0.25">
      <c r="B247" t="str">
        <v>Amped Finance</v>
      </c>
      <c r="C247" t="str">
        <v>Derivatives</v>
      </c>
      <c r="D247" t="str">
        <v>AMPED</v>
      </c>
      <c r="E247">
        <v>9379.5073947972451</v>
      </c>
      <c r="F247">
        <v>108285.05151099176</v>
      </c>
    </row>
    <row r="248" spans="2:6" ht="15.75" customHeight="1" x14ac:dyDescent="0.25">
      <c r="B248" t="str">
        <v>Ampere</v>
      </c>
      <c r="C248" t="str">
        <v>Algo-Stables</v>
      </c>
      <c r="D248" t="str">
        <v>AMP</v>
      </c>
      <c r="E248">
        <v>0</v>
      </c>
      <c r="F248">
        <v>0</v>
      </c>
    </row>
    <row r="249" spans="2:6" ht="15.75" customHeight="1" x14ac:dyDescent="0.25">
      <c r="B249" t="str">
        <v>Amphor</v>
      </c>
      <c r="C249" t="str">
        <v>Yield</v>
      </c>
      <c r="D249" t="str">
        <v>-</v>
      </c>
      <c r="E249">
        <v>110969.38852883458</v>
      </c>
      <c r="F249">
        <v>0</v>
      </c>
    </row>
    <row r="250" spans="2:6" ht="15.75" customHeight="1" x14ac:dyDescent="0.25">
      <c r="B250" t="str">
        <v>Amphora</v>
      </c>
      <c r="C250" t="str">
        <v>Lending</v>
      </c>
      <c r="D250" t="str">
        <v>AMPH</v>
      </c>
      <c r="E250">
        <v>9481.3227295359393</v>
      </c>
      <c r="F250">
        <v>0</v>
      </c>
    </row>
    <row r="251" spans="2:6" ht="15.75" customHeight="1" x14ac:dyDescent="0.25">
      <c r="B251" t="str">
        <v>AmpleSwap</v>
      </c>
      <c r="C251" t="str">
        <v>Dexs</v>
      </c>
      <c r="D251" t="str">
        <v>AMPLE</v>
      </c>
      <c r="E251">
        <v>21438.173263044588</v>
      </c>
      <c r="F251">
        <v>0</v>
      </c>
    </row>
    <row r="252" spans="2:6" ht="15.75" customHeight="1" x14ac:dyDescent="0.25">
      <c r="B252" t="str">
        <v>AmplifyFinance</v>
      </c>
      <c r="C252" t="str">
        <v>Yield</v>
      </c>
      <c r="D252" t="str">
        <v>-</v>
      </c>
      <c r="E252">
        <v>0.90578473320321984</v>
      </c>
      <c r="F252">
        <v>0</v>
      </c>
    </row>
    <row r="253" spans="2:6" ht="15.75" customHeight="1" x14ac:dyDescent="0.25">
      <c r="B253" t="str">
        <v>Amply Finance</v>
      </c>
      <c r="C253" t="str">
        <v>Lending</v>
      </c>
      <c r="D253" t="str">
        <v>preAMP</v>
      </c>
      <c r="E253">
        <v>950157.74212290149</v>
      </c>
      <c r="F253">
        <v>0</v>
      </c>
    </row>
    <row r="254" spans="2:6" ht="15.75" customHeight="1" x14ac:dyDescent="0.25">
      <c r="B254" t="str">
        <v>Amulet Finance</v>
      </c>
      <c r="C254" t="str">
        <v>Synthetics</v>
      </c>
      <c r="D254" t="str">
        <v>-</v>
      </c>
      <c r="E254">
        <v>40765.845423322353</v>
      </c>
      <c r="F254">
        <v>0</v>
      </c>
    </row>
    <row r="255" spans="2:6" ht="15.75" customHeight="1" x14ac:dyDescent="0.25">
      <c r="B255" t="str">
        <v>Amulet Liquidity Staking</v>
      </c>
      <c r="C255" t="str">
        <v>Liquid Staking</v>
      </c>
      <c r="D255" t="str">
        <v>-</v>
      </c>
      <c r="E255">
        <v>412813.98250831402</v>
      </c>
      <c r="F255">
        <v>0</v>
      </c>
    </row>
    <row r="256" spans="2:6" ht="15.75" customHeight="1" x14ac:dyDescent="0.25">
      <c r="B256" t="str">
        <v>Amulet V1</v>
      </c>
      <c r="C256" t="str">
        <v>Insurance</v>
      </c>
      <c r="D256" t="str">
        <v>AMU</v>
      </c>
      <c r="E256">
        <v>0</v>
      </c>
      <c r="F256">
        <v>0</v>
      </c>
    </row>
    <row r="257" spans="2:6" ht="15.75" customHeight="1" x14ac:dyDescent="0.25">
      <c r="B257" t="str">
        <v>Amulet V2</v>
      </c>
      <c r="C257" t="str">
        <v>Yield Aggregator</v>
      </c>
      <c r="D257" t="str">
        <v>AMU</v>
      </c>
      <c r="E257">
        <v>86207.27638356408</v>
      </c>
      <c r="F257">
        <v>0</v>
      </c>
    </row>
    <row r="258" spans="2:6" ht="15.75" customHeight="1" x14ac:dyDescent="0.25">
      <c r="B258" t="str">
        <v>Amun</v>
      </c>
      <c r="C258" t="str">
        <v>Indexes</v>
      </c>
      <c r="D258" t="str">
        <v>AMUN</v>
      </c>
      <c r="E258">
        <v>379345.24149815051</v>
      </c>
      <c r="F258">
        <v>0</v>
      </c>
    </row>
    <row r="259" spans="2:6" ht="15.75" customHeight="1" x14ac:dyDescent="0.25">
      <c r="B259" t="str">
        <v>Amy Finance</v>
      </c>
      <c r="C259" t="str">
        <v>Lending</v>
      </c>
      <c r="D259" t="str">
        <v>AMY</v>
      </c>
      <c r="E259">
        <v>0</v>
      </c>
      <c r="F259">
        <v>0</v>
      </c>
    </row>
    <row r="260" spans="2:6" ht="15.75" customHeight="1" x14ac:dyDescent="0.25">
      <c r="B260" t="str">
        <v>Anchor</v>
      </c>
      <c r="C260" t="str">
        <v>Lending</v>
      </c>
      <c r="D260" t="str">
        <v>ANC</v>
      </c>
      <c r="E260">
        <v>0</v>
      </c>
      <c r="F260">
        <v>0</v>
      </c>
    </row>
    <row r="261" spans="2:6" ht="15.75" customHeight="1" x14ac:dyDescent="0.25">
      <c r="B261" t="str">
        <v>AnchorSwap</v>
      </c>
      <c r="C261" t="str">
        <v>Dexs</v>
      </c>
      <c r="D261" t="str">
        <v>ANCHOR</v>
      </c>
      <c r="E261">
        <v>50688.711077559747</v>
      </c>
      <c r="F261">
        <v>5669.7516095418478</v>
      </c>
    </row>
    <row r="262" spans="2:6" ht="15.75" customHeight="1" x14ac:dyDescent="0.25">
      <c r="B262" t="str">
        <v>Ancient8 Swap</v>
      </c>
      <c r="C262" t="str">
        <v>Dexs</v>
      </c>
      <c r="D262" t="str">
        <v>-</v>
      </c>
      <c r="E262">
        <v>77155.725984491553</v>
      </c>
      <c r="F262">
        <v>0</v>
      </c>
    </row>
    <row r="263" spans="2:6" ht="15.75" customHeight="1" x14ac:dyDescent="0.25">
      <c r="B263" t="str">
        <v>Ancora Finance</v>
      </c>
      <c r="C263" t="str">
        <v>Dexs</v>
      </c>
      <c r="D263" t="str">
        <v>ACR</v>
      </c>
      <c r="E263">
        <v>2641.0954140205522</v>
      </c>
      <c r="F263">
        <v>0</v>
      </c>
    </row>
    <row r="264" spans="2:6" ht="15.75" customHeight="1" x14ac:dyDescent="0.25">
      <c r="B264" t="str">
        <v>Andromeada</v>
      </c>
      <c r="C264" t="str">
        <v>Dexs</v>
      </c>
      <c r="D264" t="str">
        <v>-</v>
      </c>
      <c r="E264">
        <v>61490.611835445743</v>
      </c>
      <c r="F264">
        <v>0</v>
      </c>
    </row>
    <row r="265" spans="2:6" ht="15.75" customHeight="1" x14ac:dyDescent="0.25">
      <c r="B265" t="str">
        <v>Anedak</v>
      </c>
      <c r="C265" t="str">
        <v>Dexs</v>
      </c>
      <c r="D265" t="str">
        <v>-</v>
      </c>
      <c r="E265">
        <v>0</v>
      </c>
      <c r="F265">
        <v>0</v>
      </c>
    </row>
    <row r="266" spans="2:6" ht="15.75" customHeight="1" x14ac:dyDescent="0.25">
      <c r="B266" t="str">
        <v>Anemoy Capital</v>
      </c>
      <c r="C266" t="str">
        <v>RWA</v>
      </c>
      <c r="D266" t="str">
        <v>-</v>
      </c>
      <c r="E266">
        <v>303590249.7733708</v>
      </c>
      <c r="F266">
        <v>0</v>
      </c>
    </row>
    <row r="267" spans="2:6" ht="15.75" customHeight="1" x14ac:dyDescent="0.25">
      <c r="B267" t="str">
        <v>anetaBTC</v>
      </c>
      <c r="C267" t="str">
        <v>Bridge</v>
      </c>
      <c r="D267" t="str">
        <v>-</v>
      </c>
      <c r="E267">
        <v>126646.21326799388</v>
      </c>
      <c r="F267">
        <v>0</v>
      </c>
    </row>
    <row r="268" spans="2:6" ht="15.75" customHeight="1" x14ac:dyDescent="0.25">
      <c r="B268" t="str">
        <v>Angel Protocol</v>
      </c>
      <c r="C268" t="str">
        <v>Charity Fundraising</v>
      </c>
      <c r="D268" t="str">
        <v>HALO</v>
      </c>
      <c r="E268">
        <v>0</v>
      </c>
      <c r="F268">
        <v>0</v>
      </c>
    </row>
    <row r="269" spans="2:6" ht="15.75" customHeight="1" x14ac:dyDescent="0.25">
      <c r="B269" t="str">
        <v>Angle</v>
      </c>
      <c r="C269" t="str">
        <v>CDP</v>
      </c>
      <c r="D269" t="str">
        <v>ANGLE</v>
      </c>
      <c r="E269">
        <v>15070518.731739454</v>
      </c>
      <c r="F269">
        <v>2965686.8992548981</v>
      </c>
    </row>
    <row r="270" spans="2:6" ht="15.75" customHeight="1" x14ac:dyDescent="0.25">
      <c r="B270" t="str">
        <v>Angles Liquid</v>
      </c>
      <c r="C270" t="str">
        <v>Onchain Capital Allocator</v>
      </c>
      <c r="D270" t="str">
        <v>-</v>
      </c>
      <c r="E270">
        <v>462.77128069229411</v>
      </c>
      <c r="F270">
        <v>0</v>
      </c>
    </row>
    <row r="271" spans="2:6" ht="15.75" customHeight="1" x14ac:dyDescent="0.25">
      <c r="B271" t="str">
        <v>Angles Stake</v>
      </c>
      <c r="C271" t="str">
        <v>Liquid Staking</v>
      </c>
      <c r="D271" t="str">
        <v>-</v>
      </c>
      <c r="E271">
        <v>2495713.1172739048</v>
      </c>
      <c r="F271">
        <v>0</v>
      </c>
    </row>
    <row r="272" spans="2:6" ht="15.75" customHeight="1" x14ac:dyDescent="0.25">
      <c r="B272" t="str">
        <v>Angstrom</v>
      </c>
      <c r="C272" t="str">
        <v>Dexs</v>
      </c>
      <c r="D272" t="str">
        <v>-</v>
      </c>
      <c r="E272">
        <v>3213344.1130382726</v>
      </c>
      <c r="F272">
        <v>0</v>
      </c>
    </row>
    <row r="273" spans="2:6" ht="15.75" customHeight="1" x14ac:dyDescent="0.25">
      <c r="B273" t="str">
        <v>Animal Farm V1</v>
      </c>
      <c r="C273" t="str">
        <v>Farm</v>
      </c>
      <c r="D273" t="str">
        <v>PIGS</v>
      </c>
      <c r="E273">
        <v>2306.6518144618199</v>
      </c>
      <c r="F273">
        <v>0</v>
      </c>
    </row>
    <row r="274" spans="2:6" ht="15.75" customHeight="1" x14ac:dyDescent="0.25">
      <c r="B274" t="str">
        <v>Animal Farm V2</v>
      </c>
      <c r="C274" t="str">
        <v>Yield</v>
      </c>
      <c r="D274" t="str">
        <v>AFP</v>
      </c>
      <c r="E274">
        <v>0</v>
      </c>
      <c r="F274">
        <v>0</v>
      </c>
    </row>
    <row r="275" spans="2:6" ht="15.75" customHeight="1" x14ac:dyDescent="0.25">
      <c r="B275" t="str">
        <v>AnimeSwap</v>
      </c>
      <c r="C275" t="str">
        <v>Dexs</v>
      </c>
      <c r="D275" t="str">
        <v>ANI</v>
      </c>
      <c r="E275">
        <v>12314.209788090151</v>
      </c>
      <c r="F275">
        <v>0</v>
      </c>
    </row>
    <row r="276" spans="2:6" ht="15.75" customHeight="1" x14ac:dyDescent="0.25">
      <c r="B276" t="str">
        <v>Ankr</v>
      </c>
      <c r="C276" t="str">
        <v>Liquid Staking</v>
      </c>
      <c r="D276" t="str">
        <v>ANKR</v>
      </c>
      <c r="E276">
        <v>37847495.944937482</v>
      </c>
      <c r="F276">
        <v>73215987.941093192</v>
      </c>
    </row>
    <row r="277" spans="2:6" ht="15.75" customHeight="1" x14ac:dyDescent="0.25">
      <c r="B277" t="str">
        <v>Annex</v>
      </c>
      <c r="C277" t="str">
        <v>Lending</v>
      </c>
      <c r="D277" t="str">
        <v>ANN</v>
      </c>
      <c r="E277">
        <v>3714.0932913035704</v>
      </c>
      <c r="F277">
        <v>925531.44464868947</v>
      </c>
    </row>
    <row r="278" spans="2:6" ht="15.75" customHeight="1" x14ac:dyDescent="0.25">
      <c r="B278" t="str">
        <v>Anome</v>
      </c>
      <c r="C278" t="str">
        <v>NFT Marketplace</v>
      </c>
      <c r="D278" t="str">
        <v>-</v>
      </c>
      <c r="E278">
        <v>22662.50060249701</v>
      </c>
      <c r="F278">
        <v>0</v>
      </c>
    </row>
    <row r="279" spans="2:6" ht="15.75" customHeight="1" x14ac:dyDescent="0.25">
      <c r="B279" t="str">
        <v>Anon Social</v>
      </c>
      <c r="C279" t="str">
        <v>SoFi</v>
      </c>
      <c r="D279" t="str">
        <v>-</v>
      </c>
      <c r="E279">
        <v>1488.525141238181</v>
      </c>
      <c r="F279">
        <v>0</v>
      </c>
    </row>
    <row r="280" spans="2:6" ht="15.75" customHeight="1" x14ac:dyDescent="0.25">
      <c r="B280" t="str">
        <v>Anqa</v>
      </c>
      <c r="C280" t="str">
        <v>DEX Aggregator</v>
      </c>
      <c r="D280" t="str">
        <v>-</v>
      </c>
      <c r="E280">
        <v>0</v>
      </c>
      <c r="F280">
        <v>0</v>
      </c>
    </row>
    <row r="281" spans="2:6" ht="15.75" customHeight="1" x14ac:dyDescent="0.25">
      <c r="B281" t="str">
        <v>Antarctic</v>
      </c>
      <c r="C281" t="str">
        <v>Derivatives</v>
      </c>
      <c r="D281" t="str">
        <v>-</v>
      </c>
      <c r="E281">
        <v>1440300.808917278</v>
      </c>
      <c r="F281">
        <v>0</v>
      </c>
    </row>
    <row r="282" spans="2:6" ht="15.75" customHeight="1" x14ac:dyDescent="0.25">
      <c r="B282" t="str">
        <v>Ante Finance</v>
      </c>
      <c r="C282" t="str">
        <v>Insurance</v>
      </c>
      <c r="D282" t="str">
        <v>-</v>
      </c>
      <c r="E282">
        <v>652620.37633523892</v>
      </c>
      <c r="F282">
        <v>0</v>
      </c>
    </row>
    <row r="283" spans="2:6" ht="15.75" customHeight="1" x14ac:dyDescent="0.25">
      <c r="B283" t="str">
        <v>Antex</v>
      </c>
      <c r="C283" t="str">
        <v>Launchpad</v>
      </c>
      <c r="D283" t="str">
        <v>ANTEX</v>
      </c>
      <c r="E283">
        <v>7426.8192243155172</v>
      </c>
      <c r="F283">
        <v>0</v>
      </c>
    </row>
    <row r="284" spans="2:6" ht="15.75" customHeight="1" x14ac:dyDescent="0.25">
      <c r="B284" t="str">
        <v>Antfarm finance</v>
      </c>
      <c r="C284" t="str">
        <v>Liquidity manager</v>
      </c>
      <c r="D284" t="str">
        <v>ATF</v>
      </c>
      <c r="E284">
        <v>827103.02033278684</v>
      </c>
      <c r="F284">
        <v>0</v>
      </c>
    </row>
    <row r="285" spans="2:6" ht="15.75" customHeight="1" x14ac:dyDescent="0.25">
      <c r="B285" t="str">
        <v>AntFun</v>
      </c>
      <c r="C285" t="str">
        <v>Trading App</v>
      </c>
      <c r="D285" t="str">
        <v>-</v>
      </c>
      <c r="E285">
        <v>0</v>
      </c>
      <c r="F285">
        <v>0</v>
      </c>
    </row>
    <row r="286" spans="2:6" ht="15.75" customHeight="1" x14ac:dyDescent="0.25">
      <c r="B286" t="str">
        <v>AntiHero Finance</v>
      </c>
      <c r="C286" t="str">
        <v>Lending</v>
      </c>
      <c r="D286" t="str">
        <v>ANTI</v>
      </c>
      <c r="E286">
        <v>2.8450707257452672</v>
      </c>
      <c r="F286">
        <v>0</v>
      </c>
    </row>
    <row r="287" spans="2:6" ht="15.75" customHeight="1" x14ac:dyDescent="0.25">
      <c r="B287" t="str">
        <v>Antimatter</v>
      </c>
      <c r="C287" t="str">
        <v>Options</v>
      </c>
      <c r="D287" t="str">
        <v>MATTER</v>
      </c>
      <c r="E287">
        <v>18947.272688648554</v>
      </c>
      <c r="F287">
        <v>100075.88337454558</v>
      </c>
    </row>
    <row r="288" spans="2:6" ht="15.75" customHeight="1" x14ac:dyDescent="0.25">
      <c r="B288" t="str">
        <v>Anvil</v>
      </c>
      <c r="C288" t="str">
        <v>Collateral Management</v>
      </c>
      <c r="D288" t="str">
        <v>ANVL</v>
      </c>
      <c r="E288">
        <v>58257336.150295936</v>
      </c>
      <c r="F288">
        <v>56942535.59735398</v>
      </c>
    </row>
    <row r="289" spans="2:6" ht="15.75" customHeight="1" x14ac:dyDescent="0.25">
      <c r="B289" t="str">
        <v>AnyHedge</v>
      </c>
      <c r="C289" t="str">
        <v>Derivatives</v>
      </c>
      <c r="D289" t="str">
        <v>-</v>
      </c>
      <c r="E289">
        <v>4863333.4799999995</v>
      </c>
      <c r="F289">
        <v>0</v>
      </c>
    </row>
    <row r="290" spans="2:6" ht="15.75" customHeight="1" x14ac:dyDescent="0.25">
      <c r="B290" t="str">
        <v>Anzen V1</v>
      </c>
      <c r="C290" t="str">
        <v>RWA</v>
      </c>
      <c r="D290" t="str">
        <v>ANZ</v>
      </c>
      <c r="E290">
        <v>6298.974094632159</v>
      </c>
      <c r="F290">
        <v>0</v>
      </c>
    </row>
    <row r="291" spans="2:6" ht="15.75" customHeight="1" x14ac:dyDescent="0.25">
      <c r="B291" t="str">
        <v>Anzen V2</v>
      </c>
      <c r="C291" t="str">
        <v>RWA</v>
      </c>
      <c r="D291" t="str">
        <v>ANZ</v>
      </c>
      <c r="E291">
        <v>109478578.29212403</v>
      </c>
      <c r="F291">
        <v>0</v>
      </c>
    </row>
    <row r="292" spans="2:6" ht="15.75" customHeight="1" x14ac:dyDescent="0.25">
      <c r="B292" t="str">
        <v>AO Bridge</v>
      </c>
      <c r="C292" t="str">
        <v>Canonical Bridge</v>
      </c>
      <c r="D292" t="str">
        <v>AO</v>
      </c>
      <c r="E292">
        <v>155457744.25964236</v>
      </c>
      <c r="F292">
        <v>0</v>
      </c>
    </row>
    <row r="293" spans="2:6" ht="15.75" customHeight="1" x14ac:dyDescent="0.25">
      <c r="B293" t="str">
        <v>Ape Church</v>
      </c>
      <c r="C293" t="str">
        <v>Luck Games</v>
      </c>
      <c r="D293" t="str">
        <v>-</v>
      </c>
      <c r="E293">
        <v>552077.47935236851</v>
      </c>
      <c r="F293">
        <v>0</v>
      </c>
    </row>
    <row r="294" spans="2:6" ht="15.75" customHeight="1" x14ac:dyDescent="0.25">
      <c r="B294" t="str">
        <v>Ape Express</v>
      </c>
      <c r="C294" t="str">
        <v>Launchpad</v>
      </c>
      <c r="D294" t="str">
        <v>-</v>
      </c>
      <c r="E294">
        <v>43130.605607099351</v>
      </c>
      <c r="F294">
        <v>0</v>
      </c>
    </row>
    <row r="295" spans="2:6" ht="15.75" customHeight="1" x14ac:dyDescent="0.25">
      <c r="B295" t="str">
        <v>Ape Finance</v>
      </c>
      <c r="C295" t="str">
        <v>Lending</v>
      </c>
      <c r="D295" t="str">
        <v>APEFI</v>
      </c>
      <c r="E295">
        <v>55393.094418563531</v>
      </c>
      <c r="F295">
        <v>3333693.647482519</v>
      </c>
    </row>
    <row r="296" spans="2:6" ht="15.75" customHeight="1" x14ac:dyDescent="0.25">
      <c r="B296" t="str">
        <v>Ape Jupiter</v>
      </c>
      <c r="C296" t="str">
        <v>Launchpad</v>
      </c>
      <c r="D296" t="str">
        <v>JUP</v>
      </c>
      <c r="E296">
        <v>0</v>
      </c>
      <c r="F296">
        <v>0</v>
      </c>
    </row>
    <row r="297" spans="2:6" ht="15.75" customHeight="1" x14ac:dyDescent="0.25">
      <c r="B297" t="str">
        <v>Ape.Store</v>
      </c>
      <c r="C297" t="str">
        <v>Launchpad</v>
      </c>
      <c r="D297" t="str">
        <v>-</v>
      </c>
      <c r="E297">
        <v>31647.682903049092</v>
      </c>
      <c r="F297">
        <v>0</v>
      </c>
    </row>
    <row r="298" spans="2:6" ht="15.75" customHeight="1" x14ac:dyDescent="0.25">
      <c r="B298" t="str">
        <v>ApeBank</v>
      </c>
      <c r="C298" t="str">
        <v>Lending</v>
      </c>
      <c r="D298" t="str">
        <v>-</v>
      </c>
      <c r="E298">
        <v>159528.31816584169</v>
      </c>
      <c r="F298">
        <v>0</v>
      </c>
    </row>
    <row r="299" spans="2:6" ht="15.75" customHeight="1" x14ac:dyDescent="0.25">
      <c r="B299" t="str">
        <v>ApeBond Staking</v>
      </c>
      <c r="C299" t="str">
        <v>Farm</v>
      </c>
      <c r="D299" t="str">
        <v>ABOND</v>
      </c>
      <c r="E299">
        <v>9428.4470668075937</v>
      </c>
      <c r="F299">
        <v>0</v>
      </c>
    </row>
    <row r="300" spans="2:6" ht="15.75" customHeight="1" x14ac:dyDescent="0.25">
      <c r="B300" t="str">
        <v>ApeBot</v>
      </c>
      <c r="C300" t="str">
        <v>Telegram Bot</v>
      </c>
      <c r="D300" t="str">
        <v>-</v>
      </c>
      <c r="E300">
        <v>0</v>
      </c>
      <c r="F300">
        <v>0</v>
      </c>
    </row>
    <row r="301" spans="2:6" ht="15.75" customHeight="1" x14ac:dyDescent="0.25">
      <c r="B301" t="str">
        <v>ApeChain Bridge</v>
      </c>
      <c r="C301" t="str">
        <v>Bridge</v>
      </c>
      <c r="D301" t="str">
        <v>-</v>
      </c>
      <c r="E301">
        <v>1405972.8840888138</v>
      </c>
      <c r="F301">
        <v>0</v>
      </c>
    </row>
    <row r="302" spans="2:6" ht="15.75" customHeight="1" x14ac:dyDescent="0.25">
      <c r="B302" t="str">
        <v>ApeChainStake</v>
      </c>
      <c r="C302" t="str">
        <v>Yield</v>
      </c>
      <c r="D302" t="str">
        <v>-</v>
      </c>
      <c r="E302">
        <v>0</v>
      </c>
      <c r="F302">
        <v>0</v>
      </c>
    </row>
    <row r="303" spans="2:6" ht="15.75" customHeight="1" x14ac:dyDescent="0.25">
      <c r="B303" t="str">
        <v>ApeCoin</v>
      </c>
      <c r="C303" t="str">
        <v>Yield</v>
      </c>
      <c r="D303" t="str">
        <v>APE</v>
      </c>
      <c r="E303">
        <v>0</v>
      </c>
      <c r="F303">
        <v>194338201.60714975</v>
      </c>
    </row>
    <row r="304" spans="2:6" ht="15.75" customHeight="1" x14ac:dyDescent="0.25">
      <c r="B304" t="str">
        <v>ApeDAO</v>
      </c>
      <c r="C304" t="str">
        <v>Farm</v>
      </c>
      <c r="D304" t="str">
        <v>vAPE</v>
      </c>
      <c r="E304">
        <v>17.392728208603085</v>
      </c>
      <c r="F304">
        <v>0</v>
      </c>
    </row>
    <row r="305" spans="2:6" ht="15.75" customHeight="1" x14ac:dyDescent="0.25">
      <c r="B305" t="str">
        <v>ApeRocket</v>
      </c>
      <c r="C305" t="str">
        <v>Yield</v>
      </c>
      <c r="D305" t="str">
        <v>SPACE</v>
      </c>
      <c r="E305">
        <v>45523.536495570348</v>
      </c>
      <c r="F305">
        <v>0</v>
      </c>
    </row>
    <row r="306" spans="2:6" ht="15.75" customHeight="1" x14ac:dyDescent="0.25">
      <c r="B306" t="str">
        <v>Aperture LM</v>
      </c>
      <c r="C306" t="str">
        <v>Liquidity manager</v>
      </c>
      <c r="D306" t="str">
        <v>APTR</v>
      </c>
      <c r="E306">
        <v>13509.855100637384</v>
      </c>
      <c r="F306">
        <v>0</v>
      </c>
    </row>
    <row r="307" spans="2:6" ht="15.75" customHeight="1" x14ac:dyDescent="0.25">
      <c r="B307" t="str">
        <v>ApertureSwap</v>
      </c>
      <c r="C307" t="str">
        <v>Dexs</v>
      </c>
      <c r="D307" t="str">
        <v>APTR</v>
      </c>
      <c r="E307">
        <v>62124.789980814792</v>
      </c>
      <c r="F307">
        <v>0</v>
      </c>
    </row>
    <row r="308" spans="2:6" ht="15.75" customHeight="1" x14ac:dyDescent="0.25">
      <c r="B308" t="str">
        <v>ApeSwap AMM</v>
      </c>
      <c r="C308" t="str">
        <v>Dexs</v>
      </c>
      <c r="D308" t="str">
        <v>ABOND</v>
      </c>
      <c r="E308">
        <v>16852613.925662085</v>
      </c>
      <c r="F308">
        <v>0</v>
      </c>
    </row>
    <row r="309" spans="2:6" ht="15.75" customHeight="1" x14ac:dyDescent="0.25">
      <c r="B309" t="str">
        <v>ApeSwap Lending</v>
      </c>
      <c r="C309" t="str">
        <v>Lending</v>
      </c>
      <c r="D309" t="str">
        <v>ABOND</v>
      </c>
      <c r="E309">
        <v>269881.89338909945</v>
      </c>
      <c r="F309">
        <v>0</v>
      </c>
    </row>
    <row r="310" spans="2:6" ht="15.75" customHeight="1" x14ac:dyDescent="0.25">
      <c r="B310" t="str">
        <v>Apex DeFi</v>
      </c>
      <c r="C310" t="str">
        <v>Dexs</v>
      </c>
      <c r="D310" t="str">
        <v>APEX</v>
      </c>
      <c r="E310">
        <v>34648.768289650929</v>
      </c>
      <c r="F310">
        <v>0</v>
      </c>
    </row>
    <row r="311" spans="2:6" ht="15.75" customHeight="1" x14ac:dyDescent="0.25">
      <c r="B311" t="str">
        <v>Apex Omni</v>
      </c>
      <c r="C311" t="str">
        <v>Derivatives</v>
      </c>
      <c r="D311" t="str">
        <v>-</v>
      </c>
      <c r="E311">
        <v>42724652.948296115</v>
      </c>
      <c r="F311">
        <v>0</v>
      </c>
    </row>
    <row r="312" spans="2:6" ht="15.75" customHeight="1" x14ac:dyDescent="0.25">
      <c r="B312" t="str">
        <v>ApeX Pro</v>
      </c>
      <c r="C312" t="str">
        <v>Derivatives</v>
      </c>
      <c r="D312" t="str">
        <v>APEX</v>
      </c>
      <c r="E312">
        <v>1440477.2232950947</v>
      </c>
      <c r="F312">
        <v>0</v>
      </c>
    </row>
    <row r="313" spans="2:6" ht="15.75" customHeight="1" x14ac:dyDescent="0.25">
      <c r="B313" t="str">
        <v>ApexSwap</v>
      </c>
      <c r="C313" t="str">
        <v>Dexs</v>
      </c>
      <c r="D313" t="str">
        <v>APEX</v>
      </c>
      <c r="E313">
        <v>69.738216693767328</v>
      </c>
      <c r="F313">
        <v>0</v>
      </c>
    </row>
    <row r="314" spans="2:6" ht="15.75" customHeight="1" x14ac:dyDescent="0.25">
      <c r="B314" t="str">
        <v>Api3</v>
      </c>
      <c r="C314" t="str">
        <v>Oracle</v>
      </c>
      <c r="D314" t="str">
        <v>API3</v>
      </c>
      <c r="E314">
        <v>0</v>
      </c>
      <c r="F314">
        <v>63680752.103054963</v>
      </c>
    </row>
    <row r="315" spans="2:6" ht="15.75" customHeight="1" x14ac:dyDescent="0.25">
      <c r="B315" t="str">
        <v>Apollo Diversified Credit Securitize Fund</v>
      </c>
      <c r="C315" t="str">
        <v>RWA</v>
      </c>
      <c r="D315" t="str">
        <v>-</v>
      </c>
      <c r="E315">
        <v>84058427.588809684</v>
      </c>
      <c r="F315">
        <v>0</v>
      </c>
    </row>
    <row r="316" spans="2:6" ht="15.75" customHeight="1" x14ac:dyDescent="0.25">
      <c r="B316" t="str">
        <v>ApolloDAO</v>
      </c>
      <c r="C316" t="str">
        <v>Yield</v>
      </c>
      <c r="D316" t="str">
        <v>APOLLO</v>
      </c>
      <c r="E316">
        <v>11680.598825894631</v>
      </c>
      <c r="F316">
        <v>245865.46269785694</v>
      </c>
    </row>
    <row r="317" spans="2:6" ht="15.75" customHeight="1" x14ac:dyDescent="0.25">
      <c r="B317" t="str">
        <v>Apollon</v>
      </c>
      <c r="C317" t="str">
        <v>Synthetics</v>
      </c>
      <c r="D317" t="str">
        <v>APO</v>
      </c>
      <c r="E317">
        <v>2561.5724655721551</v>
      </c>
      <c r="F317">
        <v>134329.7481328799</v>
      </c>
    </row>
    <row r="318" spans="2:6" ht="15.75" customHeight="1" x14ac:dyDescent="0.25">
      <c r="B318" t="str">
        <v>Apostro</v>
      </c>
      <c r="C318" t="str">
        <v>Risk Curators</v>
      </c>
      <c r="D318" t="str">
        <v>-</v>
      </c>
      <c r="E318">
        <v>1057087.7724541242</v>
      </c>
      <c r="F318">
        <v>0</v>
      </c>
    </row>
    <row r="319" spans="2:6" ht="15.75" customHeight="1" x14ac:dyDescent="0.25">
      <c r="B319" t="str">
        <v>Appchain Bridge</v>
      </c>
      <c r="C319" t="str">
        <v>Canonical Bridge</v>
      </c>
      <c r="D319" t="str">
        <v>-</v>
      </c>
      <c r="E319">
        <v>84923.955566965829</v>
      </c>
      <c r="F319">
        <v>0</v>
      </c>
    </row>
    <row r="320" spans="2:6" ht="15.75" customHeight="1" x14ac:dyDescent="0.25">
      <c r="B320" t="str">
        <v>ApplePie</v>
      </c>
      <c r="C320" t="str">
        <v>Farm</v>
      </c>
      <c r="D320" t="str">
        <v>Pie</v>
      </c>
      <c r="E320">
        <v>2.4160785918149759</v>
      </c>
      <c r="F320">
        <v>0</v>
      </c>
    </row>
    <row r="321" spans="2:6" ht="15.75" customHeight="1" x14ac:dyDescent="0.25">
      <c r="B321" t="str">
        <v>Apricot Finance</v>
      </c>
      <c r="C321" t="str">
        <v>Lending</v>
      </c>
      <c r="D321" t="str">
        <v>APT</v>
      </c>
      <c r="E321">
        <v>947575.70443558716</v>
      </c>
      <c r="F321">
        <v>14269.321707912126</v>
      </c>
    </row>
    <row r="322" spans="2:6" ht="15.75" customHeight="1" x14ac:dyDescent="0.25">
      <c r="B322" t="str">
        <v>ApStation</v>
      </c>
      <c r="C322" t="str">
        <v>DEX Aggregator</v>
      </c>
      <c r="D322" t="str">
        <v>-</v>
      </c>
      <c r="E322">
        <v>0</v>
      </c>
      <c r="F322">
        <v>0</v>
      </c>
    </row>
    <row r="323" spans="2:6" ht="15.75" customHeight="1" x14ac:dyDescent="0.25">
      <c r="B323" t="str">
        <v>Aptin Finance V1</v>
      </c>
      <c r="C323" t="str">
        <v>Lending</v>
      </c>
      <c r="D323" t="str">
        <v>-</v>
      </c>
      <c r="E323">
        <v>50451.47194012424</v>
      </c>
      <c r="F323">
        <v>0</v>
      </c>
    </row>
    <row r="324" spans="2:6" ht="15.75" customHeight="1" x14ac:dyDescent="0.25">
      <c r="B324" t="str">
        <v>Aptin Finance V2</v>
      </c>
      <c r="C324" t="str">
        <v>Lending</v>
      </c>
      <c r="D324" t="str">
        <v>-</v>
      </c>
      <c r="E324">
        <v>8231996.6641486697</v>
      </c>
      <c r="F324">
        <v>0</v>
      </c>
    </row>
    <row r="325" spans="2:6" ht="15.75" customHeight="1" x14ac:dyDescent="0.25">
      <c r="B325" t="str">
        <v>Aptos</v>
      </c>
      <c r="C325" t="str">
        <v>Canonical Bridge</v>
      </c>
      <c r="D325" t="str">
        <v>APT</v>
      </c>
      <c r="E325">
        <v>0</v>
      </c>
      <c r="F325">
        <v>1366807265.0159395</v>
      </c>
    </row>
    <row r="326" spans="2:6" ht="15.75" customHeight="1" x14ac:dyDescent="0.25">
      <c r="B326" t="str">
        <v>AptosLaunch</v>
      </c>
      <c r="C326" t="str">
        <v>Launchpad</v>
      </c>
      <c r="D326" t="str">
        <v>ALT</v>
      </c>
      <c r="E326">
        <v>5362.7989110293365</v>
      </c>
      <c r="F326">
        <v>0</v>
      </c>
    </row>
    <row r="327" spans="2:6" ht="15.75" customHeight="1" x14ac:dyDescent="0.25">
      <c r="B327" t="str">
        <v>Aptoswap</v>
      </c>
      <c r="C327" t="str">
        <v>Dexs</v>
      </c>
      <c r="D327" t="str">
        <v>-</v>
      </c>
      <c r="E327">
        <v>30053.064601661903</v>
      </c>
      <c r="F327">
        <v>0</v>
      </c>
    </row>
    <row r="328" spans="2:6" ht="15.75" customHeight="1" x14ac:dyDescent="0.25">
      <c r="B328" t="str">
        <v>APX Bridge</v>
      </c>
      <c r="C328" t="str">
        <v>Bridge</v>
      </c>
      <c r="D328" t="str">
        <v>ASTER</v>
      </c>
      <c r="E328">
        <v>79815192.102036685</v>
      </c>
      <c r="F328">
        <v>0</v>
      </c>
    </row>
    <row r="329" spans="2:6" ht="15.75" customHeight="1" x14ac:dyDescent="0.25">
      <c r="B329" t="str">
        <v>APY Finance</v>
      </c>
      <c r="C329" t="str">
        <v>Yield</v>
      </c>
      <c r="D329" t="str">
        <v>APY</v>
      </c>
      <c r="E329">
        <v>414196.1237850961</v>
      </c>
      <c r="F329">
        <v>50455.645916706257</v>
      </c>
    </row>
    <row r="330" spans="2:6" ht="15.75" customHeight="1" x14ac:dyDescent="0.25">
      <c r="B330" t="str">
        <v>Aqua</v>
      </c>
      <c r="C330" t="str">
        <v>Telegram Bot</v>
      </c>
      <c r="D330" t="str">
        <v>-</v>
      </c>
      <c r="E330">
        <v>0</v>
      </c>
      <c r="F330">
        <v>0</v>
      </c>
    </row>
    <row r="331" spans="2:6" ht="15.75" customHeight="1" x14ac:dyDescent="0.25">
      <c r="B331" t="str">
        <v>Aqua Patina</v>
      </c>
      <c r="C331" t="str">
        <v>Liquid Restaking</v>
      </c>
      <c r="D331" t="str">
        <v>-</v>
      </c>
      <c r="E331">
        <v>23201.172316633656</v>
      </c>
      <c r="F331">
        <v>0</v>
      </c>
    </row>
    <row r="332" spans="2:6" ht="15.75" customHeight="1" x14ac:dyDescent="0.25">
      <c r="B332" t="str">
        <v>Aqua Protocol</v>
      </c>
      <c r="C332" t="str">
        <v>CDP</v>
      </c>
      <c r="D332" t="str">
        <v>-</v>
      </c>
      <c r="E332">
        <v>112.27182739250186</v>
      </c>
      <c r="F332">
        <v>0</v>
      </c>
    </row>
    <row r="333" spans="2:6" ht="15.75" customHeight="1" x14ac:dyDescent="0.25">
      <c r="B333" t="str">
        <v>AquaBank</v>
      </c>
      <c r="C333" t="str">
        <v>Yield</v>
      </c>
      <c r="D333" t="str">
        <v>-</v>
      </c>
      <c r="E333">
        <v>748984.26630301378</v>
      </c>
      <c r="F333">
        <v>0</v>
      </c>
    </row>
    <row r="334" spans="2:6" ht="15.75" customHeight="1" x14ac:dyDescent="0.25">
      <c r="B334" t="str">
        <v>AquaBera</v>
      </c>
      <c r="C334" t="str">
        <v>Liquidity manager</v>
      </c>
      <c r="D334" t="str">
        <v>-</v>
      </c>
      <c r="E334">
        <v>27739.144976707368</v>
      </c>
      <c r="F334">
        <v>0</v>
      </c>
    </row>
    <row r="335" spans="2:6" ht="15.75" customHeight="1" x14ac:dyDescent="0.25">
      <c r="B335" t="str">
        <v>Aquadex</v>
      </c>
      <c r="C335" t="str">
        <v>Dexs</v>
      </c>
      <c r="D335" t="str">
        <v>-</v>
      </c>
      <c r="E335">
        <v>1.1931830935082053</v>
      </c>
      <c r="F335">
        <v>0</v>
      </c>
    </row>
    <row r="336" spans="2:6" ht="15.75" customHeight="1" x14ac:dyDescent="0.25">
      <c r="B336" t="str">
        <v>AquaLoan</v>
      </c>
      <c r="C336" t="str">
        <v>Lending</v>
      </c>
      <c r="D336" t="str">
        <v>AQUA</v>
      </c>
      <c r="E336">
        <v>5293.0956475784133</v>
      </c>
      <c r="F336">
        <v>0</v>
      </c>
    </row>
    <row r="337" spans="2:6" ht="15.75" customHeight="1" x14ac:dyDescent="0.25">
      <c r="B337" t="str">
        <v>Aquarius</v>
      </c>
      <c r="C337" t="str">
        <v>CDP</v>
      </c>
      <c r="D337" t="str">
        <v>AQU</v>
      </c>
      <c r="E337">
        <v>1298.587055229119</v>
      </c>
      <c r="F337">
        <v>0</v>
      </c>
    </row>
    <row r="338" spans="2:6" ht="15.75" customHeight="1" x14ac:dyDescent="0.25">
      <c r="B338" t="str">
        <v>Aquarius Loan</v>
      </c>
      <c r="C338" t="str">
        <v>Lending</v>
      </c>
      <c r="D338" t="str">
        <v>ARS</v>
      </c>
      <c r="E338">
        <v>36925.605477966325</v>
      </c>
      <c r="F338">
        <v>0</v>
      </c>
    </row>
    <row r="339" spans="2:6" ht="15.75" customHeight="1" x14ac:dyDescent="0.25">
      <c r="B339" t="str">
        <v>Aquarius Stellar</v>
      </c>
      <c r="C339" t="str">
        <v>Dexs</v>
      </c>
      <c r="D339" t="str">
        <v>AQUA</v>
      </c>
      <c r="E339">
        <v>45398115.003428198</v>
      </c>
      <c r="F339">
        <v>18638730.556043208</v>
      </c>
    </row>
    <row r="340" spans="2:6" ht="15.75" customHeight="1" x14ac:dyDescent="0.25">
      <c r="B340" t="str">
        <v>Aquas Trade</v>
      </c>
      <c r="C340" t="str">
        <v>Dexs</v>
      </c>
      <c r="D340" t="str">
        <v>-</v>
      </c>
      <c r="E340">
        <v>50.224356902817505</v>
      </c>
      <c r="F340">
        <v>0</v>
      </c>
    </row>
    <row r="341" spans="2:6" ht="15.75" customHeight="1" x14ac:dyDescent="0.25">
      <c r="B341" t="str">
        <v>Aquifer</v>
      </c>
      <c r="C341" t="str">
        <v>Dexs</v>
      </c>
      <c r="D341" t="str">
        <v>-</v>
      </c>
      <c r="E341">
        <v>0</v>
      </c>
      <c r="F341">
        <v>0</v>
      </c>
    </row>
    <row r="342" spans="2:6" ht="15.75" customHeight="1" x14ac:dyDescent="0.25">
      <c r="B342" t="str">
        <v>Ara Finance</v>
      </c>
      <c r="C342" t="str">
        <v>Reserve Currency</v>
      </c>
      <c r="D342" t="str">
        <v>ARA</v>
      </c>
      <c r="E342">
        <v>1505.1662194348221</v>
      </c>
      <c r="F342">
        <v>0</v>
      </c>
    </row>
    <row r="343" spans="2:6" ht="15.75" customHeight="1" x14ac:dyDescent="0.25">
      <c r="B343" t="str">
        <v>Arable Protocol</v>
      </c>
      <c r="C343" t="str">
        <v>Synthetics</v>
      </c>
      <c r="D343" t="str">
        <v>ACRE</v>
      </c>
      <c r="E343">
        <v>0</v>
      </c>
      <c r="F343">
        <v>0</v>
      </c>
    </row>
    <row r="344" spans="2:6" ht="15.75" customHeight="1" x14ac:dyDescent="0.25">
      <c r="B344" t="str">
        <v>Aragon</v>
      </c>
      <c r="C344" t="str">
        <v>Services</v>
      </c>
      <c r="D344" t="str">
        <v>ANT</v>
      </c>
      <c r="E344">
        <v>0</v>
      </c>
      <c r="F344">
        <v>5984237.9850214729</v>
      </c>
    </row>
    <row r="345" spans="2:6" ht="15.75" customHeight="1" x14ac:dyDescent="0.25">
      <c r="B345" t="str">
        <v>Arbera</v>
      </c>
      <c r="C345" t="str">
        <v>Yield</v>
      </c>
      <c r="D345" t="str">
        <v>-</v>
      </c>
      <c r="E345">
        <v>149808.74140928398</v>
      </c>
      <c r="F345">
        <v>0</v>
      </c>
    </row>
    <row r="346" spans="2:6" ht="15.75" customHeight="1" x14ac:dyDescent="0.25">
      <c r="B346" t="str">
        <v>Arbi's Finance</v>
      </c>
      <c r="C346" t="str">
        <v>Yield</v>
      </c>
      <c r="D346" t="str">
        <v>ARBIS</v>
      </c>
      <c r="E346">
        <v>103315.67533612806</v>
      </c>
      <c r="F346">
        <v>0</v>
      </c>
    </row>
    <row r="347" spans="2:6" ht="15.75" customHeight="1" x14ac:dyDescent="0.25">
      <c r="B347" t="str">
        <v>ArbiCheems</v>
      </c>
      <c r="C347" t="str">
        <v>Yield</v>
      </c>
      <c r="D347" t="str">
        <v>CHEEMS</v>
      </c>
      <c r="E347">
        <v>0.60461012052326824</v>
      </c>
      <c r="F347">
        <v>0</v>
      </c>
    </row>
    <row r="348" spans="2:6" ht="15.75" customHeight="1" x14ac:dyDescent="0.25">
      <c r="B348" t="str">
        <v>ArbiNYAN</v>
      </c>
      <c r="C348" t="str">
        <v>Farm</v>
      </c>
      <c r="D348" t="str">
        <v>NYAN</v>
      </c>
      <c r="E348">
        <v>99761.928997420793</v>
      </c>
      <c r="F348">
        <v>0</v>
      </c>
    </row>
    <row r="349" spans="2:6" ht="15.75" customHeight="1" x14ac:dyDescent="0.25">
      <c r="B349" t="str">
        <v>ArbiRise Finance</v>
      </c>
      <c r="C349" t="str">
        <v>Yield</v>
      </c>
      <c r="D349" t="str">
        <v>ARF</v>
      </c>
      <c r="E349">
        <v>8721.2879453944279</v>
      </c>
      <c r="F349">
        <v>15857.473157117771</v>
      </c>
    </row>
    <row r="350" spans="2:6" ht="15.75" customHeight="1" x14ac:dyDescent="0.25">
      <c r="B350" t="str">
        <v>ArbiSwap</v>
      </c>
      <c r="C350" t="str">
        <v>Dexs</v>
      </c>
      <c r="D350" t="str">
        <v>ARBI</v>
      </c>
      <c r="E350">
        <v>12966.872232516271</v>
      </c>
      <c r="F350">
        <v>0</v>
      </c>
    </row>
    <row r="351" spans="2:6" ht="15.75" customHeight="1" x14ac:dyDescent="0.25">
      <c r="B351" t="str">
        <v>ArbiTen</v>
      </c>
      <c r="C351" t="str">
        <v>Algo-Stables</v>
      </c>
      <c r="D351" t="str">
        <v>ARBITEN</v>
      </c>
      <c r="E351">
        <v>4.4065546009785796</v>
      </c>
      <c r="F351">
        <v>0</v>
      </c>
    </row>
    <row r="352" spans="2:6" ht="15.75" customHeight="1" x14ac:dyDescent="0.25">
      <c r="B352" t="str">
        <v>Arbitrove</v>
      </c>
      <c r="C352" t="str">
        <v>Indexes</v>
      </c>
      <c r="D352" t="str">
        <v>TROVE</v>
      </c>
      <c r="E352">
        <v>769835.95368225465</v>
      </c>
      <c r="F352">
        <v>738511.47529967851</v>
      </c>
    </row>
    <row r="353" spans="2:6" ht="15.75" customHeight="1" x14ac:dyDescent="0.25">
      <c r="B353" t="str">
        <v>Arbitrum</v>
      </c>
      <c r="C353" t="str">
        <v>Canonical Bridge</v>
      </c>
      <c r="D353" t="str">
        <v>ARB</v>
      </c>
      <c r="E353">
        <v>0</v>
      </c>
      <c r="F353">
        <v>1190328533.4296284</v>
      </c>
    </row>
    <row r="354" spans="2:6" ht="15.75" customHeight="1" x14ac:dyDescent="0.25">
      <c r="B354" t="str">
        <v>Arbitrum Bridge</v>
      </c>
      <c r="C354" t="str">
        <v>Canonical Bridge</v>
      </c>
      <c r="D354" t="str">
        <v>ARB</v>
      </c>
      <c r="E354">
        <v>4229826957.9412684</v>
      </c>
      <c r="F354">
        <v>0</v>
      </c>
    </row>
    <row r="355" spans="2:6" ht="15.75" customHeight="1" x14ac:dyDescent="0.25">
      <c r="B355" t="str">
        <v>Arbitrum Exchange V2</v>
      </c>
      <c r="C355" t="str">
        <v>Dexs</v>
      </c>
      <c r="D355" t="str">
        <v>ARX</v>
      </c>
      <c r="E355">
        <v>20026.215912988471</v>
      </c>
      <c r="F355">
        <v>0</v>
      </c>
    </row>
    <row r="356" spans="2:6" ht="15.75" customHeight="1" x14ac:dyDescent="0.25">
      <c r="B356" t="str">
        <v>Arbitrum Exchange V3</v>
      </c>
      <c r="C356" t="str">
        <v>Dexs</v>
      </c>
      <c r="D356" t="str">
        <v>ARX</v>
      </c>
      <c r="E356">
        <v>836.61512008775401</v>
      </c>
      <c r="F356">
        <v>0</v>
      </c>
    </row>
    <row r="357" spans="2:6" ht="15.75" customHeight="1" x14ac:dyDescent="0.25">
      <c r="B357" t="str">
        <v>Arbitrum Nova Bridge</v>
      </c>
      <c r="C357" t="str">
        <v>Canonical Bridge</v>
      </c>
      <c r="D357" t="str">
        <v>ARB</v>
      </c>
      <c r="E357">
        <v>28178775.772903156</v>
      </c>
      <c r="F357">
        <v>0</v>
      </c>
    </row>
    <row r="358" spans="2:6" ht="15.75" customHeight="1" x14ac:dyDescent="0.25">
      <c r="B358" t="str">
        <v>Arbitrum Timeboost</v>
      </c>
      <c r="C358" t="str">
        <v>MEV</v>
      </c>
      <c r="D358" t="str">
        <v>-</v>
      </c>
      <c r="E358">
        <v>0</v>
      </c>
      <c r="F358">
        <v>0</v>
      </c>
    </row>
    <row r="359" spans="2:6" ht="15.75" customHeight="1" x14ac:dyDescent="0.25">
      <c r="B359" t="str">
        <v>Arbius</v>
      </c>
      <c r="C359" t="str">
        <v>AI Agents</v>
      </c>
      <c r="D359" t="str">
        <v>AIUS</v>
      </c>
      <c r="E359">
        <v>0</v>
      </c>
      <c r="F359">
        <v>225371.89449738117</v>
      </c>
    </row>
    <row r="360" spans="2:6" ht="15.75" customHeight="1" x14ac:dyDescent="0.25">
      <c r="B360" t="str">
        <v>Arbor Finance</v>
      </c>
      <c r="C360" t="str">
        <v>Lending</v>
      </c>
      <c r="D360" t="str">
        <v>-</v>
      </c>
      <c r="E360">
        <v>11.681694558494863</v>
      </c>
      <c r="F360">
        <v>0</v>
      </c>
    </row>
    <row r="361" spans="2:6" ht="15.75" customHeight="1" x14ac:dyDescent="0.25">
      <c r="B361" t="str">
        <v>Arbswap AMM</v>
      </c>
      <c r="C361" t="str">
        <v>Dexs</v>
      </c>
      <c r="D361" t="str">
        <v>ARBS</v>
      </c>
      <c r="E361">
        <v>342701.8511490823</v>
      </c>
      <c r="F361">
        <v>0</v>
      </c>
    </row>
    <row r="362" spans="2:6" ht="15.75" customHeight="1" x14ac:dyDescent="0.25">
      <c r="B362" t="str">
        <v>Arbswap StableSwap</v>
      </c>
      <c r="C362" t="str">
        <v>Dexs</v>
      </c>
      <c r="D362" t="str">
        <v>ARBS</v>
      </c>
      <c r="E362">
        <v>1168.9354165557006</v>
      </c>
      <c r="F362">
        <v>0</v>
      </c>
    </row>
    <row r="363" spans="2:6" ht="15.75" customHeight="1" x14ac:dyDescent="0.25">
      <c r="B363" t="str">
        <v>Arc Swap</v>
      </c>
      <c r="C363" t="str">
        <v>Services</v>
      </c>
      <c r="D363" t="str">
        <v>ARC</v>
      </c>
      <c r="E363">
        <v>0</v>
      </c>
      <c r="F363">
        <v>959228.96366909577</v>
      </c>
    </row>
    <row r="364" spans="2:6" ht="15.75" customHeight="1" x14ac:dyDescent="0.25">
      <c r="B364" t="str">
        <v>Arca Labs ArCoin</v>
      </c>
      <c r="C364" t="str">
        <v>RWA</v>
      </c>
      <c r="D364" t="str">
        <v>RCOIN</v>
      </c>
      <c r="E364">
        <v>444121.60253653879</v>
      </c>
      <c r="F364">
        <v>0</v>
      </c>
    </row>
    <row r="365" spans="2:6" ht="15.75" customHeight="1" x14ac:dyDescent="0.25">
      <c r="B365" t="str">
        <v>Arcade.xyz</v>
      </c>
      <c r="C365" t="str">
        <v>NFT Lending</v>
      </c>
      <c r="D365" t="str">
        <v>ARCD</v>
      </c>
      <c r="E365">
        <v>532231.68989265244</v>
      </c>
      <c r="F365">
        <v>63497.716890075673</v>
      </c>
    </row>
    <row r="366" spans="2:6" ht="15.75" customHeight="1" x14ac:dyDescent="0.25">
      <c r="B366" t="str">
        <v>Arcadia V1</v>
      </c>
      <c r="C366" t="str">
        <v>Leveraged Farming</v>
      </c>
      <c r="D366" t="str">
        <v>AAA</v>
      </c>
      <c r="E366">
        <v>29804.790483105789</v>
      </c>
      <c r="F366">
        <v>0</v>
      </c>
    </row>
    <row r="367" spans="2:6" ht="15.75" customHeight="1" x14ac:dyDescent="0.25">
      <c r="B367" t="str">
        <v>Arcadia V2</v>
      </c>
      <c r="C367" t="str">
        <v>Liquidity manager</v>
      </c>
      <c r="D367" t="str">
        <v>AAA</v>
      </c>
      <c r="E367">
        <v>8186049.4367022598</v>
      </c>
      <c r="F367">
        <v>0</v>
      </c>
    </row>
    <row r="368" spans="2:6" ht="15.75" customHeight="1" x14ac:dyDescent="0.25">
      <c r="B368" t="str">
        <v>Arcane Dex</v>
      </c>
      <c r="C368" t="str">
        <v>DEX Aggregator</v>
      </c>
      <c r="D368" t="str">
        <v>ARC</v>
      </c>
      <c r="E368">
        <v>0</v>
      </c>
      <c r="F368">
        <v>0</v>
      </c>
    </row>
    <row r="369" spans="2:6" ht="15.75" customHeight="1" x14ac:dyDescent="0.25">
      <c r="B369" t="str">
        <v>Arcanum</v>
      </c>
      <c r="C369" t="str">
        <v>Derivatives</v>
      </c>
      <c r="D369" t="str">
        <v>-</v>
      </c>
      <c r="E369">
        <v>849.5422937517726</v>
      </c>
      <c r="F369">
        <v>0</v>
      </c>
    </row>
    <row r="370" spans="2:6" ht="15.75" customHeight="1" x14ac:dyDescent="0.25">
      <c r="B370" t="str">
        <v>Arch</v>
      </c>
      <c r="C370" t="str">
        <v>Indexes</v>
      </c>
      <c r="D370" t="str">
        <v>-</v>
      </c>
      <c r="E370">
        <v>3124019.9268392483</v>
      </c>
      <c r="F370">
        <v>0</v>
      </c>
    </row>
    <row r="371" spans="2:6" ht="15.75" customHeight="1" x14ac:dyDescent="0.25">
      <c r="B371" t="str">
        <v>Arch Swap</v>
      </c>
      <c r="C371" t="str">
        <v>Dexs</v>
      </c>
      <c r="D371" t="str">
        <v>-</v>
      </c>
      <c r="E371">
        <v>4871.4246947897973</v>
      </c>
      <c r="F371">
        <v>0</v>
      </c>
    </row>
    <row r="372" spans="2:6" ht="15.75" customHeight="1" x14ac:dyDescent="0.25">
      <c r="B372" t="str">
        <v>Arche Protocol</v>
      </c>
      <c r="C372" t="str">
        <v>CDP</v>
      </c>
      <c r="D372" t="str">
        <v>-</v>
      </c>
      <c r="E372">
        <v>18437.749340477159</v>
      </c>
      <c r="F372">
        <v>0</v>
      </c>
    </row>
    <row r="373" spans="2:6" ht="15.75" customHeight="1" x14ac:dyDescent="0.25">
      <c r="B373" t="str">
        <v>ArcherSwap</v>
      </c>
      <c r="C373" t="str">
        <v>Dexs</v>
      </c>
      <c r="D373" t="str">
        <v>BOW</v>
      </c>
      <c r="E373">
        <v>121159.74679501903</v>
      </c>
      <c r="F373">
        <v>0</v>
      </c>
    </row>
    <row r="374" spans="2:6" ht="15.75" customHeight="1" x14ac:dyDescent="0.25">
      <c r="B374" t="str">
        <v>Archi Finance</v>
      </c>
      <c r="C374" t="str">
        <v>Leveraged Farming</v>
      </c>
      <c r="D374" t="str">
        <v>ARCHI</v>
      </c>
      <c r="E374">
        <v>185.86341597943033</v>
      </c>
      <c r="F374">
        <v>78487.567025658049</v>
      </c>
    </row>
    <row r="375" spans="2:6" ht="15.75" customHeight="1" x14ac:dyDescent="0.25">
      <c r="B375" t="str">
        <v>Archimedes Finance</v>
      </c>
      <c r="C375" t="str">
        <v>Leveraged Farming</v>
      </c>
      <c r="D375" t="str">
        <v>ARCH</v>
      </c>
      <c r="E375">
        <v>1739.4261140880335</v>
      </c>
      <c r="F375">
        <v>285197.55193387327</v>
      </c>
    </row>
    <row r="376" spans="2:6" ht="15.75" customHeight="1" x14ac:dyDescent="0.25">
      <c r="B376" t="str">
        <v>Archly V1</v>
      </c>
      <c r="C376" t="str">
        <v>Dexs</v>
      </c>
      <c r="D376" t="str">
        <v>ARC</v>
      </c>
      <c r="E376">
        <v>4246.2808669429951</v>
      </c>
      <c r="F376">
        <v>0</v>
      </c>
    </row>
    <row r="377" spans="2:6" ht="15.75" customHeight="1" x14ac:dyDescent="0.25">
      <c r="B377" t="str">
        <v>Archly V2</v>
      </c>
      <c r="C377" t="str">
        <v>Dexs</v>
      </c>
      <c r="D377" t="str">
        <v>ARC</v>
      </c>
      <c r="E377">
        <v>2715.1281746416571</v>
      </c>
      <c r="F377">
        <v>0</v>
      </c>
    </row>
    <row r="378" spans="2:6" ht="15.75" customHeight="1" x14ac:dyDescent="0.25">
      <c r="B378" t="str">
        <v>Archon Bridge</v>
      </c>
      <c r="C378" t="str">
        <v>Bridge</v>
      </c>
      <c r="D378" t="str">
        <v>-</v>
      </c>
      <c r="E378">
        <v>10123.284143479697</v>
      </c>
      <c r="F378">
        <v>0</v>
      </c>
    </row>
    <row r="379" spans="2:6" ht="15.75" customHeight="1" x14ac:dyDescent="0.25">
      <c r="B379" t="str">
        <v>Arctic</v>
      </c>
      <c r="C379" t="str">
        <v>Dexs</v>
      </c>
      <c r="D379" t="str">
        <v>ARC</v>
      </c>
      <c r="E379">
        <v>1651.0117379199041</v>
      </c>
      <c r="F379">
        <v>0</v>
      </c>
    </row>
    <row r="380" spans="2:6" ht="15.75" customHeight="1" x14ac:dyDescent="0.25">
      <c r="B380" t="str">
        <v>ARCx</v>
      </c>
      <c r="C380" t="str">
        <v>Insurance</v>
      </c>
      <c r="D380" t="str">
        <v>ARCx</v>
      </c>
      <c r="E380">
        <v>0</v>
      </c>
      <c r="F380">
        <v>2582735.5518954373</v>
      </c>
    </row>
    <row r="381" spans="2:6" ht="15.75" customHeight="1" x14ac:dyDescent="0.25">
      <c r="B381" t="str">
        <v>Arena DEX</v>
      </c>
      <c r="C381" t="str">
        <v>Dexs</v>
      </c>
      <c r="D381" t="str">
        <v>ARENA</v>
      </c>
      <c r="E381">
        <v>3324187.30590855</v>
      </c>
      <c r="F381">
        <v>0</v>
      </c>
    </row>
    <row r="382" spans="2:6" ht="15.75" customHeight="1" x14ac:dyDescent="0.25">
      <c r="B382" t="str">
        <v>Arena Launch</v>
      </c>
      <c r="C382" t="str">
        <v>Launchpad</v>
      </c>
      <c r="D382" t="str">
        <v>ARENA</v>
      </c>
      <c r="E382">
        <v>47618.960308799418</v>
      </c>
      <c r="F382">
        <v>0</v>
      </c>
    </row>
    <row r="383" spans="2:6" ht="15.75" customHeight="1" x14ac:dyDescent="0.25">
      <c r="B383" t="str">
        <v>Arena of Faith</v>
      </c>
      <c r="C383" t="str">
        <v>Farm</v>
      </c>
      <c r="D383" t="str">
        <v>ACP</v>
      </c>
      <c r="E383">
        <v>172.20748777529076</v>
      </c>
      <c r="F383">
        <v>0</v>
      </c>
    </row>
    <row r="384" spans="2:6" ht="15.75" customHeight="1" x14ac:dyDescent="0.25">
      <c r="B384" t="str">
        <v>Arena SocialFi</v>
      </c>
      <c r="C384" t="str">
        <v>SoFi</v>
      </c>
      <c r="D384" t="str">
        <v>ARENA</v>
      </c>
      <c r="E384">
        <v>348339.36843811354</v>
      </c>
      <c r="F384">
        <v>0</v>
      </c>
    </row>
    <row r="385" spans="2:6" ht="15.75" customHeight="1" x14ac:dyDescent="0.25">
      <c r="B385" t="str">
        <v>ArenaSwap</v>
      </c>
      <c r="C385" t="str">
        <v>Dexs</v>
      </c>
      <c r="D385" t="str">
        <v>ARENA</v>
      </c>
      <c r="E385">
        <v>2417.5535240239728</v>
      </c>
      <c r="F385">
        <v>0</v>
      </c>
    </row>
    <row r="386" spans="2:6" ht="15.75" customHeight="1" x14ac:dyDescent="0.25">
      <c r="B386" t="str">
        <v>Argano</v>
      </c>
      <c r="C386" t="str">
        <v>Synthetics</v>
      </c>
      <c r="D386" t="str">
        <v>AGO</v>
      </c>
      <c r="E386">
        <v>4280.2544325101389</v>
      </c>
      <c r="F386">
        <v>0</v>
      </c>
    </row>
    <row r="387" spans="2:6" ht="15.75" customHeight="1" x14ac:dyDescent="0.25">
      <c r="B387" t="str">
        <v>Argo</v>
      </c>
      <c r="C387" t="str">
        <v>CDP</v>
      </c>
      <c r="D387" t="str">
        <v>-</v>
      </c>
      <c r="E387">
        <v>39328.054881276716</v>
      </c>
      <c r="F387">
        <v>0</v>
      </c>
    </row>
    <row r="388" spans="2:6" ht="15.75" customHeight="1" x14ac:dyDescent="0.25">
      <c r="B388" t="str">
        <v>Argo Finance</v>
      </c>
      <c r="C388" t="str">
        <v>Liquid Staking</v>
      </c>
      <c r="D388" t="str">
        <v>ARGO</v>
      </c>
      <c r="E388">
        <v>409973.01248607237</v>
      </c>
      <c r="F388">
        <v>0</v>
      </c>
    </row>
    <row r="389" spans="2:6" ht="15.75" customHeight="1" x14ac:dyDescent="0.25">
      <c r="B389" t="str">
        <v>Aria Protocol</v>
      </c>
      <c r="C389" t="str">
        <v>RWA</v>
      </c>
      <c r="D389" t="str">
        <v>-</v>
      </c>
      <c r="E389">
        <v>3669761.2650065492</v>
      </c>
      <c r="F389">
        <v>0</v>
      </c>
    </row>
    <row r="390" spans="2:6" ht="15.75" customHeight="1" x14ac:dyDescent="0.25">
      <c r="B390" t="str">
        <v>Aries Markets</v>
      </c>
      <c r="C390" t="str">
        <v>Lending</v>
      </c>
      <c r="D390" t="str">
        <v>-</v>
      </c>
      <c r="E390">
        <v>22018612.464311965</v>
      </c>
      <c r="F390">
        <v>0</v>
      </c>
    </row>
    <row r="391" spans="2:6" ht="15.75" customHeight="1" x14ac:dyDescent="0.25">
      <c r="B391" t="str">
        <v>Arkadiko</v>
      </c>
      <c r="C391" t="str">
        <v>CDP</v>
      </c>
      <c r="D391" t="str">
        <v>DIKO</v>
      </c>
      <c r="E391">
        <v>1951398.6134902257</v>
      </c>
      <c r="F391">
        <v>355084.22519579396</v>
      </c>
    </row>
    <row r="392" spans="2:6" ht="15.75" customHeight="1" x14ac:dyDescent="0.25">
      <c r="B392" t="str">
        <v>Arkham</v>
      </c>
      <c r="C392" t="str">
        <v>Services</v>
      </c>
      <c r="D392" t="str">
        <v>ARKM</v>
      </c>
      <c r="E392">
        <v>0</v>
      </c>
      <c r="F392">
        <v>113526513.52891427</v>
      </c>
    </row>
    <row r="393" spans="2:6" ht="15.75" customHeight="1" x14ac:dyDescent="0.25">
      <c r="B393" t="str">
        <v>Arkis</v>
      </c>
      <c r="C393" t="str">
        <v>Leveraged Farming</v>
      </c>
      <c r="D393" t="str">
        <v>-</v>
      </c>
      <c r="E393">
        <v>3178169.6322157304</v>
      </c>
      <c r="F393">
        <v>0</v>
      </c>
    </row>
    <row r="394" spans="2:6" ht="15.75" customHeight="1" x14ac:dyDescent="0.25">
      <c r="B394" t="str">
        <v>Armada</v>
      </c>
      <c r="C394" t="str">
        <v>Liquidity manager</v>
      </c>
      <c r="D394" t="str">
        <v>-</v>
      </c>
      <c r="E394">
        <v>596266.08287784201</v>
      </c>
      <c r="F394">
        <v>0</v>
      </c>
    </row>
    <row r="395" spans="2:6" ht="15.75" customHeight="1" x14ac:dyDescent="0.25">
      <c r="B395" t="str">
        <v>Armada Staking</v>
      </c>
      <c r="C395" t="str">
        <v>Farm</v>
      </c>
      <c r="D395" t="str">
        <v>-</v>
      </c>
      <c r="E395">
        <v>0</v>
      </c>
      <c r="F395">
        <v>0</v>
      </c>
    </row>
    <row r="396" spans="2:6" ht="15.75" customHeight="1" x14ac:dyDescent="0.25">
      <c r="B396" t="str">
        <v>Armor</v>
      </c>
      <c r="C396" t="str">
        <v>Insurance</v>
      </c>
      <c r="D396" t="str">
        <v>ARMOR</v>
      </c>
      <c r="E396">
        <v>0</v>
      </c>
      <c r="F396">
        <v>73260.207016383079</v>
      </c>
    </row>
    <row r="397" spans="2:6" ht="15.75" customHeight="1" x14ac:dyDescent="0.25">
      <c r="B397" t="str">
        <v>ARPA Staking</v>
      </c>
      <c r="C397" t="str">
        <v>Staking Pool</v>
      </c>
      <c r="D397" t="str">
        <v>ARPA</v>
      </c>
      <c r="E397">
        <v>0</v>
      </c>
      <c r="F397">
        <v>12775887.144927269</v>
      </c>
    </row>
    <row r="398" spans="2:6" ht="15.75" customHeight="1" x14ac:dyDescent="0.25">
      <c r="B398" t="str">
        <v>Arrakis Modular</v>
      </c>
      <c r="C398" t="str">
        <v>Liquidity manager</v>
      </c>
      <c r="D398" t="str">
        <v>-</v>
      </c>
      <c r="E398">
        <v>85774766.42554611</v>
      </c>
      <c r="F398">
        <v>0</v>
      </c>
    </row>
    <row r="399" spans="2:6" ht="15.75" customHeight="1" x14ac:dyDescent="0.25">
      <c r="B399" t="str">
        <v>Arrakis V1</v>
      </c>
      <c r="C399" t="str">
        <v>Liquidity manager</v>
      </c>
      <c r="D399" t="str">
        <v>-</v>
      </c>
      <c r="E399">
        <v>57421974.541636556</v>
      </c>
      <c r="F399">
        <v>0</v>
      </c>
    </row>
    <row r="400" spans="2:6" ht="15.75" customHeight="1" x14ac:dyDescent="0.25">
      <c r="B400" t="str">
        <v>Arrakis V2</v>
      </c>
      <c r="C400" t="str">
        <v>Liquidity manager</v>
      </c>
      <c r="D400" t="str">
        <v>-</v>
      </c>
      <c r="E400">
        <v>326134.3807195077</v>
      </c>
      <c r="F400">
        <v>0</v>
      </c>
    </row>
    <row r="401" spans="2:6" ht="15.75" customHeight="1" x14ac:dyDescent="0.25">
      <c r="B401" t="str">
        <v>Array</v>
      </c>
      <c r="C401" t="str">
        <v>Farm</v>
      </c>
      <c r="D401" t="str">
        <v>Array</v>
      </c>
      <c r="E401">
        <v>0</v>
      </c>
      <c r="F401">
        <v>0</v>
      </c>
    </row>
    <row r="402" spans="2:6" ht="15.75" customHeight="1" x14ac:dyDescent="0.25">
      <c r="B402" t="str">
        <v>Arrland</v>
      </c>
      <c r="C402" t="str">
        <v>Gaming</v>
      </c>
      <c r="D402" t="str">
        <v>RUM</v>
      </c>
      <c r="E402">
        <v>0</v>
      </c>
      <c r="F402">
        <v>84160.496114015492</v>
      </c>
    </row>
    <row r="403" spans="2:6" ht="15.75" customHeight="1" x14ac:dyDescent="0.25">
      <c r="B403" t="str">
        <v>Arrow</v>
      </c>
      <c r="C403" t="str">
        <v>Yield</v>
      </c>
      <c r="D403" t="str">
        <v>-</v>
      </c>
      <c r="E403">
        <v>67620.266758621467</v>
      </c>
      <c r="F403">
        <v>0</v>
      </c>
    </row>
    <row r="404" spans="2:6" ht="15.75" customHeight="1" x14ac:dyDescent="0.25">
      <c r="B404" t="str">
        <v>Arrow Markets</v>
      </c>
      <c r="C404" t="str">
        <v>Options</v>
      </c>
      <c r="D404" t="str">
        <v>ARROW</v>
      </c>
      <c r="E404">
        <v>0</v>
      </c>
      <c r="F404">
        <v>0</v>
      </c>
    </row>
    <row r="405" spans="2:6" ht="15.75" customHeight="1" x14ac:dyDescent="0.25">
      <c r="B405" t="str">
        <v>ArtCPAClub</v>
      </c>
      <c r="C405" t="str">
        <v>NFT Marketplace</v>
      </c>
      <c r="D405" t="str">
        <v>CPA-97530</v>
      </c>
      <c r="E405">
        <v>2136.560845113167</v>
      </c>
      <c r="F405">
        <v>0</v>
      </c>
    </row>
    <row r="406" spans="2:6" ht="15.75" customHeight="1" x14ac:dyDescent="0.25">
      <c r="B406" t="str">
        <v>ArtdeFinance</v>
      </c>
      <c r="C406" t="str">
        <v>Yield</v>
      </c>
      <c r="D406" t="str">
        <v>ADF</v>
      </c>
      <c r="E406">
        <v>0</v>
      </c>
      <c r="F406">
        <v>0</v>
      </c>
    </row>
    <row r="407" spans="2:6" ht="15.75" customHeight="1" x14ac:dyDescent="0.25">
      <c r="B407" t="str">
        <v>Artemis Finance</v>
      </c>
      <c r="C407" t="str">
        <v>Liquid Staking</v>
      </c>
      <c r="D407" t="str">
        <v>-</v>
      </c>
      <c r="E407">
        <v>3322044.7304864521</v>
      </c>
      <c r="F407">
        <v>0</v>
      </c>
    </row>
    <row r="408" spans="2:6" ht="15.75" customHeight="1" x14ac:dyDescent="0.25">
      <c r="B408" t="str">
        <v>Artemis Protocol</v>
      </c>
      <c r="C408" t="str">
        <v>Yield</v>
      </c>
      <c r="D408" t="str">
        <v>MIS</v>
      </c>
      <c r="E408">
        <v>328.4180719698399</v>
      </c>
      <c r="F408">
        <v>0</v>
      </c>
    </row>
    <row r="409" spans="2:6" ht="15.75" customHeight="1" x14ac:dyDescent="0.25">
      <c r="B409" t="str">
        <v>ArtexSwap</v>
      </c>
      <c r="C409" t="str">
        <v>Dexs</v>
      </c>
      <c r="D409" t="str">
        <v>-</v>
      </c>
      <c r="E409">
        <v>0</v>
      </c>
      <c r="F409">
        <v>0</v>
      </c>
    </row>
    <row r="410" spans="2:6" ht="15.75" customHeight="1" x14ac:dyDescent="0.25">
      <c r="B410" t="str">
        <v>ArthSwap V2</v>
      </c>
      <c r="C410" t="str">
        <v>Dexs</v>
      </c>
      <c r="D410" t="str">
        <v>ARSW</v>
      </c>
      <c r="E410">
        <v>805695.34979604115</v>
      </c>
      <c r="F410">
        <v>0</v>
      </c>
    </row>
    <row r="411" spans="2:6" ht="15.75" customHeight="1" x14ac:dyDescent="0.25">
      <c r="B411" t="str">
        <v>ArthSwap V3</v>
      </c>
      <c r="C411" t="str">
        <v>Dexs</v>
      </c>
      <c r="D411" t="str">
        <v>ARSW</v>
      </c>
      <c r="E411">
        <v>185795.88110595051</v>
      </c>
      <c r="F411">
        <v>0</v>
      </c>
    </row>
    <row r="412" spans="2:6" ht="15.75" customHeight="1" x14ac:dyDescent="0.25">
      <c r="B412" t="str">
        <v>Artura Finance</v>
      </c>
      <c r="C412" t="str">
        <v>Derivatives</v>
      </c>
      <c r="D412" t="str">
        <v>-</v>
      </c>
      <c r="E412">
        <v>0</v>
      </c>
      <c r="F412">
        <v>0</v>
      </c>
    </row>
    <row r="413" spans="2:6" ht="15.75" customHeight="1" x14ac:dyDescent="0.25">
      <c r="B413" t="str">
        <v>ASA.Gold</v>
      </c>
      <c r="C413" t="str">
        <v>RWA</v>
      </c>
      <c r="D413" t="str">
        <v>-</v>
      </c>
      <c r="E413">
        <v>31196.677911266906</v>
      </c>
      <c r="F413">
        <v>0</v>
      </c>
    </row>
    <row r="414" spans="2:6" ht="15.75" customHeight="1" x14ac:dyDescent="0.25">
      <c r="B414" t="str">
        <v>Ascent Exchange V1</v>
      </c>
      <c r="C414" t="str">
        <v>Dexs</v>
      </c>
      <c r="D414" t="str">
        <v>-</v>
      </c>
      <c r="E414">
        <v>0</v>
      </c>
      <c r="F414">
        <v>0</v>
      </c>
    </row>
    <row r="415" spans="2:6" ht="15.75" customHeight="1" x14ac:dyDescent="0.25">
      <c r="B415" t="str">
        <v>Ascent Exchange V3</v>
      </c>
      <c r="C415" t="str">
        <v>Dexs</v>
      </c>
      <c r="D415" t="str">
        <v>-</v>
      </c>
      <c r="E415">
        <v>0</v>
      </c>
      <c r="F415">
        <v>0</v>
      </c>
    </row>
    <row r="416" spans="2:6" ht="15.75" customHeight="1" x14ac:dyDescent="0.25">
      <c r="B416" t="str">
        <v>Ascent Yield</v>
      </c>
      <c r="C416" t="str">
        <v>Yield</v>
      </c>
      <c r="D416" t="str">
        <v>-</v>
      </c>
      <c r="E416">
        <v>1342894.1714540401</v>
      </c>
      <c r="F416">
        <v>0</v>
      </c>
    </row>
    <row r="417" spans="2:6" ht="15.75" customHeight="1" x14ac:dyDescent="0.25">
      <c r="B417" t="str">
        <v>Asgard Dao</v>
      </c>
      <c r="C417" t="str">
        <v>Reserve Currency</v>
      </c>
      <c r="D417" t="str">
        <v>ASGARD</v>
      </c>
      <c r="E417">
        <v>670.30646740175973</v>
      </c>
      <c r="F417">
        <v>0</v>
      </c>
    </row>
    <row r="418" spans="2:6" ht="15.75" customHeight="1" x14ac:dyDescent="0.25">
      <c r="B418" t="str">
        <v>Asgard Finance</v>
      </c>
      <c r="C418" t="str">
        <v>Yield</v>
      </c>
      <c r="D418" t="str">
        <v>ASG</v>
      </c>
      <c r="E418">
        <v>0</v>
      </c>
      <c r="F418">
        <v>0</v>
      </c>
    </row>
    <row r="419" spans="2:6" ht="15.75" customHeight="1" x14ac:dyDescent="0.25">
      <c r="B419" t="str">
        <v>AshPerp</v>
      </c>
      <c r="C419" t="str">
        <v>Derivatives</v>
      </c>
      <c r="D419" t="str">
        <v>-</v>
      </c>
      <c r="E419">
        <v>74398.602706130929</v>
      </c>
      <c r="F419">
        <v>0</v>
      </c>
    </row>
    <row r="420" spans="2:6" ht="15.75" customHeight="1" x14ac:dyDescent="0.25">
      <c r="B420" t="str">
        <v>Ashswap</v>
      </c>
      <c r="C420" t="str">
        <v>Dexs</v>
      </c>
      <c r="D420" t="str">
        <v>ASH</v>
      </c>
      <c r="E420">
        <v>1397119.0853092165</v>
      </c>
      <c r="F420">
        <v>237825.54949047769</v>
      </c>
    </row>
    <row r="421" spans="2:6" ht="15.75" customHeight="1" x14ac:dyDescent="0.25">
      <c r="B421" t="str">
        <v>Aso Finance</v>
      </c>
      <c r="C421" t="str">
        <v>Lending</v>
      </c>
      <c r="D421" t="str">
        <v>ASO</v>
      </c>
      <c r="E421">
        <v>47820.695899820326</v>
      </c>
      <c r="F421">
        <v>0</v>
      </c>
    </row>
    <row r="422" spans="2:6" ht="15.75" customHeight="1" x14ac:dyDescent="0.25">
      <c r="B422" t="str">
        <v>aSOL</v>
      </c>
      <c r="C422" t="str">
        <v>Liquid Staking</v>
      </c>
      <c r="D422" t="str">
        <v>-</v>
      </c>
      <c r="E422">
        <v>38657.689481221372</v>
      </c>
      <c r="F422">
        <v>0</v>
      </c>
    </row>
    <row r="423" spans="2:6" ht="15.75" customHeight="1" x14ac:dyDescent="0.25">
      <c r="B423" t="str">
        <v>Aspecta BuildKey</v>
      </c>
      <c r="C423" t="str">
        <v>SoFi</v>
      </c>
      <c r="D423" t="str">
        <v>ASP</v>
      </c>
      <c r="E423">
        <v>0</v>
      </c>
      <c r="F423">
        <v>11231906.292530524</v>
      </c>
    </row>
    <row r="424" spans="2:6" ht="15.75" customHeight="1" x14ac:dyDescent="0.25">
      <c r="B424" t="str">
        <v>Aspida</v>
      </c>
      <c r="C424" t="str">
        <v>Liquid Restaking</v>
      </c>
      <c r="D424" t="str">
        <v>-</v>
      </c>
      <c r="E424">
        <v>2780235.8911424885</v>
      </c>
      <c r="F424">
        <v>0</v>
      </c>
    </row>
    <row r="425" spans="2:6" ht="15.75" customHeight="1" x14ac:dyDescent="0.25">
      <c r="B425" t="str">
        <v>Asset Chain Swap</v>
      </c>
      <c r="C425" t="str">
        <v>Dexs</v>
      </c>
      <c r="D425" t="str">
        <v>-</v>
      </c>
      <c r="E425">
        <v>228636.50835750319</v>
      </c>
      <c r="F425">
        <v>0</v>
      </c>
    </row>
    <row r="426" spans="2:6" ht="15.75" customHeight="1" x14ac:dyDescent="0.25">
      <c r="B426" t="str">
        <v>Asseto AoABT</v>
      </c>
      <c r="C426" t="str">
        <v>RWA</v>
      </c>
      <c r="D426" t="str">
        <v>-</v>
      </c>
      <c r="E426">
        <v>19178084.455036841</v>
      </c>
      <c r="F426">
        <v>0</v>
      </c>
    </row>
    <row r="427" spans="2:6" ht="15.75" customHeight="1" x14ac:dyDescent="0.25">
      <c r="B427" t="str">
        <v>Asseto CASH+</v>
      </c>
      <c r="C427" t="str">
        <v>RWA</v>
      </c>
      <c r="D427" t="str">
        <v>-</v>
      </c>
      <c r="E427">
        <v>5827091.7821993269</v>
      </c>
      <c r="F427">
        <v>0</v>
      </c>
    </row>
    <row r="428" spans="2:6" ht="15.75" customHeight="1" x14ac:dyDescent="0.25">
      <c r="B428" t="str">
        <v>Astake</v>
      </c>
      <c r="C428" t="str">
        <v>Liquid Staking</v>
      </c>
      <c r="D428" t="str">
        <v>-</v>
      </c>
      <c r="E428">
        <v>2303935.2484438433</v>
      </c>
      <c r="F428">
        <v>0</v>
      </c>
    </row>
    <row r="429" spans="2:6" ht="15.75" customHeight="1" x14ac:dyDescent="0.25">
      <c r="B429" t="str">
        <v>Astar Exchange V2</v>
      </c>
      <c r="C429" t="str">
        <v>Dexs</v>
      </c>
      <c r="D429" t="str">
        <v>ASX</v>
      </c>
      <c r="E429">
        <v>8050.1769545382849</v>
      </c>
      <c r="F429">
        <v>0</v>
      </c>
    </row>
    <row r="430" spans="2:6" ht="15.75" customHeight="1" x14ac:dyDescent="0.25">
      <c r="B430" t="str">
        <v>Astar Exchange V3</v>
      </c>
      <c r="C430" t="str">
        <v>Dexs</v>
      </c>
      <c r="D430" t="str">
        <v>-</v>
      </c>
      <c r="E430">
        <v>184.0225564544163</v>
      </c>
      <c r="F430">
        <v>0</v>
      </c>
    </row>
    <row r="431" spans="2:6" ht="15.75" customHeight="1" x14ac:dyDescent="0.25">
      <c r="B431" t="str">
        <v>AstarFarm</v>
      </c>
      <c r="C431" t="str">
        <v>Gaming</v>
      </c>
      <c r="D431" t="str">
        <v>-</v>
      </c>
      <c r="E431">
        <v>0</v>
      </c>
      <c r="F431">
        <v>0</v>
      </c>
    </row>
    <row r="432" spans="2:6" ht="15.75" customHeight="1" x14ac:dyDescent="0.25">
      <c r="B432" t="str">
        <v>Astaria V1</v>
      </c>
      <c r="C432" t="str">
        <v>NFT Lending</v>
      </c>
      <c r="D432" t="str">
        <v>-</v>
      </c>
      <c r="E432">
        <v>3779.7420636250663</v>
      </c>
      <c r="F432">
        <v>0</v>
      </c>
    </row>
    <row r="433" spans="2:6" ht="15.75" customHeight="1" x14ac:dyDescent="0.25">
      <c r="B433" t="str">
        <v>Astaria V2</v>
      </c>
      <c r="C433" t="str">
        <v>Lending</v>
      </c>
      <c r="D433" t="str">
        <v>-</v>
      </c>
      <c r="E433">
        <v>50003.648521367235</v>
      </c>
      <c r="F433">
        <v>0</v>
      </c>
    </row>
    <row r="434" spans="2:6" ht="15.75" customHeight="1" x14ac:dyDescent="0.25">
      <c r="B434" t="str">
        <v>Astarnova</v>
      </c>
      <c r="C434" t="str">
        <v>Dexs</v>
      </c>
      <c r="D434" t="str">
        <v>NOVA</v>
      </c>
      <c r="E434">
        <v>19.522805000000002</v>
      </c>
      <c r="F434">
        <v>0</v>
      </c>
    </row>
    <row r="435" spans="2:6" ht="15.75" customHeight="1" x14ac:dyDescent="0.25">
      <c r="B435" t="str">
        <v>Astarter AMM</v>
      </c>
      <c r="C435" t="str">
        <v>Dexs</v>
      </c>
      <c r="D435" t="str">
        <v>AA</v>
      </c>
      <c r="E435">
        <v>59520.256727538988</v>
      </c>
      <c r="F435">
        <v>0</v>
      </c>
    </row>
    <row r="436" spans="2:6" ht="15.75" customHeight="1" x14ac:dyDescent="0.25">
      <c r="B436" t="str">
        <v>Astarter Launch ISPO</v>
      </c>
      <c r="C436" t="str">
        <v>Staking Pool</v>
      </c>
      <c r="D436" t="str">
        <v>AA</v>
      </c>
      <c r="E436">
        <v>449518.25246094109</v>
      </c>
      <c r="F436">
        <v>0</v>
      </c>
    </row>
    <row r="437" spans="2:6" ht="15.75" customHeight="1" x14ac:dyDescent="0.25">
      <c r="B437" t="str">
        <v>Aster asBNB</v>
      </c>
      <c r="C437" t="str">
        <v>Yield</v>
      </c>
      <c r="D437" t="str">
        <v>ASTER</v>
      </c>
      <c r="E437">
        <v>275086059.05750304</v>
      </c>
      <c r="F437">
        <v>0</v>
      </c>
    </row>
    <row r="438" spans="2:6" ht="15.75" customHeight="1" x14ac:dyDescent="0.25">
      <c r="B438" t="str">
        <v>Aster asBTC</v>
      </c>
      <c r="C438" t="str">
        <v>CeDeFi</v>
      </c>
      <c r="D438" t="str">
        <v>ASTER</v>
      </c>
      <c r="E438">
        <v>103985.37368059135</v>
      </c>
      <c r="F438">
        <v>0</v>
      </c>
    </row>
    <row r="439" spans="2:6" ht="15.75" customHeight="1" x14ac:dyDescent="0.25">
      <c r="B439" t="str">
        <v>Aster Bridge</v>
      </c>
      <c r="C439" t="str">
        <v>Bridge</v>
      </c>
      <c r="D439" t="str">
        <v>-</v>
      </c>
      <c r="E439">
        <v>724966882.5143764</v>
      </c>
      <c r="F439">
        <v>0</v>
      </c>
    </row>
    <row r="440" spans="2:6" ht="15.75" customHeight="1" x14ac:dyDescent="0.25">
      <c r="B440" t="str">
        <v>Aster Perps</v>
      </c>
      <c r="C440" t="str">
        <v>Derivatives</v>
      </c>
      <c r="D440" t="str">
        <v>ASTER</v>
      </c>
      <c r="E440">
        <v>0</v>
      </c>
      <c r="F440">
        <v>0</v>
      </c>
    </row>
    <row r="441" spans="2:6" ht="15.75" customHeight="1" x14ac:dyDescent="0.25">
      <c r="B441" t="str">
        <v>Aster Spot</v>
      </c>
      <c r="C441" t="str">
        <v>Dexs</v>
      </c>
      <c r="D441" t="str">
        <v>ASTER</v>
      </c>
      <c r="E441">
        <v>0</v>
      </c>
      <c r="F441">
        <v>0</v>
      </c>
    </row>
    <row r="442" spans="2:6" ht="15.75" customHeight="1" x14ac:dyDescent="0.25">
      <c r="B442" t="str">
        <v>Aster USDF</v>
      </c>
      <c r="C442" t="str">
        <v>Basis Trading</v>
      </c>
      <c r="D442" t="str">
        <v>ASTER</v>
      </c>
      <c r="E442">
        <v>170048698.64803323</v>
      </c>
      <c r="F442">
        <v>0</v>
      </c>
    </row>
    <row r="443" spans="2:6" ht="15.75" customHeight="1" x14ac:dyDescent="0.25">
      <c r="B443" t="str">
        <v>Asteria Finance</v>
      </c>
      <c r="C443" t="str">
        <v>Dexs</v>
      </c>
      <c r="D443" t="str">
        <v>-</v>
      </c>
      <c r="E443">
        <v>220.2684410893105</v>
      </c>
      <c r="F443">
        <v>0</v>
      </c>
    </row>
    <row r="444" spans="2:6" ht="15.75" customHeight="1" x14ac:dyDescent="0.25">
      <c r="B444" t="str">
        <v>Asteroneo</v>
      </c>
      <c r="C444" t="str">
        <v>Dexs</v>
      </c>
      <c r="D444" t="str">
        <v>-</v>
      </c>
      <c r="E444">
        <v>1954.1384334506581</v>
      </c>
      <c r="F444">
        <v>0</v>
      </c>
    </row>
    <row r="445" spans="2:6" ht="15.75" customHeight="1" x14ac:dyDescent="0.25">
      <c r="B445" t="str">
        <v>Astra</v>
      </c>
      <c r="C445" t="str">
        <v>Dexs</v>
      </c>
      <c r="D445" t="str">
        <v>AST</v>
      </c>
      <c r="E445">
        <v>0</v>
      </c>
      <c r="F445">
        <v>2292.2980699547697</v>
      </c>
    </row>
    <row r="446" spans="2:6" ht="15.75" customHeight="1" x14ac:dyDescent="0.25">
      <c r="B446" t="str">
        <v>Astra DAO</v>
      </c>
      <c r="C446" t="str">
        <v>Indexes</v>
      </c>
      <c r="D446" t="str">
        <v>ASTRADAO</v>
      </c>
      <c r="E446">
        <v>121.86634088321193</v>
      </c>
      <c r="F446">
        <v>10009.825135680681</v>
      </c>
    </row>
    <row r="447" spans="2:6" ht="15.75" customHeight="1" x14ac:dyDescent="0.25">
      <c r="B447" t="str">
        <v>Astral Farm</v>
      </c>
      <c r="C447" t="str">
        <v>Farm</v>
      </c>
      <c r="D447" t="str">
        <v>ASTRAL</v>
      </c>
      <c r="E447">
        <v>390.44983645948616</v>
      </c>
      <c r="F447">
        <v>0</v>
      </c>
    </row>
    <row r="448" spans="2:6" ht="15.75" customHeight="1" x14ac:dyDescent="0.25">
      <c r="B448" t="str">
        <v>Astral Financial</v>
      </c>
      <c r="C448" t="str">
        <v>Yield</v>
      </c>
      <c r="D448" t="str">
        <v>ASTRAL</v>
      </c>
      <c r="E448">
        <v>0</v>
      </c>
      <c r="F448">
        <v>0</v>
      </c>
    </row>
    <row r="449" spans="2:6" ht="15.75" customHeight="1" x14ac:dyDescent="0.25">
      <c r="B449" t="str">
        <v>AstridDAO</v>
      </c>
      <c r="C449" t="str">
        <v>CDP</v>
      </c>
      <c r="D449" t="str">
        <v>ATID</v>
      </c>
      <c r="E449">
        <v>277298.06758307823</v>
      </c>
      <c r="F449">
        <v>42379.16381698077</v>
      </c>
    </row>
    <row r="450" spans="2:6" ht="15.75" customHeight="1" x14ac:dyDescent="0.25">
      <c r="B450" t="str">
        <v>AstroFi</v>
      </c>
      <c r="C450" t="str">
        <v>Dexs</v>
      </c>
      <c r="D450" t="str">
        <v>AFI</v>
      </c>
      <c r="E450">
        <v>15.222718943244384</v>
      </c>
      <c r="F450">
        <v>0</v>
      </c>
    </row>
    <row r="451" spans="2:6" ht="15.75" customHeight="1" x14ac:dyDescent="0.25">
      <c r="B451" t="str">
        <v>Astrol</v>
      </c>
      <c r="C451" t="str">
        <v>Lending</v>
      </c>
      <c r="D451" t="str">
        <v>-</v>
      </c>
      <c r="E451">
        <v>526496.18363356986</v>
      </c>
      <c r="F451">
        <v>0</v>
      </c>
    </row>
    <row r="452" spans="2:6" ht="15.75" customHeight="1" x14ac:dyDescent="0.25">
      <c r="B452" t="str">
        <v>Astrolescent</v>
      </c>
      <c r="C452" t="str">
        <v>Dexs</v>
      </c>
      <c r="D452" t="str">
        <v>ASTRL</v>
      </c>
      <c r="E452">
        <v>206.3224245631273</v>
      </c>
      <c r="F452">
        <v>195430.15169104107</v>
      </c>
    </row>
    <row r="453" spans="2:6" ht="15.75" customHeight="1" x14ac:dyDescent="0.25">
      <c r="B453" t="str">
        <v>Astroport</v>
      </c>
      <c r="C453" t="str">
        <v>Dexs</v>
      </c>
      <c r="D453" t="str">
        <v>ASTRO</v>
      </c>
      <c r="E453">
        <v>15566975.640875937</v>
      </c>
      <c r="F453">
        <v>915370.3853957731</v>
      </c>
    </row>
    <row r="454" spans="2:6" ht="15.75" customHeight="1" x14ac:dyDescent="0.25">
      <c r="B454" t="str">
        <v>Astroport Classic</v>
      </c>
      <c r="C454" t="str">
        <v>Dexs</v>
      </c>
      <c r="D454" t="str">
        <v>ASTROC</v>
      </c>
      <c r="E454">
        <v>0</v>
      </c>
      <c r="F454">
        <v>0</v>
      </c>
    </row>
    <row r="455" spans="2:6" ht="15.75" customHeight="1" x14ac:dyDescent="0.25">
      <c r="B455" t="str">
        <v>Astros</v>
      </c>
      <c r="C455" t="str">
        <v>DEX Aggregator</v>
      </c>
      <c r="D455" t="str">
        <v>NAVX</v>
      </c>
      <c r="E455">
        <v>0</v>
      </c>
      <c r="F455">
        <v>0</v>
      </c>
    </row>
    <row r="456" spans="2:6" ht="15.75" customHeight="1" x14ac:dyDescent="0.25">
      <c r="B456" t="str">
        <v>Astros Perp</v>
      </c>
      <c r="C456" t="str">
        <v>Derivatives</v>
      </c>
      <c r="D456" t="str">
        <v>-</v>
      </c>
      <c r="E456">
        <v>5255130.8753909227</v>
      </c>
      <c r="F456">
        <v>0</v>
      </c>
    </row>
    <row r="457" spans="2:6" ht="15.75" customHeight="1" x14ac:dyDescent="0.25">
      <c r="B457" t="str">
        <v>AstroSwap</v>
      </c>
      <c r="C457" t="str">
        <v>Dexs</v>
      </c>
      <c r="D457" t="str">
        <v>ASTRO</v>
      </c>
      <c r="E457">
        <v>57601.534220013913</v>
      </c>
      <c r="F457">
        <v>5183.6570341439274</v>
      </c>
    </row>
    <row r="458" spans="2:6" ht="15.75" customHeight="1" x14ac:dyDescent="0.25">
      <c r="B458" t="str">
        <v>AstroSwap AMM</v>
      </c>
      <c r="C458" t="str">
        <v>Dexs</v>
      </c>
      <c r="D458" t="str">
        <v>-</v>
      </c>
      <c r="E458">
        <v>79638.964676808595</v>
      </c>
      <c r="F458">
        <v>0</v>
      </c>
    </row>
    <row r="459" spans="2:6" ht="15.75" customHeight="1" x14ac:dyDescent="0.25">
      <c r="B459" t="str">
        <v>Astrovault</v>
      </c>
      <c r="C459" t="str">
        <v>Dexs</v>
      </c>
      <c r="D459" t="str">
        <v>AXV</v>
      </c>
      <c r="E459">
        <v>304105.48240964266</v>
      </c>
      <c r="F459">
        <v>94581.602269535724</v>
      </c>
    </row>
    <row r="460" spans="2:6" ht="15.75" customHeight="1" x14ac:dyDescent="0.25">
      <c r="B460" t="str">
        <v>Astrowar Finance</v>
      </c>
      <c r="C460" t="str">
        <v>Services</v>
      </c>
      <c r="D460" t="str">
        <v>AWAR</v>
      </c>
      <c r="E460">
        <v>6.2024393083101632</v>
      </c>
      <c r="F460">
        <v>0</v>
      </c>
    </row>
    <row r="461" spans="2:6" ht="15.75" customHeight="1" x14ac:dyDescent="0.25">
      <c r="B461" t="str">
        <v>Asymetrix Protocol</v>
      </c>
      <c r="C461" t="str">
        <v>Yield</v>
      </c>
      <c r="D461" t="str">
        <v>ASX</v>
      </c>
      <c r="E461">
        <v>10564.048126082153</v>
      </c>
      <c r="F461">
        <v>0</v>
      </c>
    </row>
    <row r="462" spans="2:6" ht="15.75" customHeight="1" x14ac:dyDescent="0.25">
      <c r="B462" t="str">
        <v>Asymmetry Finance</v>
      </c>
      <c r="C462" t="str">
        <v>Indexes</v>
      </c>
      <c r="D462" t="str">
        <v>ASF</v>
      </c>
      <c r="E462">
        <v>3530461.8427729774</v>
      </c>
      <c r="F462">
        <v>0</v>
      </c>
    </row>
    <row r="463" spans="2:6" ht="15.75" customHeight="1" x14ac:dyDescent="0.25">
      <c r="B463" t="str">
        <v>Asymmetry USDaf</v>
      </c>
      <c r="C463" t="str">
        <v>CDP</v>
      </c>
      <c r="D463" t="str">
        <v>ASF</v>
      </c>
      <c r="E463">
        <v>2565854.8484941125</v>
      </c>
      <c r="F463">
        <v>0</v>
      </c>
    </row>
    <row r="464" spans="2:6" ht="15.75" customHeight="1" x14ac:dyDescent="0.25">
      <c r="B464" t="str">
        <v>Athena Finance</v>
      </c>
      <c r="C464" t="str">
        <v>Yield</v>
      </c>
      <c r="D464" t="str">
        <v>ATH</v>
      </c>
      <c r="E464">
        <v>3007.0338717826271</v>
      </c>
      <c r="F464">
        <v>0</v>
      </c>
    </row>
    <row r="465" spans="2:6" ht="15.75" customHeight="1" x14ac:dyDescent="0.25">
      <c r="B465" t="str">
        <v>Athena Money</v>
      </c>
      <c r="C465" t="str">
        <v>Algo-Stables</v>
      </c>
      <c r="D465" t="str">
        <v>OWL</v>
      </c>
      <c r="E465">
        <v>0</v>
      </c>
      <c r="F465">
        <v>0</v>
      </c>
    </row>
    <row r="466" spans="2:6" ht="15.75" customHeight="1" x14ac:dyDescent="0.25">
      <c r="B466" t="str">
        <v>Athos Finance</v>
      </c>
      <c r="C466" t="str">
        <v>Derivatives</v>
      </c>
      <c r="D466" t="str">
        <v>ATH</v>
      </c>
      <c r="E466">
        <v>0</v>
      </c>
      <c r="F466">
        <v>0</v>
      </c>
    </row>
    <row r="467" spans="2:6" ht="15.75" customHeight="1" x14ac:dyDescent="0.25">
      <c r="B467" t="str">
        <v>Atlantis</v>
      </c>
      <c r="C467" t="str">
        <v>Dexs</v>
      </c>
      <c r="D467" t="str">
        <v>AQUA</v>
      </c>
      <c r="E467">
        <v>53080.05433040249</v>
      </c>
      <c r="F467">
        <v>27342.731475139524</v>
      </c>
    </row>
    <row r="468" spans="2:6" ht="15.75" customHeight="1" x14ac:dyDescent="0.25">
      <c r="B468" t="str">
        <v>Atlantis DEX</v>
      </c>
      <c r="C468" t="str">
        <v>Dexs</v>
      </c>
      <c r="D468" t="str">
        <v>ATL</v>
      </c>
      <c r="E468">
        <v>195964.47364220137</v>
      </c>
      <c r="F468">
        <v>0</v>
      </c>
    </row>
    <row r="469" spans="2:6" ht="15.75" customHeight="1" x14ac:dyDescent="0.25">
      <c r="B469" t="str">
        <v>Atlantis Loans</v>
      </c>
      <c r="C469" t="str">
        <v>Lending</v>
      </c>
      <c r="D469" t="str">
        <v>ATL</v>
      </c>
      <c r="E469">
        <v>2902.3083267515694</v>
      </c>
      <c r="F469">
        <v>24808.114746935578</v>
      </c>
    </row>
    <row r="470" spans="2:6" ht="15.75" customHeight="1" x14ac:dyDescent="0.25">
      <c r="B470" t="str">
        <v>Atlas Aggregator</v>
      </c>
      <c r="C470" t="str">
        <v>Yield Aggregator</v>
      </c>
      <c r="D470" t="str">
        <v>ATA</v>
      </c>
      <c r="E470">
        <v>0</v>
      </c>
      <c r="F470">
        <v>0</v>
      </c>
    </row>
    <row r="471" spans="2:6" ht="15.75" customHeight="1" x14ac:dyDescent="0.25">
      <c r="B471" t="str">
        <v>Atlas Exchange</v>
      </c>
      <c r="C471" t="str">
        <v>Dexs</v>
      </c>
      <c r="D471" t="str">
        <v>-</v>
      </c>
      <c r="E471">
        <v>70.780819397670484</v>
      </c>
      <c r="F471">
        <v>0</v>
      </c>
    </row>
    <row r="472" spans="2:6" ht="15.75" customHeight="1" x14ac:dyDescent="0.25">
      <c r="B472" t="str">
        <v>Atlas USV</v>
      </c>
      <c r="C472" t="str">
        <v>Reserve Currency</v>
      </c>
      <c r="D472" t="str">
        <v>USV</v>
      </c>
      <c r="E472">
        <v>0</v>
      </c>
      <c r="F472">
        <v>710361.69651224965</v>
      </c>
    </row>
    <row r="473" spans="2:6" ht="15.75" customHeight="1" x14ac:dyDescent="0.25">
      <c r="B473" t="str">
        <v>Atlendis V1</v>
      </c>
      <c r="C473" t="str">
        <v>Uncollateralized Lending</v>
      </c>
      <c r="D473" t="str">
        <v>-</v>
      </c>
      <c r="E473">
        <v>17900.628331418418</v>
      </c>
      <c r="F473">
        <v>0</v>
      </c>
    </row>
    <row r="474" spans="2:6" ht="15.75" customHeight="1" x14ac:dyDescent="0.25">
      <c r="B474" t="str">
        <v>Atlendis V2</v>
      </c>
      <c r="C474" t="str">
        <v>RWA Lending</v>
      </c>
      <c r="D474" t="str">
        <v/>
      </c>
      <c r="E474">
        <v>1013.1588431923004</v>
      </c>
      <c r="F474">
        <v>0</v>
      </c>
    </row>
    <row r="475" spans="2:6" ht="15.75" customHeight="1" x14ac:dyDescent="0.25">
      <c r="B475" t="str">
        <v>Atmos Aggregator</v>
      </c>
      <c r="C475" t="str">
        <v>DEX Aggregator</v>
      </c>
      <c r="D475" t="str">
        <v>-</v>
      </c>
      <c r="E475">
        <v>0</v>
      </c>
      <c r="F475">
        <v>0</v>
      </c>
    </row>
    <row r="476" spans="2:6" ht="15.75" customHeight="1" x14ac:dyDescent="0.25">
      <c r="B476" t="str">
        <v>Atmos DEX</v>
      </c>
      <c r="C476" t="str">
        <v>Dexs</v>
      </c>
      <c r="D476" t="str">
        <v>-</v>
      </c>
      <c r="E476">
        <v>433083.33116831438</v>
      </c>
      <c r="F476">
        <v>0</v>
      </c>
    </row>
    <row r="477" spans="2:6" ht="15.75" customHeight="1" x14ac:dyDescent="0.25">
      <c r="B477" t="str">
        <v>Atmos Studio</v>
      </c>
      <c r="C477" t="str">
        <v>Launchpad</v>
      </c>
      <c r="D477" t="str">
        <v>-</v>
      </c>
      <c r="E477">
        <v>0</v>
      </c>
      <c r="F477">
        <v>0</v>
      </c>
    </row>
    <row r="478" spans="2:6" ht="15.75" customHeight="1" x14ac:dyDescent="0.25">
      <c r="B478" t="str">
        <v>AtmosSoft</v>
      </c>
      <c r="C478" t="str">
        <v>Gaming</v>
      </c>
      <c r="D478" t="str">
        <v>ATMSSFT</v>
      </c>
      <c r="E478">
        <v>0</v>
      </c>
      <c r="F478">
        <v>0</v>
      </c>
    </row>
    <row r="479" spans="2:6" ht="15.75" customHeight="1" x14ac:dyDescent="0.25">
      <c r="B479" t="str">
        <v>AtoDEX</v>
      </c>
      <c r="C479" t="str">
        <v>Dexs</v>
      </c>
      <c r="D479" t="str">
        <v>ADX</v>
      </c>
      <c r="E479">
        <v>88.306326827259994</v>
      </c>
      <c r="F479">
        <v>0</v>
      </c>
    </row>
    <row r="480" spans="2:6" ht="15.75" customHeight="1" x14ac:dyDescent="0.25">
      <c r="B480" t="str">
        <v>Atoll</v>
      </c>
      <c r="C480" t="str">
        <v>Yield</v>
      </c>
      <c r="D480" t="str">
        <v>ATOLL</v>
      </c>
      <c r="E480">
        <v>0</v>
      </c>
      <c r="F480">
        <v>0</v>
      </c>
    </row>
    <row r="481" spans="2:6" ht="15.75" customHeight="1" x14ac:dyDescent="0.25">
      <c r="B481" t="str">
        <v>Atomic Green</v>
      </c>
      <c r="C481" t="str">
        <v>Derivatives</v>
      </c>
      <c r="D481" t="str">
        <v>-</v>
      </c>
      <c r="E481">
        <v>66751.744638405988</v>
      </c>
      <c r="F481">
        <v>0</v>
      </c>
    </row>
    <row r="482" spans="2:6" ht="15.75" customHeight="1" x14ac:dyDescent="0.25">
      <c r="B482" t="str">
        <v>AtomicHub</v>
      </c>
      <c r="C482" t="str">
        <v>Dexs</v>
      </c>
      <c r="D482" t="str">
        <v>-</v>
      </c>
      <c r="E482">
        <v>87337.363236980294</v>
      </c>
      <c r="F482">
        <v>0</v>
      </c>
    </row>
    <row r="483" spans="2:6" ht="15.75" customHeight="1" x14ac:dyDescent="0.25">
      <c r="B483" t="str">
        <v>Atrium</v>
      </c>
      <c r="C483" t="str">
        <v>Farm</v>
      </c>
      <c r="D483" t="str">
        <v>-</v>
      </c>
      <c r="E483">
        <v>1039390.8781782138</v>
      </c>
      <c r="F483">
        <v>0</v>
      </c>
    </row>
    <row r="484" spans="2:6" ht="15.75" customHeight="1" x14ac:dyDescent="0.25">
      <c r="B484" t="str">
        <v>Atrix</v>
      </c>
      <c r="C484" t="str">
        <v>Dexs</v>
      </c>
      <c r="D484" t="str">
        <v>-</v>
      </c>
      <c r="E484">
        <v>1199044.108760406</v>
      </c>
      <c r="F484">
        <v>0</v>
      </c>
    </row>
    <row r="485" spans="2:6" ht="15.75" customHeight="1" x14ac:dyDescent="0.25">
      <c r="B485" t="str">
        <v>Atrofarm</v>
      </c>
      <c r="C485" t="str">
        <v>Farm</v>
      </c>
      <c r="D485" t="str">
        <v>Atrofa</v>
      </c>
      <c r="E485">
        <v>9531.1288301612658</v>
      </c>
      <c r="F485">
        <v>2305.2742357023453</v>
      </c>
    </row>
    <row r="486" spans="2:6" ht="15.75" customHeight="1" x14ac:dyDescent="0.25">
      <c r="B486" t="str">
        <v>Auctus</v>
      </c>
      <c r="C486" t="str">
        <v>Options</v>
      </c>
      <c r="D486" t="str">
        <v>AUC</v>
      </c>
      <c r="E486">
        <v>35603.753784049331</v>
      </c>
      <c r="F486">
        <v>23649.283869565479</v>
      </c>
    </row>
    <row r="487" spans="2:6" ht="15.75" customHeight="1" x14ac:dyDescent="0.25">
      <c r="B487" t="str">
        <v>Augmented Finance</v>
      </c>
      <c r="C487" t="str">
        <v>Lending</v>
      </c>
      <c r="D487" t="str">
        <v>AGF</v>
      </c>
      <c r="E487">
        <v>326.65169644014406</v>
      </c>
      <c r="F487">
        <v>40235.104881469175</v>
      </c>
    </row>
    <row r="488" spans="2:6" ht="15.75" customHeight="1" x14ac:dyDescent="0.25">
      <c r="B488" t="str">
        <v>Augur</v>
      </c>
      <c r="C488" t="str">
        <v>Prediction Market</v>
      </c>
      <c r="D488" t="str">
        <v>REP</v>
      </c>
      <c r="E488">
        <v>2463229.5220074533</v>
      </c>
      <c r="F488">
        <v>6948341.0714858938</v>
      </c>
    </row>
    <row r="489" spans="2:6" ht="15.75" customHeight="1" x14ac:dyDescent="0.25">
      <c r="B489" t="str">
        <v>Augury Finance</v>
      </c>
      <c r="C489" t="str">
        <v>Yield</v>
      </c>
      <c r="D489" t="str">
        <v>OMEN</v>
      </c>
      <c r="E489">
        <v>309657.98514103552</v>
      </c>
      <c r="F489">
        <v>0</v>
      </c>
    </row>
    <row r="490" spans="2:6" ht="15.75" customHeight="1" x14ac:dyDescent="0.25">
      <c r="B490" t="str">
        <v>AUR Protocol</v>
      </c>
      <c r="C490" t="str">
        <v>Gamified Mining</v>
      </c>
      <c r="D490" t="str">
        <v>AUR</v>
      </c>
      <c r="E490">
        <v>0</v>
      </c>
      <c r="F490">
        <v>0</v>
      </c>
    </row>
    <row r="491" spans="2:6" ht="15.75" customHeight="1" x14ac:dyDescent="0.25">
      <c r="B491" t="str">
        <v>Aura</v>
      </c>
      <c r="C491" t="str">
        <v>Yield</v>
      </c>
      <c r="D491" t="str">
        <v>AURA</v>
      </c>
      <c r="E491">
        <v>134466999.20392832</v>
      </c>
      <c r="F491">
        <v>3379050.1628191732</v>
      </c>
    </row>
    <row r="492" spans="2:6" ht="15.75" customHeight="1" x14ac:dyDescent="0.25">
      <c r="B492" t="str">
        <v>Aura Aggregator</v>
      </c>
      <c r="C492" t="str">
        <v>DEX Aggregator</v>
      </c>
      <c r="D492" t="str">
        <v>-</v>
      </c>
      <c r="E492">
        <v>0</v>
      </c>
      <c r="F492">
        <v>0</v>
      </c>
    </row>
    <row r="493" spans="2:6" ht="15.75" customHeight="1" x14ac:dyDescent="0.25">
      <c r="B493" t="str">
        <v>Auragi Finance</v>
      </c>
      <c r="C493" t="str">
        <v>Dexs</v>
      </c>
      <c r="D493" t="str">
        <v>AGI</v>
      </c>
      <c r="E493">
        <v>7453.3479253193018</v>
      </c>
      <c r="F493">
        <v>0</v>
      </c>
    </row>
    <row r="494" spans="2:6" ht="15.75" customHeight="1" x14ac:dyDescent="0.25">
      <c r="B494" t="str">
        <v>AuraSwap</v>
      </c>
      <c r="C494" t="str">
        <v>Dexs</v>
      </c>
      <c r="D494" t="str">
        <v>AURA</v>
      </c>
      <c r="E494">
        <v>1035.6632768012344</v>
      </c>
      <c r="F494">
        <v>0</v>
      </c>
    </row>
    <row r="495" spans="2:6" ht="15.75" customHeight="1" x14ac:dyDescent="0.25">
      <c r="B495" t="str">
        <v>Aurelius</v>
      </c>
      <c r="C495" t="str">
        <v>CDP</v>
      </c>
      <c r="D495" t="str">
        <v>-</v>
      </c>
      <c r="E495">
        <v>45370.033779410733</v>
      </c>
      <c r="F495">
        <v>0</v>
      </c>
    </row>
    <row r="496" spans="2:6" ht="15.75" customHeight="1" x14ac:dyDescent="0.25">
      <c r="B496" t="str">
        <v>Aurigami</v>
      </c>
      <c r="C496" t="str">
        <v>Lending</v>
      </c>
      <c r="D496" t="str">
        <v>PLY</v>
      </c>
      <c r="E496">
        <v>474839.64865583042</v>
      </c>
      <c r="F496">
        <v>72369.777866931268</v>
      </c>
    </row>
    <row r="497" spans="2:6" ht="15.75" customHeight="1" x14ac:dyDescent="0.25">
      <c r="B497" t="str">
        <v>Auro Finance</v>
      </c>
      <c r="C497" t="str">
        <v>CDP</v>
      </c>
      <c r="D497" t="str">
        <v>AURO</v>
      </c>
      <c r="E497">
        <v>182942.00942241593</v>
      </c>
      <c r="F497">
        <v>0</v>
      </c>
    </row>
    <row r="498" spans="2:6" ht="15.75" customHeight="1" x14ac:dyDescent="0.25">
      <c r="B498" t="str">
        <v>Aurora Plus</v>
      </c>
      <c r="C498" t="str">
        <v>Farm</v>
      </c>
      <c r="D498" t="str">
        <v>AURORA</v>
      </c>
      <c r="E498">
        <v>3308082.6884039608</v>
      </c>
      <c r="F498">
        <v>33739664.412456691</v>
      </c>
    </row>
    <row r="499" spans="2:6" ht="15.75" customHeight="1" x14ac:dyDescent="0.25">
      <c r="B499" t="str">
        <v>AuroraSwap</v>
      </c>
      <c r="C499" t="str">
        <v>Dexs</v>
      </c>
      <c r="D499" t="str">
        <v>BRL</v>
      </c>
      <c r="E499">
        <v>91844.794924681279</v>
      </c>
      <c r="F499">
        <v>0</v>
      </c>
    </row>
    <row r="500" spans="2:6" ht="15.75" customHeight="1" x14ac:dyDescent="0.25">
      <c r="B500" t="str">
        <v>Aurum</v>
      </c>
      <c r="C500" t="str">
        <v>Lending</v>
      </c>
      <c r="D500" t="str">
        <v>AUR</v>
      </c>
      <c r="E500">
        <v>2.0320009119876765E-4</v>
      </c>
      <c r="F500">
        <v>0</v>
      </c>
    </row>
    <row r="501" spans="2:6" ht="15.75" customHeight="1" x14ac:dyDescent="0.25">
      <c r="B501" t="str">
        <v>Aurus</v>
      </c>
      <c r="C501" t="str">
        <v>RWA</v>
      </c>
      <c r="D501" t="str">
        <v>AX</v>
      </c>
      <c r="E501">
        <v>0</v>
      </c>
      <c r="F501">
        <v>0</v>
      </c>
    </row>
    <row r="502" spans="2:6" ht="15.75" customHeight="1" x14ac:dyDescent="0.25">
      <c r="B502" t="str">
        <v>Auto Core</v>
      </c>
      <c r="C502" t="str">
        <v>Yield Aggregator</v>
      </c>
      <c r="D502" t="str">
        <v>ACORE</v>
      </c>
      <c r="E502">
        <v>998.98572457394505</v>
      </c>
      <c r="F502">
        <v>0</v>
      </c>
    </row>
    <row r="503" spans="2:6" ht="15.75" customHeight="1" x14ac:dyDescent="0.25">
      <c r="B503" t="str">
        <v>AutoBark</v>
      </c>
      <c r="C503" t="str">
        <v>Yield Aggregator</v>
      </c>
      <c r="D503" t="str">
        <v>-</v>
      </c>
      <c r="E503">
        <v>180.17636194788696</v>
      </c>
      <c r="F503">
        <v>0</v>
      </c>
    </row>
    <row r="504" spans="2:6" ht="15.75" customHeight="1" x14ac:dyDescent="0.25">
      <c r="B504" t="str">
        <v>Autoearn Finance</v>
      </c>
      <c r="C504" t="str">
        <v>Yield Aggregator</v>
      </c>
      <c r="D504" t="str">
        <v>ATE</v>
      </c>
      <c r="E504">
        <v>52368.767228906356</v>
      </c>
      <c r="F504">
        <v>0</v>
      </c>
    </row>
    <row r="505" spans="2:6" ht="15.75" customHeight="1" x14ac:dyDescent="0.25">
      <c r="B505" t="str">
        <v>Autofarm</v>
      </c>
      <c r="C505" t="str">
        <v>Yield Aggregator</v>
      </c>
      <c r="D505" t="str">
        <v>AUTO</v>
      </c>
      <c r="E505">
        <v>7551362.6340696868</v>
      </c>
      <c r="F505">
        <v>0</v>
      </c>
    </row>
    <row r="506" spans="2:6" ht="15.75" customHeight="1" x14ac:dyDescent="0.25">
      <c r="B506" t="str">
        <v>AUTOfinance</v>
      </c>
      <c r="C506" t="str">
        <v>Yield</v>
      </c>
      <c r="D506" t="str">
        <v>TOKE</v>
      </c>
      <c r="E506">
        <v>86160000.264793485</v>
      </c>
      <c r="F506">
        <v>9281622.2167525236</v>
      </c>
    </row>
    <row r="507" spans="2:6" ht="15.75" customHeight="1" x14ac:dyDescent="0.25">
      <c r="B507" t="str">
        <v>Autopilot</v>
      </c>
      <c r="C507" t="str">
        <v>Yield Aggregator</v>
      </c>
      <c r="D507" t="str">
        <v>-</v>
      </c>
      <c r="E507">
        <v>14841089.979332248</v>
      </c>
      <c r="F507">
        <v>0</v>
      </c>
    </row>
    <row r="508" spans="2:6" ht="15.75" customHeight="1" x14ac:dyDescent="0.25">
      <c r="B508" t="str">
        <v>AutoShark</v>
      </c>
      <c r="C508" t="str">
        <v>Dexs</v>
      </c>
      <c r="D508" t="str">
        <v>JAWS</v>
      </c>
      <c r="E508">
        <v>178665.34695976059</v>
      </c>
      <c r="F508">
        <v>0</v>
      </c>
    </row>
    <row r="509" spans="2:6" ht="15.75" customHeight="1" x14ac:dyDescent="0.25">
      <c r="B509" t="str">
        <v>Autotronic</v>
      </c>
      <c r="C509" t="str">
        <v>Dexs</v>
      </c>
      <c r="D509" t="str">
        <v>-</v>
      </c>
      <c r="E509">
        <v>780.17908448333503</v>
      </c>
      <c r="F509">
        <v>0</v>
      </c>
    </row>
    <row r="510" spans="2:6" ht="15.75" customHeight="1" x14ac:dyDescent="0.25">
      <c r="B510" t="str">
        <v>AUX Exchange</v>
      </c>
      <c r="C510" t="str">
        <v>Dexs</v>
      </c>
      <c r="D510" t="str">
        <v>-</v>
      </c>
      <c r="E510">
        <v>14910.328569327152</v>
      </c>
      <c r="F510">
        <v>0</v>
      </c>
    </row>
    <row r="511" spans="2:6" ht="15.75" customHeight="1" x14ac:dyDescent="0.25">
      <c r="B511" t="str">
        <v>Avalanche</v>
      </c>
      <c r="C511" t="str">
        <v>Canonical Bridge</v>
      </c>
      <c r="D511" t="str">
        <v>AVAX</v>
      </c>
      <c r="E511">
        <v>0</v>
      </c>
      <c r="F511">
        <v>5955236653.5434113</v>
      </c>
    </row>
    <row r="512" spans="2:6" ht="15.75" customHeight="1" x14ac:dyDescent="0.25">
      <c r="B512" t="str">
        <v>Avalanche Core Bridge</v>
      </c>
      <c r="C512" t="str">
        <v>Canonical Bridge</v>
      </c>
      <c r="D512" t="str">
        <v>AVAX</v>
      </c>
      <c r="E512">
        <v>547041451.72472274</v>
      </c>
      <c r="F512">
        <v>0</v>
      </c>
    </row>
    <row r="513" spans="2:6" ht="15.75" customHeight="1" x14ac:dyDescent="0.25">
      <c r="B513" t="str">
        <v>Avalaunch</v>
      </c>
      <c r="C513" t="str">
        <v>Dexs</v>
      </c>
      <c r="D513" t="str">
        <v>XAVA</v>
      </c>
      <c r="E513">
        <v>0</v>
      </c>
      <c r="F513">
        <v>6802964.1869163746</v>
      </c>
    </row>
    <row r="514" spans="2:6" ht="15.75" customHeight="1" x14ac:dyDescent="0.25">
      <c r="B514" t="str">
        <v>Avalon CeDeFi</v>
      </c>
      <c r="C514" t="str">
        <v>Anchor BTC</v>
      </c>
      <c r="D514" t="str">
        <v>-</v>
      </c>
      <c r="E514">
        <v>123356048.48355629</v>
      </c>
      <c r="F514">
        <v>0</v>
      </c>
    </row>
    <row r="515" spans="2:6" ht="15.75" customHeight="1" x14ac:dyDescent="0.25">
      <c r="B515" t="str">
        <v>Avalon Finance</v>
      </c>
      <c r="C515" t="str">
        <v>Lending</v>
      </c>
      <c r="D515" t="str">
        <v>-</v>
      </c>
      <c r="E515">
        <v>4265188.0287876073</v>
      </c>
      <c r="F515">
        <v>0</v>
      </c>
    </row>
    <row r="516" spans="2:6" ht="15.75" customHeight="1" x14ac:dyDescent="0.25">
      <c r="B516" t="str">
        <v>Avalon USDa</v>
      </c>
      <c r="C516" t="str">
        <v>CDP</v>
      </c>
      <c r="D516" t="str">
        <v>-</v>
      </c>
      <c r="E516">
        <v>491756787.03152448</v>
      </c>
      <c r="F516">
        <v>0</v>
      </c>
    </row>
    <row r="517" spans="2:6" ht="15.75" customHeight="1" x14ac:dyDescent="0.25">
      <c r="B517" t="str">
        <v>Avalon USDaLend</v>
      </c>
      <c r="C517" t="str">
        <v>Lending</v>
      </c>
      <c r="D517" t="str">
        <v>-</v>
      </c>
      <c r="E517">
        <v>697259.28314833401</v>
      </c>
      <c r="F517">
        <v>0</v>
      </c>
    </row>
    <row r="518" spans="2:6" ht="15.75" customHeight="1" x14ac:dyDescent="0.25">
      <c r="B518" t="str">
        <v>Avalps</v>
      </c>
      <c r="C518" t="str">
        <v>Reserve Currency</v>
      </c>
      <c r="D518" t="str">
        <v>BLANC</v>
      </c>
      <c r="E518">
        <v>4181.1260363916817</v>
      </c>
      <c r="F518">
        <v>0</v>
      </c>
    </row>
    <row r="519" spans="2:6" ht="15.75" customHeight="1" x14ac:dyDescent="0.25">
      <c r="B519" t="str">
        <v>Avant avBTC</v>
      </c>
      <c r="C519" t="str">
        <v>Onchain Capital Allocator</v>
      </c>
      <c r="D519" t="str">
        <v>-</v>
      </c>
      <c r="E519">
        <v>10895624.904249774</v>
      </c>
      <c r="F519">
        <v>0</v>
      </c>
    </row>
    <row r="520" spans="2:6" ht="15.75" customHeight="1" x14ac:dyDescent="0.25">
      <c r="B520" t="str">
        <v>Avant avETH</v>
      </c>
      <c r="C520" t="str">
        <v>Onchain Capital Allocator</v>
      </c>
      <c r="D520" t="str">
        <v>-</v>
      </c>
      <c r="E520">
        <v>8973195.9373845812</v>
      </c>
      <c r="F520">
        <v>0</v>
      </c>
    </row>
    <row r="521" spans="2:6" ht="15.75" customHeight="1" x14ac:dyDescent="0.25">
      <c r="B521" t="str">
        <v>Avant avUSD</v>
      </c>
      <c r="C521" t="str">
        <v>Basis Trading</v>
      </c>
      <c r="D521" t="str">
        <v>-</v>
      </c>
      <c r="E521">
        <v>96376037.379480571</v>
      </c>
      <c r="F521">
        <v>0</v>
      </c>
    </row>
    <row r="522" spans="2:6" ht="15.75" customHeight="1" x14ac:dyDescent="0.25">
      <c r="B522" t="str">
        <v>Avantgarde</v>
      </c>
      <c r="C522" t="str">
        <v>Risk Curators</v>
      </c>
      <c r="D522" t="str">
        <v>-</v>
      </c>
      <c r="E522">
        <v>6436525.072891512</v>
      </c>
      <c r="F522">
        <v>0</v>
      </c>
    </row>
    <row r="523" spans="2:6" ht="15.75" customHeight="1" x14ac:dyDescent="0.25">
      <c r="B523" t="str">
        <v>Avantis</v>
      </c>
      <c r="C523" t="str">
        <v>Derivatives</v>
      </c>
      <c r="D523" t="str">
        <v>AVNT</v>
      </c>
      <c r="E523">
        <v>102923934.67463952</v>
      </c>
      <c r="F523">
        <v>79748100.360393718</v>
      </c>
    </row>
    <row r="524" spans="2:6" ht="15.75" customHeight="1" x14ac:dyDescent="0.25">
      <c r="B524" t="str">
        <v>Avatr</v>
      </c>
      <c r="C524" t="str">
        <v>Yield</v>
      </c>
      <c r="D524" t="str">
        <v>AVART</v>
      </c>
      <c r="E524">
        <v>800.38455879339654</v>
      </c>
      <c r="F524">
        <v>0</v>
      </c>
    </row>
    <row r="525" spans="2:6" ht="15.75" customHeight="1" x14ac:dyDescent="0.25">
      <c r="B525" t="str">
        <v>Avault</v>
      </c>
      <c r="C525" t="str">
        <v>Yield Aggregator</v>
      </c>
      <c r="D525" t="str">
        <v>-</v>
      </c>
      <c r="E525">
        <v>4701.071612555148</v>
      </c>
      <c r="F525">
        <v>0</v>
      </c>
    </row>
    <row r="526" spans="2:6" ht="15.75" customHeight="1" x14ac:dyDescent="0.25">
      <c r="B526" t="str">
        <v>AvaViking</v>
      </c>
      <c r="C526" t="str">
        <v>Yield</v>
      </c>
      <c r="D526" t="str">
        <v>VIKING</v>
      </c>
      <c r="E526">
        <v>48.225385497954299</v>
      </c>
      <c r="F526">
        <v>0</v>
      </c>
    </row>
    <row r="527" spans="2:6" ht="15.75" customHeight="1" x14ac:dyDescent="0.25">
      <c r="B527" t="str">
        <v>Avaware</v>
      </c>
      <c r="C527" t="str">
        <v>Yield</v>
      </c>
      <c r="D527" t="str">
        <v>AVE</v>
      </c>
      <c r="E527">
        <v>215.34893180774645</v>
      </c>
      <c r="F527">
        <v>839.24737053730348</v>
      </c>
    </row>
    <row r="528" spans="2:6" ht="15.75" customHeight="1" x14ac:dyDescent="0.25">
      <c r="B528" t="str">
        <v>Avely Staking</v>
      </c>
      <c r="C528" t="str">
        <v>Liquid Staking</v>
      </c>
      <c r="D528" t="str">
        <v>-</v>
      </c>
      <c r="E528">
        <v>78899.864645468566</v>
      </c>
      <c r="F528">
        <v>0</v>
      </c>
    </row>
    <row r="529" spans="2:6" ht="15.75" customHeight="1" x14ac:dyDescent="0.25">
      <c r="B529" t="str">
        <v>Avely Swap</v>
      </c>
      <c r="C529" t="str">
        <v>Dexs</v>
      </c>
      <c r="D529" t="str">
        <v>-</v>
      </c>
      <c r="E529">
        <v>876.97513047793916</v>
      </c>
      <c r="F529">
        <v>0</v>
      </c>
    </row>
    <row r="530" spans="2:6" ht="15.75" customHeight="1" x14ac:dyDescent="0.25">
      <c r="B530" t="str">
        <v>AVNU</v>
      </c>
      <c r="C530" t="str">
        <v>DEX Aggregator</v>
      </c>
      <c r="D530" t="str">
        <v>-</v>
      </c>
      <c r="E530">
        <v>0</v>
      </c>
      <c r="F530">
        <v>0</v>
      </c>
    </row>
    <row r="531" spans="2:6" ht="15.75" customHeight="1" x14ac:dyDescent="0.25">
      <c r="B531" t="str">
        <v>AvoLend</v>
      </c>
      <c r="C531" t="str">
        <v>Lending</v>
      </c>
      <c r="D531" t="str">
        <v>AVO</v>
      </c>
      <c r="E531">
        <v>9.6585478892027385</v>
      </c>
      <c r="F531">
        <v>0</v>
      </c>
    </row>
    <row r="532" spans="2:6" ht="15.75" customHeight="1" x14ac:dyDescent="0.25">
      <c r="B532" t="str">
        <v>Awaken Swap</v>
      </c>
      <c r="C532" t="str">
        <v>Dexs</v>
      </c>
      <c r="D532" t="str">
        <v>-</v>
      </c>
      <c r="E532">
        <v>6667104.6664558891</v>
      </c>
      <c r="F532">
        <v>0</v>
      </c>
    </row>
    <row r="533" spans="2:6" ht="15.75" customHeight="1" x14ac:dyDescent="0.25">
      <c r="B533" t="str">
        <v>AxeDAO</v>
      </c>
      <c r="C533" t="str">
        <v>Reserve Currency</v>
      </c>
      <c r="D533" t="str">
        <v>AXE</v>
      </c>
      <c r="E533">
        <v>0</v>
      </c>
      <c r="F533">
        <v>0</v>
      </c>
    </row>
    <row r="534" spans="2:6" ht="15.75" customHeight="1" x14ac:dyDescent="0.25">
      <c r="B534" t="str">
        <v>Axelar</v>
      </c>
      <c r="C534" t="str">
        <v>Bridge</v>
      </c>
      <c r="D534" t="str">
        <v>AXL</v>
      </c>
      <c r="E534">
        <v>176193110.84559244</v>
      </c>
      <c r="F534">
        <v>0</v>
      </c>
    </row>
    <row r="535" spans="2:6" ht="15.75" customHeight="1" x14ac:dyDescent="0.25">
      <c r="B535" t="str">
        <v>Axelar Cross Chain</v>
      </c>
      <c r="C535" t="str">
        <v>Bridge</v>
      </c>
      <c r="D535" t="str">
        <v>AXL</v>
      </c>
      <c r="E535">
        <v>27820613.519953486</v>
      </c>
      <c r="F535">
        <v>0</v>
      </c>
    </row>
    <row r="536" spans="2:6" ht="15.75" customHeight="1" x14ac:dyDescent="0.25">
      <c r="B536" t="str">
        <v>Axia Protocol</v>
      </c>
      <c r="C536" t="str">
        <v>Indexes</v>
      </c>
      <c r="D536" t="str">
        <v>AXIAv3</v>
      </c>
      <c r="E536">
        <v>0</v>
      </c>
      <c r="F536">
        <v>0</v>
      </c>
    </row>
    <row r="537" spans="2:6" ht="15.75" customHeight="1" x14ac:dyDescent="0.25">
      <c r="B537" t="str">
        <v>Axial</v>
      </c>
      <c r="C537" t="str">
        <v>Dexs</v>
      </c>
      <c r="D537" t="str">
        <v>AXIAL</v>
      </c>
      <c r="E537">
        <v>2146588.0332594779</v>
      </c>
      <c r="F537">
        <v>0</v>
      </c>
    </row>
    <row r="538" spans="2:6" ht="15.75" customHeight="1" x14ac:dyDescent="0.25">
      <c r="B538" t="str">
        <v>Axie Infinity</v>
      </c>
      <c r="C538" t="str">
        <v>Gaming</v>
      </c>
      <c r="D538" t="str">
        <v>AXS</v>
      </c>
      <c r="E538">
        <v>0</v>
      </c>
      <c r="F538">
        <v>158427319.96174434</v>
      </c>
    </row>
    <row r="539" spans="2:6" ht="15.75" customHeight="1" x14ac:dyDescent="0.25">
      <c r="B539" t="str">
        <v>Axiom</v>
      </c>
      <c r="C539" t="str">
        <v>Trading App</v>
      </c>
      <c r="D539" t="str">
        <v>-</v>
      </c>
      <c r="E539">
        <v>0</v>
      </c>
      <c r="F539">
        <v>0</v>
      </c>
    </row>
    <row r="540" spans="2:6" ht="15.75" customHeight="1" x14ac:dyDescent="0.25">
      <c r="B540" t="str">
        <v>Axiom Perps</v>
      </c>
      <c r="C540" t="str">
        <v>Interface</v>
      </c>
      <c r="D540" t="str">
        <v>-</v>
      </c>
      <c r="E540">
        <v>0</v>
      </c>
      <c r="F540">
        <v>0</v>
      </c>
    </row>
    <row r="541" spans="2:6" ht="15.75" customHeight="1" x14ac:dyDescent="0.25">
      <c r="B541" t="str">
        <v>Axion</v>
      </c>
      <c r="C541" t="str">
        <v>Yield</v>
      </c>
      <c r="D541" t="str">
        <v>AXN</v>
      </c>
      <c r="E541">
        <v>521834.85651157179</v>
      </c>
      <c r="F541">
        <v>0</v>
      </c>
    </row>
    <row r="542" spans="2:6" ht="15.75" customHeight="1" x14ac:dyDescent="0.25">
      <c r="B542" t="str">
        <v>Axion Finance V2</v>
      </c>
      <c r="C542" t="str">
        <v>Dexs</v>
      </c>
      <c r="D542" t="str">
        <v>-</v>
      </c>
      <c r="E542">
        <v>2.0066578928186062E-3</v>
      </c>
      <c r="F542">
        <v>0</v>
      </c>
    </row>
    <row r="543" spans="2:6" ht="15.75" customHeight="1" x14ac:dyDescent="0.25">
      <c r="B543" t="str">
        <v>Axion Finance V3</v>
      </c>
      <c r="C543" t="str">
        <v>Dexs</v>
      </c>
      <c r="D543" t="str">
        <v>-</v>
      </c>
      <c r="E543">
        <v>8.9636144308505799</v>
      </c>
      <c r="F543">
        <v>0</v>
      </c>
    </row>
    <row r="544" spans="2:6" ht="15.75" customHeight="1" x14ac:dyDescent="0.25">
      <c r="B544" t="str">
        <v>Axl Inu</v>
      </c>
      <c r="C544" t="str">
        <v>Launchpad</v>
      </c>
      <c r="D544" t="str">
        <v>AXL</v>
      </c>
      <c r="E544">
        <v>0</v>
      </c>
      <c r="F544">
        <v>0</v>
      </c>
    </row>
    <row r="545" spans="2:6" ht="15.75" customHeight="1" x14ac:dyDescent="0.25">
      <c r="B545" t="str">
        <v>AYIN</v>
      </c>
      <c r="C545" t="str">
        <v>Dexs</v>
      </c>
      <c r="D545" t="str">
        <v>AYIN</v>
      </c>
      <c r="E545">
        <v>84765.899450209588</v>
      </c>
      <c r="F545">
        <v>46512.395026444596</v>
      </c>
    </row>
    <row r="546" spans="2:6" ht="15.75" customHeight="1" x14ac:dyDescent="0.25">
      <c r="B546" t="str">
        <v>AZEX</v>
      </c>
      <c r="C546" t="str">
        <v>Derivatives</v>
      </c>
      <c r="D546" t="str">
        <v>AZT</v>
      </c>
      <c r="E546">
        <v>9.9277038891101652E-3</v>
      </c>
      <c r="F546">
        <v>0</v>
      </c>
    </row>
    <row r="547" spans="2:6" ht="15.75" customHeight="1" x14ac:dyDescent="0.25">
      <c r="B547" t="str">
        <v>Aztec Connect</v>
      </c>
      <c r="C547" t="str">
        <v>Privacy</v>
      </c>
      <c r="D547" t="str">
        <v>-</v>
      </c>
      <c r="E547">
        <v>7724845.8831094811</v>
      </c>
      <c r="F547">
        <v>0</v>
      </c>
    </row>
    <row r="548" spans="2:6" ht="15.75" customHeight="1" x14ac:dyDescent="0.25">
      <c r="B548" t="str">
        <v>Azuro</v>
      </c>
      <c r="C548" t="str">
        <v>Prediction Market</v>
      </c>
      <c r="D548" t="str">
        <v>-</v>
      </c>
      <c r="E548">
        <v>1025371.1767151145</v>
      </c>
      <c r="F548">
        <v>0</v>
      </c>
    </row>
    <row r="549" spans="2:6" ht="15.75" customHeight="1" x14ac:dyDescent="0.25">
      <c r="B549" t="str">
        <v>B-Lucky</v>
      </c>
      <c r="C549" t="str">
        <v>Luck Games</v>
      </c>
      <c r="D549" t="str">
        <v>LUCKY</v>
      </c>
      <c r="E549">
        <v>465745.67044143152</v>
      </c>
      <c r="F549">
        <v>6940577.8371376134</v>
      </c>
    </row>
    <row r="550" spans="2:6" ht="15.75" customHeight="1" x14ac:dyDescent="0.25">
      <c r="B550" t="str">
        <v>B.Protocol</v>
      </c>
      <c r="C550" t="str">
        <v>Liquidations</v>
      </c>
      <c r="D550" t="str">
        <v>BPRO</v>
      </c>
      <c r="E550">
        <v>1854463.3967358731</v>
      </c>
      <c r="F550">
        <v>3001357.3857576051</v>
      </c>
    </row>
    <row r="551" spans="2:6" ht="15.75" customHeight="1" x14ac:dyDescent="0.25">
      <c r="B551" t="str">
        <v>B.Protocol Curator</v>
      </c>
      <c r="C551" t="str">
        <v>Risk Curators</v>
      </c>
      <c r="D551" t="str">
        <v>-</v>
      </c>
      <c r="E551">
        <v>72446069.714574248</v>
      </c>
      <c r="F551">
        <v>0</v>
      </c>
    </row>
    <row r="552" spans="2:6" ht="15.75" customHeight="1" x14ac:dyDescent="0.25">
      <c r="B552" t="str">
        <v>b14g</v>
      </c>
      <c r="C552" t="str">
        <v>Restaking</v>
      </c>
      <c r="D552" t="str">
        <v>-</v>
      </c>
      <c r="E552">
        <v>296793098.23977053</v>
      </c>
      <c r="F552">
        <v>0</v>
      </c>
    </row>
    <row r="553" spans="2:6" ht="15.75" customHeight="1" x14ac:dyDescent="0.25">
      <c r="B553" t="str">
        <v>B2 Buzz</v>
      </c>
      <c r="C553" t="str">
        <v>Canonical Bridge</v>
      </c>
      <c r="D553" t="str">
        <v>-</v>
      </c>
      <c r="E553">
        <v>424508638.9424659</v>
      </c>
      <c r="F553">
        <v>0</v>
      </c>
    </row>
    <row r="554" spans="2:6" ht="15.75" customHeight="1" x14ac:dyDescent="0.25">
      <c r="B554" t="str">
        <v>B2B</v>
      </c>
      <c r="C554" t="str">
        <v>Algo-Stables</v>
      </c>
      <c r="D554" t="str">
        <v>B2B</v>
      </c>
      <c r="E554">
        <v>18123.528965455847</v>
      </c>
      <c r="F554">
        <v>0</v>
      </c>
    </row>
    <row r="555" spans="2:6" ht="15.75" customHeight="1" x14ac:dyDescent="0.25">
      <c r="B555" t="str">
        <v>BabelFish</v>
      </c>
      <c r="C555" t="str">
        <v>Bridge</v>
      </c>
      <c r="D555" t="str">
        <v>$FISH</v>
      </c>
      <c r="E555">
        <v>962741.46780014201</v>
      </c>
      <c r="F555">
        <v>139304.83503530023</v>
      </c>
    </row>
    <row r="556" spans="2:6" ht="15.75" customHeight="1" x14ac:dyDescent="0.25">
      <c r="B556" t="str">
        <v>Babena</v>
      </c>
      <c r="C556" t="str">
        <v>CDP</v>
      </c>
      <c r="D556" t="str">
        <v>BABE</v>
      </c>
      <c r="E556">
        <v>0</v>
      </c>
      <c r="F556">
        <v>0</v>
      </c>
    </row>
    <row r="557" spans="2:6" ht="15.75" customHeight="1" x14ac:dyDescent="0.25">
      <c r="B557" t="str">
        <v>BabyBoom</v>
      </c>
      <c r="C557" t="str">
        <v>Launchpad</v>
      </c>
      <c r="D557" t="str">
        <v>-</v>
      </c>
      <c r="E557">
        <v>3.1191824904116969E-2</v>
      </c>
      <c r="F557">
        <v>0</v>
      </c>
    </row>
    <row r="558" spans="2:6" ht="15.75" customHeight="1" x14ac:dyDescent="0.25">
      <c r="B558" t="str">
        <v>BabyDoge Algebra</v>
      </c>
      <c r="C558" t="str">
        <v>Dexs</v>
      </c>
      <c r="D558" t="str">
        <v>BabyDoge</v>
      </c>
      <c r="E558">
        <v>36.389696476194139</v>
      </c>
      <c r="F558">
        <v>0</v>
      </c>
    </row>
    <row r="559" spans="2:6" ht="15.75" customHeight="1" x14ac:dyDescent="0.25">
      <c r="B559" t="str">
        <v>BabyDoge Perps</v>
      </c>
      <c r="C559" t="str">
        <v>Interface</v>
      </c>
      <c r="D559" t="str">
        <v>-</v>
      </c>
      <c r="E559">
        <v>0</v>
      </c>
      <c r="F559">
        <v>0</v>
      </c>
    </row>
    <row r="560" spans="2:6" ht="15.75" customHeight="1" x14ac:dyDescent="0.25">
      <c r="B560" t="str">
        <v>BabyDogeSwap</v>
      </c>
      <c r="C560" t="str">
        <v>Dexs</v>
      </c>
      <c r="D560" t="str">
        <v>BabyDoge</v>
      </c>
      <c r="E560">
        <v>2391028.7584695378</v>
      </c>
      <c r="F560">
        <v>0</v>
      </c>
    </row>
    <row r="561" spans="2:6" ht="15.75" customHeight="1" x14ac:dyDescent="0.25">
      <c r="B561" t="str">
        <v>Babylon Finance</v>
      </c>
      <c r="C561" t="str">
        <v>Indexes</v>
      </c>
      <c r="D561" t="str">
        <v>BABL</v>
      </c>
      <c r="E561">
        <v>149492.30811775147</v>
      </c>
      <c r="F561">
        <v>416.29927632089124</v>
      </c>
    </row>
    <row r="562" spans="2:6" ht="15.75" customHeight="1" x14ac:dyDescent="0.25">
      <c r="B562" t="str">
        <v>Babylon Protocol</v>
      </c>
      <c r="C562" t="str">
        <v>Restaking</v>
      </c>
      <c r="D562" t="str">
        <v>BABY</v>
      </c>
      <c r="E562">
        <v>5559756219.3848982</v>
      </c>
      <c r="F562">
        <v>55482704.205465063</v>
      </c>
    </row>
    <row r="563" spans="2:6" ht="15.75" customHeight="1" x14ac:dyDescent="0.25">
      <c r="B563" t="str">
        <v>BabyPig Finance</v>
      </c>
      <c r="C563" t="str">
        <v>Yield</v>
      </c>
      <c r="D563" t="str">
        <v>BABYPIG</v>
      </c>
      <c r="E563">
        <v>7.5855948573131711</v>
      </c>
      <c r="F563">
        <v>0</v>
      </c>
    </row>
    <row r="564" spans="2:6" ht="15.75" customHeight="1" x14ac:dyDescent="0.25">
      <c r="B564" t="str">
        <v>BabySwap</v>
      </c>
      <c r="C564" t="str">
        <v>Dexs</v>
      </c>
      <c r="D564" t="str">
        <v>BABY</v>
      </c>
      <c r="E564">
        <v>1670015.0165966637</v>
      </c>
      <c r="F564">
        <v>196.75781188023848</v>
      </c>
    </row>
    <row r="565" spans="2:6" ht="15.75" customHeight="1" x14ac:dyDescent="0.25">
      <c r="B565" t="str">
        <v>Back Finance</v>
      </c>
      <c r="C565" t="str">
        <v>Yield</v>
      </c>
      <c r="D565" t="str">
        <v>BACK</v>
      </c>
      <c r="E565">
        <v>0</v>
      </c>
      <c r="F565">
        <v>0</v>
      </c>
    </row>
    <row r="566" spans="2:6" ht="15.75" customHeight="1" x14ac:dyDescent="0.25">
      <c r="B566" t="str">
        <v>BackBone Labs</v>
      </c>
      <c r="C566" t="str">
        <v>Liquid Staking</v>
      </c>
      <c r="D566" t="str">
        <v>-</v>
      </c>
      <c r="E566">
        <v>263702.39693681966</v>
      </c>
      <c r="F566">
        <v>0</v>
      </c>
    </row>
    <row r="567" spans="2:6" ht="15.75" customHeight="1" x14ac:dyDescent="0.25">
      <c r="B567" t="str">
        <v>Backed</v>
      </c>
      <c r="C567" t="str">
        <v>NFT Lending</v>
      </c>
      <c r="D567" t="str">
        <v>-</v>
      </c>
      <c r="E567">
        <v>0</v>
      </c>
      <c r="F567">
        <v>0</v>
      </c>
    </row>
    <row r="568" spans="2:6" ht="15.75" customHeight="1" x14ac:dyDescent="0.25">
      <c r="B568" t="str">
        <v>BackedFi</v>
      </c>
      <c r="C568" t="str">
        <v>RWA</v>
      </c>
      <c r="D568" t="str">
        <v>-</v>
      </c>
      <c r="E568">
        <v>12506896.697735045</v>
      </c>
      <c r="F568">
        <v>0</v>
      </c>
    </row>
    <row r="569" spans="2:6" ht="15.75" customHeight="1" x14ac:dyDescent="0.25">
      <c r="B569" t="str">
        <v>Backpack SOL</v>
      </c>
      <c r="C569" t="str">
        <v>Liquid Staking</v>
      </c>
      <c r="D569" t="str">
        <v>-</v>
      </c>
      <c r="E569">
        <v>0</v>
      </c>
      <c r="F569">
        <v>0</v>
      </c>
    </row>
    <row r="570" spans="2:6" ht="15.75" customHeight="1" x14ac:dyDescent="0.25">
      <c r="B570" t="str">
        <v>BaconDAO</v>
      </c>
      <c r="C570" t="str">
        <v>Yield</v>
      </c>
      <c r="D570" t="str">
        <v>BACON</v>
      </c>
      <c r="E570">
        <v>0</v>
      </c>
      <c r="F570">
        <v>0</v>
      </c>
    </row>
    <row r="571" spans="2:6" ht="15.75" customHeight="1" x14ac:dyDescent="0.25">
      <c r="B571" t="str">
        <v>Bad Idea AI</v>
      </c>
      <c r="C571" t="str">
        <v>Services</v>
      </c>
      <c r="D571" t="str">
        <v>BAD</v>
      </c>
      <c r="E571">
        <v>0</v>
      </c>
      <c r="F571">
        <v>863642.0904235238</v>
      </c>
    </row>
    <row r="572" spans="2:6" ht="15.75" customHeight="1" x14ac:dyDescent="0.25">
      <c r="B572" t="str">
        <v>Badger DAO</v>
      </c>
      <c r="C572" t="str">
        <v>Yield Aggregator</v>
      </c>
      <c r="D572" t="str">
        <v>BADGER</v>
      </c>
      <c r="E572">
        <v>26533560.790684722</v>
      </c>
      <c r="F572">
        <v>11061133.412492372</v>
      </c>
    </row>
    <row r="573" spans="2:6" ht="15.75" customHeight="1" x14ac:dyDescent="0.25">
      <c r="B573" t="str">
        <v>Bagel Finance V1</v>
      </c>
      <c r="C573" t="str">
        <v>Dexs</v>
      </c>
      <c r="D573" t="str">
        <v>-</v>
      </c>
      <c r="E573">
        <v>0.33230250558293062</v>
      </c>
      <c r="F573">
        <v>0</v>
      </c>
    </row>
    <row r="574" spans="2:6" ht="15.75" customHeight="1" x14ac:dyDescent="0.25">
      <c r="B574" t="str">
        <v>Bagel Finance V2</v>
      </c>
      <c r="C574" t="str">
        <v>Indexes</v>
      </c>
      <c r="D574" t="str">
        <v>-</v>
      </c>
      <c r="E574">
        <v>64.213641618640025</v>
      </c>
      <c r="F574">
        <v>0</v>
      </c>
    </row>
    <row r="575" spans="2:6" ht="15.75" customHeight="1" x14ac:dyDescent="0.25">
      <c r="B575" t="str">
        <v>Bagels Finance</v>
      </c>
      <c r="C575" t="str">
        <v>Yield</v>
      </c>
      <c r="D575" t="str">
        <v>BAGEL</v>
      </c>
      <c r="E575">
        <v>10087.110533578027</v>
      </c>
      <c r="F575">
        <v>32989.240040453609</v>
      </c>
    </row>
    <row r="576" spans="2:6" ht="15.75" customHeight="1" x14ac:dyDescent="0.25">
      <c r="B576" t="str">
        <v>Bagelswap</v>
      </c>
      <c r="C576" t="str">
        <v>Dexs</v>
      </c>
      <c r="D576" t="str">
        <v>-</v>
      </c>
      <c r="E576">
        <v>446.82423371121888</v>
      </c>
      <c r="F576">
        <v>0</v>
      </c>
    </row>
    <row r="577" spans="2:6" ht="15.75" customHeight="1" x14ac:dyDescent="0.25">
      <c r="B577" t="str">
        <v>Bagful</v>
      </c>
      <c r="C577" t="str">
        <v>Yield Aggregator</v>
      </c>
      <c r="D577" t="str">
        <v>-</v>
      </c>
      <c r="E577">
        <v>0</v>
      </c>
      <c r="F577">
        <v>0</v>
      </c>
    </row>
    <row r="578" spans="2:6" ht="15.75" customHeight="1" x14ac:dyDescent="0.25">
      <c r="B578" t="str">
        <v>Bags</v>
      </c>
      <c r="C578" t="str">
        <v>Launchpad</v>
      </c>
      <c r="D578" t="str">
        <v>-</v>
      </c>
      <c r="E578">
        <v>0</v>
      </c>
      <c r="F578">
        <v>0</v>
      </c>
    </row>
    <row r="579" spans="2:6" ht="15.75" customHeight="1" x14ac:dyDescent="0.25">
      <c r="B579" t="str">
        <v>Baguette</v>
      </c>
      <c r="C579" t="str">
        <v>Dexs</v>
      </c>
      <c r="D579" t="str">
        <v>BAG</v>
      </c>
      <c r="E579">
        <v>35748.421587970697</v>
      </c>
      <c r="F579">
        <v>31266.981103907652</v>
      </c>
    </row>
    <row r="580" spans="2:6" ht="15.75" customHeight="1" x14ac:dyDescent="0.25">
      <c r="B580" t="str">
        <v>BakedPotatoes</v>
      </c>
      <c r="C580" t="str">
        <v>Yield</v>
      </c>
      <c r="D580" t="str">
        <v>-</v>
      </c>
      <c r="E580">
        <v>1.7137267306904815</v>
      </c>
      <c r="F580">
        <v>0</v>
      </c>
    </row>
    <row r="581" spans="2:6" ht="15.75" customHeight="1" x14ac:dyDescent="0.25">
      <c r="B581" t="str">
        <v>Baker Guild</v>
      </c>
      <c r="C581" t="str">
        <v>Yield</v>
      </c>
      <c r="D581" t="str">
        <v>BREAD</v>
      </c>
      <c r="E581">
        <v>4355.808391872687</v>
      </c>
      <c r="F581">
        <v>0</v>
      </c>
    </row>
    <row r="582" spans="2:6" ht="15.75" customHeight="1" x14ac:dyDescent="0.25">
      <c r="B582" t="str">
        <v>BakerDAO</v>
      </c>
      <c r="C582" t="str">
        <v>Reserve Currency</v>
      </c>
      <c r="D582" t="str">
        <v>BREAD</v>
      </c>
      <c r="E582">
        <v>47859.014275853624</v>
      </c>
      <c r="F582">
        <v>496126.11217413872</v>
      </c>
    </row>
    <row r="583" spans="2:6" ht="15.75" customHeight="1" x14ac:dyDescent="0.25">
      <c r="B583" t="str">
        <v>BakerFi</v>
      </c>
      <c r="C583" t="str">
        <v>Liquid Staking</v>
      </c>
      <c r="D583" t="str">
        <v>-</v>
      </c>
      <c r="E583">
        <v>118925.61938586448</v>
      </c>
      <c r="F583">
        <v>0</v>
      </c>
    </row>
    <row r="584" spans="2:6" ht="15.75" customHeight="1" x14ac:dyDescent="0.25">
      <c r="B584" t="str">
        <v>BakerySwap</v>
      </c>
      <c r="C584" t="str">
        <v>Dexs</v>
      </c>
      <c r="D584" t="str">
        <v>BAKE</v>
      </c>
      <c r="E584">
        <v>4741316.8964394163</v>
      </c>
      <c r="F584">
        <v>2016698.0176713695</v>
      </c>
    </row>
    <row r="585" spans="2:6" ht="15.75" customHeight="1" x14ac:dyDescent="0.25">
      <c r="B585" t="str">
        <v>Baki</v>
      </c>
      <c r="C585" t="str">
        <v>CDP</v>
      </c>
      <c r="D585" t="str">
        <v>-</v>
      </c>
      <c r="E585">
        <v>5967.8985079789518</v>
      </c>
      <c r="F585">
        <v>0</v>
      </c>
    </row>
    <row r="586" spans="2:6" ht="15.75" customHeight="1" x14ac:dyDescent="0.25">
      <c r="B586" t="str">
        <v>Baklava Space</v>
      </c>
      <c r="C586" t="str">
        <v>Yield</v>
      </c>
      <c r="D586" t="str">
        <v>BAVA</v>
      </c>
      <c r="E586">
        <v>6423.2304367494071</v>
      </c>
      <c r="F586">
        <v>10213.834420113086</v>
      </c>
    </row>
    <row r="587" spans="2:6" ht="15.75" customHeight="1" x14ac:dyDescent="0.25">
      <c r="B587" t="str">
        <v>BaksDAO</v>
      </c>
      <c r="C587" t="str">
        <v>Lending</v>
      </c>
      <c r="D587" t="str">
        <v>BAKS</v>
      </c>
      <c r="E587">
        <v>183.3468272453668</v>
      </c>
      <c r="F587">
        <v>0</v>
      </c>
    </row>
    <row r="588" spans="2:6" ht="15.75" customHeight="1" x14ac:dyDescent="0.25">
      <c r="B588" t="str">
        <v>Balanced Dollar</v>
      </c>
      <c r="C588" t="str">
        <v>CDP</v>
      </c>
      <c r="D588" t="str">
        <v>BALN</v>
      </c>
      <c r="E588">
        <v>2163705.7589667961</v>
      </c>
      <c r="F588">
        <v>0</v>
      </c>
    </row>
    <row r="589" spans="2:6" ht="15.75" customHeight="1" x14ac:dyDescent="0.25">
      <c r="B589" t="str">
        <v>Balanced Exchange</v>
      </c>
      <c r="C589" t="str">
        <v>Dexs</v>
      </c>
      <c r="D589" t="str">
        <v>BALN</v>
      </c>
      <c r="E589">
        <v>9766274.8830302954</v>
      </c>
      <c r="F589">
        <v>0</v>
      </c>
    </row>
    <row r="590" spans="2:6" ht="15.75" customHeight="1" x14ac:dyDescent="0.25">
      <c r="B590" t="str">
        <v>Balancer CoW AMM</v>
      </c>
      <c r="C590" t="str">
        <v>Dexs</v>
      </c>
      <c r="D590" t="str">
        <v>BAL</v>
      </c>
      <c r="E590">
        <v>2150853.1115938867</v>
      </c>
      <c r="F590">
        <v>0</v>
      </c>
    </row>
    <row r="591" spans="2:6" ht="15.75" customHeight="1" x14ac:dyDescent="0.25">
      <c r="B591" t="str">
        <v>Balancer V1</v>
      </c>
      <c r="C591" t="str">
        <v>Dexs</v>
      </c>
      <c r="D591" t="str">
        <v>BAL</v>
      </c>
      <c r="E591">
        <v>10178456.310997233</v>
      </c>
      <c r="F591">
        <v>0</v>
      </c>
    </row>
    <row r="592" spans="2:6" ht="15.75" customHeight="1" x14ac:dyDescent="0.25">
      <c r="B592" t="str">
        <v>Balancer V2</v>
      </c>
      <c r="C592" t="str">
        <v>Dexs</v>
      </c>
      <c r="D592" t="str">
        <v>BAL</v>
      </c>
      <c r="E592">
        <v>148642960.67830345</v>
      </c>
      <c r="F592">
        <v>0</v>
      </c>
    </row>
    <row r="593" spans="2:6" ht="15.75" customHeight="1" x14ac:dyDescent="0.25">
      <c r="B593" t="str">
        <v>Balancer V3</v>
      </c>
      <c r="C593" t="str">
        <v>Dexs</v>
      </c>
      <c r="D593" t="str">
        <v>BAL</v>
      </c>
      <c r="E593">
        <v>98770799.496922091</v>
      </c>
      <c r="F593">
        <v>0</v>
      </c>
    </row>
    <row r="594" spans="2:6" ht="15.75" customHeight="1" x14ac:dyDescent="0.25">
      <c r="B594" t="str">
        <v>Ball Exchange</v>
      </c>
      <c r="C594" t="str">
        <v>Dexs</v>
      </c>
      <c r="D594" t="str">
        <v>BALL</v>
      </c>
      <c r="E594">
        <v>56.869998513528081</v>
      </c>
      <c r="F594">
        <v>0</v>
      </c>
    </row>
    <row r="595" spans="2:6" ht="15.75" customHeight="1" x14ac:dyDescent="0.25">
      <c r="B595" t="str">
        <v>BalloonSwap</v>
      </c>
      <c r="C595" t="str">
        <v>Dexs</v>
      </c>
      <c r="D595" t="str">
        <v>Balloon</v>
      </c>
      <c r="E595">
        <v>1.7910210703785028E-15</v>
      </c>
      <c r="F595">
        <v>0</v>
      </c>
    </row>
    <row r="596" spans="2:6" ht="15.75" customHeight="1" x14ac:dyDescent="0.25">
      <c r="B596" t="str">
        <v>Balmy</v>
      </c>
      <c r="C596" t="str">
        <v>DCA Tools</v>
      </c>
      <c r="D596" t="str">
        <v>-</v>
      </c>
      <c r="E596">
        <v>269878.79400011984</v>
      </c>
      <c r="F596">
        <v>0</v>
      </c>
    </row>
    <row r="597" spans="2:6" ht="15.75" customHeight="1" x14ac:dyDescent="0.25">
      <c r="B597" t="str">
        <v>Balus</v>
      </c>
      <c r="C597" t="str">
        <v>SoFi</v>
      </c>
      <c r="D597" t="str">
        <v>-</v>
      </c>
      <c r="E597">
        <v>236.60059950615758</v>
      </c>
      <c r="F597">
        <v>0</v>
      </c>
    </row>
    <row r="598" spans="2:6" ht="15.75" customHeight="1" x14ac:dyDescent="0.25">
      <c r="B598" t="str">
        <v>BambooDeFi</v>
      </c>
      <c r="C598" t="str">
        <v>Dexs</v>
      </c>
      <c r="D598" t="str">
        <v>BAMBOO</v>
      </c>
      <c r="E598">
        <v>54763.246695089103</v>
      </c>
      <c r="F598">
        <v>0</v>
      </c>
    </row>
    <row r="599" spans="2:6" ht="15.75" customHeight="1" x14ac:dyDescent="0.25">
      <c r="B599" t="str">
        <v>BAMM</v>
      </c>
      <c r="C599" t="str">
        <v>Lending</v>
      </c>
      <c r="D599" t="str">
        <v>-</v>
      </c>
      <c r="E599">
        <v>2538648.9773601866</v>
      </c>
      <c r="F599">
        <v>0</v>
      </c>
    </row>
    <row r="600" spans="2:6" ht="15.75" customHeight="1" x14ac:dyDescent="0.25">
      <c r="B600" t="str">
        <v>Banana Gun</v>
      </c>
      <c r="C600" t="str">
        <v>Telegram Bot</v>
      </c>
      <c r="D600" t="str">
        <v>BANANA</v>
      </c>
      <c r="E600">
        <v>0</v>
      </c>
      <c r="F600">
        <v>29360409.205615394</v>
      </c>
    </row>
    <row r="601" spans="2:6" ht="15.75" customHeight="1" x14ac:dyDescent="0.25">
      <c r="B601" t="str">
        <v>BananaFarm</v>
      </c>
      <c r="C601" t="str">
        <v>Yield</v>
      </c>
      <c r="D601" t="str">
        <v>BANA</v>
      </c>
      <c r="E601">
        <v>0</v>
      </c>
      <c r="F601">
        <v>0</v>
      </c>
    </row>
    <row r="602" spans="2:6" ht="15.75" customHeight="1" x14ac:dyDescent="0.25">
      <c r="B602" t="str">
        <v>Banano</v>
      </c>
      <c r="C602" t="str">
        <v>Yield</v>
      </c>
      <c r="D602" t="str">
        <v>BAN</v>
      </c>
      <c r="E602">
        <v>0</v>
      </c>
      <c r="F602">
        <v>866691.4727828867</v>
      </c>
    </row>
    <row r="603" spans="2:6" ht="15.75" customHeight="1" x14ac:dyDescent="0.25">
      <c r="B603" t="str">
        <v>Bancor V2.1</v>
      </c>
      <c r="C603" t="str">
        <v>Dexs</v>
      </c>
      <c r="D603" t="str">
        <v>BNT</v>
      </c>
      <c r="E603">
        <v>12836281.195533898</v>
      </c>
      <c r="F603">
        <v>0</v>
      </c>
    </row>
    <row r="604" spans="2:6" ht="15.75" customHeight="1" x14ac:dyDescent="0.25">
      <c r="B604" t="str">
        <v>Bancor V3</v>
      </c>
      <c r="C604" t="str">
        <v>Dexs</v>
      </c>
      <c r="D604" t="str">
        <v>BNT</v>
      </c>
      <c r="E604">
        <v>28288749.970370848</v>
      </c>
      <c r="F604">
        <v>0</v>
      </c>
    </row>
    <row r="605" spans="2:6" ht="15.75" customHeight="1" x14ac:dyDescent="0.25">
      <c r="B605" t="str">
        <v>Bank AI</v>
      </c>
      <c r="C605" t="str">
        <v>Services</v>
      </c>
      <c r="D605" t="str">
        <v>BANK</v>
      </c>
      <c r="E605">
        <v>0</v>
      </c>
      <c r="F605">
        <v>0</v>
      </c>
    </row>
    <row r="606" spans="2:6" ht="15.75" customHeight="1" x14ac:dyDescent="0.25">
      <c r="B606" t="str">
        <v>Bank of Chain</v>
      </c>
      <c r="C606" t="str">
        <v>Yield Aggregator</v>
      </c>
      <c r="D606" t="str">
        <v>-</v>
      </c>
      <c r="E606">
        <v>18268.739287484972</v>
      </c>
      <c r="F606">
        <v>0</v>
      </c>
    </row>
    <row r="607" spans="2:6" ht="15.75" customHeight="1" x14ac:dyDescent="0.25">
      <c r="B607" t="str">
        <v>Bank of Cronos Loans</v>
      </c>
      <c r="C607" t="str">
        <v>Lending</v>
      </c>
      <c r="D607" t="str">
        <v>BOC</v>
      </c>
      <c r="E607">
        <v>486.10386771691429</v>
      </c>
      <c r="F607">
        <v>0</v>
      </c>
    </row>
    <row r="608" spans="2:6" ht="15.75" customHeight="1" x14ac:dyDescent="0.25">
      <c r="B608" t="str">
        <v>Bank of Cronos OHM</v>
      </c>
      <c r="C608" t="str">
        <v>Reserve Currency</v>
      </c>
      <c r="D608" t="str">
        <v>BOC</v>
      </c>
      <c r="E608">
        <v>0</v>
      </c>
      <c r="F608">
        <v>0</v>
      </c>
    </row>
    <row r="609" spans="2:6" ht="15.75" customHeight="1" x14ac:dyDescent="0.25">
      <c r="B609" t="str">
        <v>Bankless</v>
      </c>
      <c r="C609" t="str">
        <v>Services</v>
      </c>
      <c r="D609" t="str">
        <v>BANK</v>
      </c>
      <c r="E609">
        <v>0</v>
      </c>
      <c r="F609">
        <v>246129.48146771302</v>
      </c>
    </row>
    <row r="610" spans="2:6" ht="15.75" customHeight="1" x14ac:dyDescent="0.25">
      <c r="B610" t="str">
        <v>Banksy Farm</v>
      </c>
      <c r="C610" t="str">
        <v>Yield</v>
      </c>
      <c r="D610" t="str">
        <v>BANKSY</v>
      </c>
      <c r="E610">
        <v>9422.2787553989601</v>
      </c>
      <c r="F610">
        <v>0</v>
      </c>
    </row>
    <row r="611" spans="2:6" ht="15.75" customHeight="1" x14ac:dyDescent="0.25">
      <c r="B611" t="str">
        <v>Banx</v>
      </c>
      <c r="C611" t="str">
        <v>NFT Lending</v>
      </c>
      <c r="D611" t="str">
        <v>BANX</v>
      </c>
      <c r="E611">
        <v>50320.219058836141</v>
      </c>
      <c r="F611">
        <v>80737.795728185782</v>
      </c>
    </row>
    <row r="612" spans="2:6" ht="15.75" customHeight="1" x14ac:dyDescent="0.25">
      <c r="B612" t="str">
        <v>BAO Ballast</v>
      </c>
      <c r="C612" t="str">
        <v>CDP</v>
      </c>
      <c r="D612" t="str">
        <v>-</v>
      </c>
      <c r="E612">
        <v>14432.786881821597</v>
      </c>
      <c r="F612">
        <v>0</v>
      </c>
    </row>
    <row r="613" spans="2:6" ht="15.75" customHeight="1" x14ac:dyDescent="0.25">
      <c r="B613" t="str">
        <v>BAO Baskets</v>
      </c>
      <c r="C613" t="str">
        <v>Leveraged Farming</v>
      </c>
      <c r="D613" t="str">
        <v>-</v>
      </c>
      <c r="E613">
        <v>1283.2007318127319</v>
      </c>
      <c r="F613">
        <v>0</v>
      </c>
    </row>
    <row r="614" spans="2:6" ht="15.75" customHeight="1" x14ac:dyDescent="0.25">
      <c r="B614" t="str">
        <v>BAO Markets</v>
      </c>
      <c r="C614" t="str">
        <v>Lending</v>
      </c>
      <c r="D614" t="str">
        <v>-</v>
      </c>
      <c r="E614">
        <v>6539.7117287467463</v>
      </c>
      <c r="F614">
        <v>0</v>
      </c>
    </row>
    <row r="615" spans="2:6" ht="15.75" customHeight="1" x14ac:dyDescent="0.25">
      <c r="B615" t="str">
        <v>Bao Masterchef V1</v>
      </c>
      <c r="C615" t="str">
        <v>Farm</v>
      </c>
      <c r="D615" t="str">
        <v>BAO</v>
      </c>
      <c r="E615">
        <v>2018667.6745070096</v>
      </c>
      <c r="F615">
        <v>26516.546997808717</v>
      </c>
    </row>
    <row r="616" spans="2:6" ht="15.75" customHeight="1" x14ac:dyDescent="0.25">
      <c r="B616" t="str">
        <v>BAO Swap</v>
      </c>
      <c r="C616" t="str">
        <v>Dexs</v>
      </c>
      <c r="D616" t="str">
        <v>-</v>
      </c>
      <c r="E616">
        <v>54983.362713497983</v>
      </c>
      <c r="F616">
        <v>0</v>
      </c>
    </row>
    <row r="617" spans="2:6" ht="15.75" customHeight="1" x14ac:dyDescent="0.25">
      <c r="B617" t="str">
        <v>BaptSwap V1</v>
      </c>
      <c r="C617" t="str">
        <v>Dexs</v>
      </c>
      <c r="D617" t="str">
        <v>-</v>
      </c>
      <c r="E617">
        <v>313.55784214226378</v>
      </c>
      <c r="F617">
        <v>0</v>
      </c>
    </row>
    <row r="618" spans="2:6" ht="15.75" customHeight="1" x14ac:dyDescent="0.25">
      <c r="B618" t="str">
        <v>BaptSwap V2</v>
      </c>
      <c r="C618" t="str">
        <v>Dexs</v>
      </c>
      <c r="D618" t="str">
        <v>-</v>
      </c>
      <c r="E618">
        <v>50.320843852533997</v>
      </c>
      <c r="F618">
        <v>0</v>
      </c>
    </row>
    <row r="619" spans="2:6" ht="15.75" customHeight="1" x14ac:dyDescent="0.25">
      <c r="B619" t="str">
        <v>BaptSwap V2.1</v>
      </c>
      <c r="C619" t="str">
        <v>Dexs</v>
      </c>
      <c r="D619" t="str">
        <v>-</v>
      </c>
      <c r="E619">
        <v>9909.5164198053444</v>
      </c>
      <c r="F619">
        <v>0</v>
      </c>
    </row>
    <row r="620" spans="2:6" ht="15.75" customHeight="1" x14ac:dyDescent="0.25">
      <c r="B620" t="str">
        <v>BarnBridge</v>
      </c>
      <c r="C620" t="str">
        <v>Yield Aggregator</v>
      </c>
      <c r="D620" t="str">
        <v>BOND</v>
      </c>
      <c r="E620">
        <v>94805.961789003632</v>
      </c>
      <c r="F620">
        <v>1132656.7546475735</v>
      </c>
    </row>
    <row r="621" spans="2:6" ht="15.75" customHeight="1" x14ac:dyDescent="0.25">
      <c r="B621" t="str">
        <v>BarnSwap</v>
      </c>
      <c r="C621" t="str">
        <v>Dexs</v>
      </c>
      <c r="D621" t="str">
        <v>-</v>
      </c>
      <c r="E621">
        <v>0</v>
      </c>
      <c r="F621">
        <v>0</v>
      </c>
    </row>
    <row r="622" spans="2:6" ht="15.75" customHeight="1" x14ac:dyDescent="0.25">
      <c r="B622" t="str">
        <v>Baryon Network</v>
      </c>
      <c r="C622" t="str">
        <v>Dexs</v>
      </c>
      <c r="D622" t="str">
        <v>-</v>
      </c>
      <c r="E622">
        <v>83218.400638385545</v>
      </c>
      <c r="F622">
        <v>0</v>
      </c>
    </row>
    <row r="623" spans="2:6" ht="15.75" customHeight="1" x14ac:dyDescent="0.25">
      <c r="B623" t="str">
        <v>BAS3D</v>
      </c>
      <c r="C623" t="str">
        <v>Yield Aggregator</v>
      </c>
      <c r="D623" t="str">
        <v>BAS3D</v>
      </c>
      <c r="E623">
        <v>794.85685939652762</v>
      </c>
      <c r="F623">
        <v>0</v>
      </c>
    </row>
    <row r="624" spans="2:6" ht="15.75" customHeight="1" x14ac:dyDescent="0.25">
      <c r="B624" t="str">
        <v>Base App</v>
      </c>
      <c r="C624" t="str">
        <v>Wallets</v>
      </c>
      <c r="D624" t="str">
        <v>-</v>
      </c>
      <c r="E624">
        <v>0</v>
      </c>
      <c r="F624">
        <v>0</v>
      </c>
    </row>
    <row r="625" spans="2:6" ht="15.75" customHeight="1" x14ac:dyDescent="0.25">
      <c r="B625" t="str">
        <v>Base Bridge</v>
      </c>
      <c r="C625" t="str">
        <v>Canonical Bridge</v>
      </c>
      <c r="D625" t="str">
        <v>-</v>
      </c>
      <c r="E625">
        <v>3482748923.6968141</v>
      </c>
      <c r="F625">
        <v>0</v>
      </c>
    </row>
    <row r="626" spans="2:6" ht="15.75" customHeight="1" x14ac:dyDescent="0.25">
      <c r="B626" t="str">
        <v>Base Protocol</v>
      </c>
      <c r="C626" t="str">
        <v>Indexes</v>
      </c>
      <c r="D626" t="str">
        <v>BASE</v>
      </c>
      <c r="E626">
        <v>0</v>
      </c>
      <c r="F626">
        <v>34897.198946914126</v>
      </c>
    </row>
    <row r="627" spans="2:6" ht="15.75" customHeight="1" x14ac:dyDescent="0.25">
      <c r="B627" t="str">
        <v>Base3D</v>
      </c>
      <c r="C627" t="str">
        <v>Dexs</v>
      </c>
      <c r="D627" t="str">
        <v>B3D</v>
      </c>
      <c r="E627">
        <v>3.0214575938498585</v>
      </c>
      <c r="F627">
        <v>0</v>
      </c>
    </row>
    <row r="628" spans="2:6" ht="15.75" customHeight="1" x14ac:dyDescent="0.25">
      <c r="B628" t="str">
        <v>Basecamp</v>
      </c>
      <c r="C628" t="str">
        <v>Launchpad</v>
      </c>
      <c r="D628" t="str">
        <v>-</v>
      </c>
      <c r="E628">
        <v>0</v>
      </c>
      <c r="F628">
        <v>0</v>
      </c>
    </row>
    <row r="629" spans="2:6" ht="15.75" customHeight="1" x14ac:dyDescent="0.25">
      <c r="B629" t="str">
        <v>based AI</v>
      </c>
      <c r="C629" t="str">
        <v>Farm</v>
      </c>
      <c r="D629" t="str">
        <v>BASEDAI</v>
      </c>
      <c r="E629">
        <v>0</v>
      </c>
      <c r="F629">
        <v>2596041.8165381583</v>
      </c>
    </row>
    <row r="630" spans="2:6" ht="15.75" customHeight="1" x14ac:dyDescent="0.25">
      <c r="B630" t="str">
        <v>Based Farm</v>
      </c>
      <c r="C630" t="str">
        <v>Algo-Stables</v>
      </c>
      <c r="D630" t="str">
        <v>BASED</v>
      </c>
      <c r="E630">
        <v>2066.6766664449488</v>
      </c>
      <c r="F630">
        <v>0</v>
      </c>
    </row>
    <row r="631" spans="2:6" ht="15.75" customHeight="1" x14ac:dyDescent="0.25">
      <c r="B631" t="str">
        <v>Based Next Generation</v>
      </c>
      <c r="C631" t="str">
        <v>Yield</v>
      </c>
      <c r="D631" t="str">
        <v>-</v>
      </c>
      <c r="E631">
        <v>0</v>
      </c>
      <c r="F631">
        <v>0</v>
      </c>
    </row>
    <row r="632" spans="2:6" ht="15.75" customHeight="1" x14ac:dyDescent="0.25">
      <c r="B632" t="str">
        <v>Based Predict</v>
      </c>
      <c r="C632" t="str">
        <v>Interface</v>
      </c>
      <c r="D632" t="str">
        <v>-</v>
      </c>
      <c r="E632">
        <v>0</v>
      </c>
      <c r="F632">
        <v>0</v>
      </c>
    </row>
    <row r="633" spans="2:6" ht="15.75" customHeight="1" x14ac:dyDescent="0.25">
      <c r="B633" t="str">
        <v>Based V1</v>
      </c>
      <c r="C633" t="str">
        <v>Algo-Stables</v>
      </c>
      <c r="D633" t="str">
        <v>BASED</v>
      </c>
      <c r="E633">
        <v>392.47425580130709</v>
      </c>
      <c r="F633">
        <v>0</v>
      </c>
    </row>
    <row r="634" spans="2:6" ht="15.75" customHeight="1" x14ac:dyDescent="0.25">
      <c r="B634" t="str">
        <v>BasedApp</v>
      </c>
      <c r="C634" t="str">
        <v>Interface</v>
      </c>
      <c r="D634" t="str">
        <v>-</v>
      </c>
      <c r="E634">
        <v>0</v>
      </c>
      <c r="F634">
        <v>0</v>
      </c>
    </row>
    <row r="635" spans="2:6" ht="15.75" customHeight="1" x14ac:dyDescent="0.25">
      <c r="B635" t="str">
        <v>basedmarkets</v>
      </c>
      <c r="C635" t="str">
        <v>Derivatives</v>
      </c>
      <c r="D635" t="str">
        <v>BASED</v>
      </c>
      <c r="E635">
        <v>0</v>
      </c>
      <c r="F635">
        <v>0</v>
      </c>
    </row>
    <row r="636" spans="2:6" ht="15.75" customHeight="1" x14ac:dyDescent="0.25">
      <c r="B636" t="str">
        <v>BaseFinance</v>
      </c>
      <c r="C636" t="str">
        <v>Dexs</v>
      </c>
      <c r="D636" t="str">
        <v>-</v>
      </c>
      <c r="E636">
        <v>377.29308243832497</v>
      </c>
      <c r="F636">
        <v>0</v>
      </c>
    </row>
    <row r="637" spans="2:6" ht="15.75" customHeight="1" x14ac:dyDescent="0.25">
      <c r="B637" t="str">
        <v>Baseline Protocol</v>
      </c>
      <c r="C637" t="str">
        <v>Liquidity manager</v>
      </c>
      <c r="D637" t="str">
        <v>YES</v>
      </c>
      <c r="E637">
        <v>1686106.388326545</v>
      </c>
      <c r="F637">
        <v>0</v>
      </c>
    </row>
    <row r="638" spans="2:6" ht="15.75" customHeight="1" x14ac:dyDescent="0.25">
      <c r="B638" t="str">
        <v>Basemax</v>
      </c>
      <c r="C638" t="str">
        <v>Derivatives</v>
      </c>
      <c r="D638" t="str">
        <v>BSM</v>
      </c>
      <c r="E638">
        <v>0</v>
      </c>
      <c r="F638">
        <v>0</v>
      </c>
    </row>
    <row r="639" spans="2:6" ht="15.75" customHeight="1" x14ac:dyDescent="0.25">
      <c r="B639" t="str">
        <v>BasePaint</v>
      </c>
      <c r="C639" t="str">
        <v>Services</v>
      </c>
      <c r="D639" t="str">
        <v>-</v>
      </c>
      <c r="E639">
        <v>0</v>
      </c>
      <c r="F639">
        <v>0</v>
      </c>
    </row>
    <row r="640" spans="2:6" ht="15.75" customHeight="1" x14ac:dyDescent="0.25">
      <c r="B640" t="str">
        <v>BaseSwap V2</v>
      </c>
      <c r="C640" t="str">
        <v>Dexs</v>
      </c>
      <c r="D640" t="str">
        <v>BSWAP</v>
      </c>
      <c r="E640">
        <v>1179011.9244818434</v>
      </c>
      <c r="F640">
        <v>87642.564700274786</v>
      </c>
    </row>
    <row r="641" spans="2:6" ht="15.75" customHeight="1" x14ac:dyDescent="0.25">
      <c r="B641" t="str">
        <v>Basetasm Finance</v>
      </c>
      <c r="C641" t="str">
        <v>Algo-Stables</v>
      </c>
      <c r="D641" t="str">
        <v>-</v>
      </c>
      <c r="E641">
        <v>0</v>
      </c>
      <c r="F641">
        <v>0</v>
      </c>
    </row>
    <row r="642" spans="2:6" ht="15.75" customHeight="1" x14ac:dyDescent="0.25">
      <c r="B642" t="str">
        <v>Basetrade</v>
      </c>
      <c r="C642" t="str">
        <v>Derivatives</v>
      </c>
      <c r="D642" t="str">
        <v>BTD</v>
      </c>
      <c r="E642">
        <v>0</v>
      </c>
      <c r="F642">
        <v>0</v>
      </c>
    </row>
    <row r="643" spans="2:6" ht="15.75" customHeight="1" x14ac:dyDescent="0.25">
      <c r="B643" t="str">
        <v>BaseX</v>
      </c>
      <c r="C643" t="str">
        <v>Dexs</v>
      </c>
      <c r="D643" t="str">
        <v>BSWAP</v>
      </c>
      <c r="E643">
        <v>136284.49225795176</v>
      </c>
      <c r="F643">
        <v>0</v>
      </c>
    </row>
    <row r="644" spans="2:6" ht="15.75" customHeight="1" x14ac:dyDescent="0.25">
      <c r="B644" t="str">
        <v>BaseX Finance</v>
      </c>
      <c r="C644" t="str">
        <v>Dexs</v>
      </c>
      <c r="D644" t="str">
        <v>-</v>
      </c>
      <c r="E644">
        <v>2234.5980770839055</v>
      </c>
      <c r="F644">
        <v>0</v>
      </c>
    </row>
    <row r="645" spans="2:6" ht="15.75" customHeight="1" x14ac:dyDescent="0.25">
      <c r="B645" t="str">
        <v>BaseYield</v>
      </c>
      <c r="C645" t="str">
        <v>Yield Aggregator</v>
      </c>
      <c r="D645" t="str">
        <v>BAY</v>
      </c>
      <c r="E645">
        <v>126.19116196167126</v>
      </c>
      <c r="F645">
        <v>0</v>
      </c>
    </row>
    <row r="646" spans="2:6" ht="15.75" customHeight="1" x14ac:dyDescent="0.25">
      <c r="B646" t="str">
        <v>Basic</v>
      </c>
      <c r="C646" t="str">
        <v>Lending</v>
      </c>
      <c r="D646" t="str">
        <v>-</v>
      </c>
      <c r="E646">
        <v>182921.49640304831</v>
      </c>
      <c r="F646">
        <v>0</v>
      </c>
    </row>
    <row r="647" spans="2:6" ht="15.75" customHeight="1" x14ac:dyDescent="0.25">
      <c r="B647" t="str">
        <v>Basic Attention</v>
      </c>
      <c r="C647" t="str">
        <v>Services</v>
      </c>
      <c r="D647" t="str">
        <v>BAT</v>
      </c>
      <c r="E647">
        <v>0</v>
      </c>
      <c r="F647">
        <v>312304014.41260684</v>
      </c>
    </row>
    <row r="648" spans="2:6" ht="15.75" customHeight="1" x14ac:dyDescent="0.25">
      <c r="B648" t="str">
        <v>Basilisk</v>
      </c>
      <c r="C648" t="str">
        <v>Lending</v>
      </c>
      <c r="D648" t="str">
        <v>BLSK</v>
      </c>
      <c r="E648">
        <v>164560.77331773756</v>
      </c>
      <c r="F648">
        <v>0</v>
      </c>
    </row>
    <row r="649" spans="2:6" ht="15.75" customHeight="1" x14ac:dyDescent="0.25">
      <c r="B649" t="str">
        <v>Basin DAO</v>
      </c>
      <c r="C649" t="str">
        <v>CDP</v>
      </c>
      <c r="D649" t="str">
        <v>BASIN</v>
      </c>
      <c r="E649">
        <v>355.99157522053076</v>
      </c>
      <c r="F649">
        <v>0</v>
      </c>
    </row>
    <row r="650" spans="2:6" ht="15.75" customHeight="1" x14ac:dyDescent="0.25">
      <c r="B650" t="str">
        <v>Basin Exchange</v>
      </c>
      <c r="C650" t="str">
        <v>Dexs</v>
      </c>
      <c r="D650" t="str">
        <v>-</v>
      </c>
      <c r="E650">
        <v>9799688.7626694627</v>
      </c>
      <c r="F650">
        <v>0</v>
      </c>
    </row>
    <row r="651" spans="2:6" ht="15.75" customHeight="1" x14ac:dyDescent="0.25">
      <c r="B651" t="str">
        <v>Basis Cash</v>
      </c>
      <c r="C651" t="str">
        <v>Algo-Stables</v>
      </c>
      <c r="D651" t="str">
        <v>BAC</v>
      </c>
      <c r="E651">
        <v>269103.74083507183</v>
      </c>
      <c r="F651">
        <v>98407.903326460422</v>
      </c>
    </row>
    <row r="652" spans="2:6" ht="15.75" customHeight="1" x14ac:dyDescent="0.25">
      <c r="B652" t="str">
        <v>Basis Markets</v>
      </c>
      <c r="C652" t="str">
        <v>Dexs</v>
      </c>
      <c r="D652" t="str">
        <v>BASIS</v>
      </c>
      <c r="E652">
        <v>0</v>
      </c>
      <c r="F652">
        <v>0</v>
      </c>
    </row>
    <row r="653" spans="2:6" ht="15.75" customHeight="1" x14ac:dyDescent="0.25">
      <c r="B653" t="str">
        <v>BasisOS</v>
      </c>
      <c r="C653" t="str">
        <v>Basis Trading</v>
      </c>
      <c r="D653" t="str">
        <v>BIOS</v>
      </c>
      <c r="E653">
        <v>64270.252566450938</v>
      </c>
      <c r="F653">
        <v>707223.34918551357</v>
      </c>
    </row>
    <row r="654" spans="2:6" ht="15.75" customHeight="1" x14ac:dyDescent="0.25">
      <c r="B654" t="str">
        <v>BasketDAO</v>
      </c>
      <c r="C654" t="str">
        <v>Indexes</v>
      </c>
      <c r="D654" t="str">
        <v>BASK</v>
      </c>
      <c r="E654">
        <v>156725.66750624249</v>
      </c>
      <c r="F654">
        <v>36938.087356737473</v>
      </c>
    </row>
    <row r="655" spans="2:6" ht="15.75" customHeight="1" x14ac:dyDescent="0.25">
      <c r="B655" t="str">
        <v>Baso Finance</v>
      </c>
      <c r="C655" t="str">
        <v>Dexs</v>
      </c>
      <c r="D655" t="str">
        <v>BASO</v>
      </c>
      <c r="E655">
        <v>9393.6819217334942</v>
      </c>
      <c r="F655">
        <v>0</v>
      </c>
    </row>
    <row r="656" spans="2:6" ht="15.75" customHeight="1" x14ac:dyDescent="0.25">
      <c r="B656" t="str">
        <v>Bass Exchange</v>
      </c>
      <c r="C656" t="str">
        <v>Dexs</v>
      </c>
      <c r="D656" t="str">
        <v>BASS</v>
      </c>
      <c r="E656">
        <v>245251.51653191366</v>
      </c>
      <c r="F656">
        <v>0</v>
      </c>
    </row>
    <row r="657" spans="2:6" ht="15.75" customHeight="1" x14ac:dyDescent="0.25">
      <c r="B657" t="str">
        <v>BastilleDeLaBouje</v>
      </c>
      <c r="C657" t="str">
        <v>Yield</v>
      </c>
      <c r="D657" t="str">
        <v>BASTILLE</v>
      </c>
      <c r="E657">
        <v>46.853284404662361</v>
      </c>
      <c r="F657">
        <v>0</v>
      </c>
    </row>
    <row r="658" spans="2:6" ht="15.75" customHeight="1" x14ac:dyDescent="0.25">
      <c r="B658" t="str">
        <v>Bastion</v>
      </c>
      <c r="C658" t="str">
        <v>Lending</v>
      </c>
      <c r="D658" t="str">
        <v>BSTN</v>
      </c>
      <c r="E658">
        <v>684807.10093934927</v>
      </c>
      <c r="F658">
        <v>537297.30400482542</v>
      </c>
    </row>
    <row r="659" spans="2:6" ht="15.75" customHeight="1" x14ac:dyDescent="0.25">
      <c r="B659" t="str">
        <v>Baton</v>
      </c>
      <c r="C659" t="str">
        <v>Yield</v>
      </c>
      <c r="D659" t="str">
        <v>-</v>
      </c>
      <c r="E659">
        <v>0</v>
      </c>
      <c r="F659">
        <v>0</v>
      </c>
    </row>
    <row r="660" spans="2:6" ht="15.75" customHeight="1" x14ac:dyDescent="0.25">
      <c r="B660" t="str">
        <v>Baumz</v>
      </c>
      <c r="C660" t="str">
        <v>Interface</v>
      </c>
      <c r="D660" t="str">
        <v>-</v>
      </c>
      <c r="E660">
        <v>0</v>
      </c>
      <c r="F660">
        <v>0</v>
      </c>
    </row>
    <row r="661" spans="2:6" ht="15.75" customHeight="1" x14ac:dyDescent="0.25">
      <c r="B661" t="str">
        <v>BayMax</v>
      </c>
      <c r="C661" t="str">
        <v>Derivatives</v>
      </c>
      <c r="D661" t="str">
        <v>BAYMAX</v>
      </c>
      <c r="E661">
        <v>3.6426512508749904</v>
      </c>
      <c r="F661">
        <v>0</v>
      </c>
    </row>
    <row r="662" spans="2:6" ht="15.75" customHeight="1" x14ac:dyDescent="0.25">
      <c r="B662" t="str">
        <v>BaySwap</v>
      </c>
      <c r="C662" t="str">
        <v>Dexs</v>
      </c>
      <c r="D662" t="str">
        <v>BSWT</v>
      </c>
      <c r="E662">
        <v>15185.064637145591</v>
      </c>
      <c r="F662">
        <v>0</v>
      </c>
    </row>
    <row r="663" spans="2:6" ht="15.75" customHeight="1" x14ac:dyDescent="0.25">
      <c r="B663" t="str">
        <v>BBBFI</v>
      </c>
      <c r="C663" t="str">
        <v>Launchpad</v>
      </c>
      <c r="D663" t="str">
        <v>-</v>
      </c>
      <c r="E663">
        <v>1784080.8121986843</v>
      </c>
      <c r="F663">
        <v>0</v>
      </c>
    </row>
    <row r="664" spans="2:6" ht="15.75" customHeight="1" x14ac:dyDescent="0.25">
      <c r="B664" t="str">
        <v>BBQSwap</v>
      </c>
      <c r="C664" t="str">
        <v>Dexs</v>
      </c>
      <c r="D664" t="str">
        <v>BBQ</v>
      </c>
      <c r="E664">
        <v>2929.1674665482674</v>
      </c>
      <c r="F664">
        <v>0</v>
      </c>
    </row>
    <row r="665" spans="2:6" ht="15.75" customHeight="1" x14ac:dyDescent="0.25">
      <c r="B665" t="str">
        <v>BCHPad</v>
      </c>
      <c r="C665" t="str">
        <v>Launchpad</v>
      </c>
      <c r="D665" t="str">
        <v>BPAD</v>
      </c>
      <c r="E665">
        <v>0</v>
      </c>
      <c r="F665">
        <v>0</v>
      </c>
    </row>
    <row r="666" spans="2:6" ht="15.75" customHeight="1" x14ac:dyDescent="0.25">
      <c r="B666" t="str">
        <v>BCraft</v>
      </c>
      <c r="C666" t="str">
        <v>Gaming</v>
      </c>
      <c r="D666" t="str">
        <v>-</v>
      </c>
      <c r="E666">
        <v>240.83803416288794</v>
      </c>
      <c r="F666">
        <v>0</v>
      </c>
    </row>
    <row r="667" spans="2:6" ht="15.75" customHeight="1" x14ac:dyDescent="0.25">
      <c r="B667" t="str">
        <v>Beam Dex</v>
      </c>
      <c r="C667" t="str">
        <v>Dexs</v>
      </c>
      <c r="D667" t="str">
        <v>-</v>
      </c>
      <c r="E667">
        <v>1149.4910348860308</v>
      </c>
      <c r="F667">
        <v>0</v>
      </c>
    </row>
    <row r="668" spans="2:6" ht="15.75" customHeight="1" x14ac:dyDescent="0.25">
      <c r="B668" t="str">
        <v>Beam Swap</v>
      </c>
      <c r="C668" t="str">
        <v>Dexs</v>
      </c>
      <c r="D668" t="str">
        <v>-</v>
      </c>
      <c r="E668">
        <v>1459311.8994175936</v>
      </c>
      <c r="F668">
        <v>0</v>
      </c>
    </row>
    <row r="669" spans="2:6" ht="15.75" customHeight="1" x14ac:dyDescent="0.25">
      <c r="B669" t="str">
        <v>Beamable Network</v>
      </c>
      <c r="C669" t="str">
        <v>DePIN</v>
      </c>
      <c r="D669" t="str">
        <v>BMB</v>
      </c>
      <c r="E669">
        <v>0</v>
      </c>
      <c r="F669">
        <v>1726008.680633567</v>
      </c>
    </row>
    <row r="670" spans="2:6" ht="15.75" customHeight="1" x14ac:dyDescent="0.25">
      <c r="B670" t="str">
        <v>Beamer Bridge</v>
      </c>
      <c r="C670" t="str">
        <v>Bridge</v>
      </c>
      <c r="D670" t="str">
        <v>-</v>
      </c>
      <c r="E670">
        <v>0</v>
      </c>
      <c r="F670">
        <v>0</v>
      </c>
    </row>
    <row r="671" spans="2:6" ht="15.75" customHeight="1" x14ac:dyDescent="0.25">
      <c r="B671" t="str">
        <v>Beamex AMM</v>
      </c>
      <c r="C671" t="str">
        <v>Dexs</v>
      </c>
      <c r="D671" t="str">
        <v>GLINT</v>
      </c>
      <c r="E671">
        <v>0</v>
      </c>
      <c r="F671">
        <v>0</v>
      </c>
    </row>
    <row r="672" spans="2:6" ht="15.75" customHeight="1" x14ac:dyDescent="0.25">
      <c r="B672" t="str">
        <v>Beamex Perps</v>
      </c>
      <c r="C672" t="str">
        <v>Derivatives</v>
      </c>
      <c r="D672" t="str">
        <v>GLINT</v>
      </c>
      <c r="E672">
        <v>5138.758563492368</v>
      </c>
      <c r="F672">
        <v>0</v>
      </c>
    </row>
    <row r="673" spans="2:6" ht="15.75" customHeight="1" x14ac:dyDescent="0.25">
      <c r="B673" t="str">
        <v>BeamSwap Classic</v>
      </c>
      <c r="C673" t="str">
        <v>Dexs</v>
      </c>
      <c r="D673" t="str">
        <v>GLINT</v>
      </c>
      <c r="E673">
        <v>69661.864669134186</v>
      </c>
      <c r="F673">
        <v>57655.931789642018</v>
      </c>
    </row>
    <row r="674" spans="2:6" ht="15.75" customHeight="1" x14ac:dyDescent="0.25">
      <c r="B674" t="str">
        <v>BeamSwap Stable AMM</v>
      </c>
      <c r="C674" t="str">
        <v>Dexs</v>
      </c>
      <c r="D674" t="str">
        <v>GLINT</v>
      </c>
      <c r="E674">
        <v>261.53103966680112</v>
      </c>
      <c r="F674">
        <v>0</v>
      </c>
    </row>
    <row r="675" spans="2:6" ht="15.75" customHeight="1" x14ac:dyDescent="0.25">
      <c r="B675" t="str">
        <v>BeamSwap V3</v>
      </c>
      <c r="C675" t="str">
        <v>Dexs</v>
      </c>
      <c r="D675" t="str">
        <v>GLINT</v>
      </c>
      <c r="E675">
        <v>2640.1877948014258</v>
      </c>
      <c r="F675">
        <v>0</v>
      </c>
    </row>
    <row r="676" spans="2:6" ht="15.75" customHeight="1" x14ac:dyDescent="0.25">
      <c r="B676" t="str">
        <v>Bean Exchange</v>
      </c>
      <c r="C676" t="str">
        <v>Dexs</v>
      </c>
      <c r="D676" t="str">
        <v>-</v>
      </c>
      <c r="E676">
        <v>36229.678817244931</v>
      </c>
      <c r="F676">
        <v>0</v>
      </c>
    </row>
    <row r="677" spans="2:6" ht="15.75" customHeight="1" x14ac:dyDescent="0.25">
      <c r="B677" t="str">
        <v>Beanstalk</v>
      </c>
      <c r="C677" t="str">
        <v>Algo-Stables</v>
      </c>
      <c r="D677" t="str">
        <v>BEAN</v>
      </c>
      <c r="E677">
        <v>0</v>
      </c>
      <c r="F677">
        <v>0</v>
      </c>
    </row>
    <row r="678" spans="2:6" ht="15.75" customHeight="1" x14ac:dyDescent="0.25">
      <c r="B678" t="str">
        <v>Bear Finance</v>
      </c>
      <c r="C678" t="str">
        <v>Yield</v>
      </c>
      <c r="D678" t="str">
        <v>BEAR</v>
      </c>
      <c r="E678">
        <v>0</v>
      </c>
      <c r="F678">
        <v>0</v>
      </c>
    </row>
    <row r="679" spans="2:6" ht="15.75" customHeight="1" x14ac:dyDescent="0.25">
      <c r="B679" t="str">
        <v>Bear Vs Bull</v>
      </c>
      <c r="C679" t="str">
        <v>Prediction Market</v>
      </c>
      <c r="D679" t="str">
        <v>-</v>
      </c>
      <c r="E679">
        <v>0</v>
      </c>
      <c r="F679">
        <v>0</v>
      </c>
    </row>
    <row r="680" spans="2:6" ht="15.75" customHeight="1" x14ac:dyDescent="0.25">
      <c r="B680" t="str">
        <v>Bearn</v>
      </c>
      <c r="C680" t="str">
        <v>Yield Aggregator</v>
      </c>
      <c r="D680" t="str">
        <v>-</v>
      </c>
      <c r="E680">
        <v>73728.83695544381</v>
      </c>
      <c r="F680">
        <v>0</v>
      </c>
    </row>
    <row r="681" spans="2:6" ht="15.75" customHeight="1" x14ac:dyDescent="0.25">
      <c r="B681" t="str">
        <v>BearnFi</v>
      </c>
      <c r="C681" t="str">
        <v>Yield</v>
      </c>
      <c r="D681" t="str">
        <v>BFI</v>
      </c>
      <c r="E681">
        <v>607662.50227083196</v>
      </c>
      <c r="F681">
        <v>3792.1348911811006</v>
      </c>
    </row>
    <row r="682" spans="2:6" ht="15.75" customHeight="1" x14ac:dyDescent="0.25">
      <c r="B682" t="str">
        <v>Bebop</v>
      </c>
      <c r="C682" t="str">
        <v>DEX Aggregator</v>
      </c>
      <c r="D682" t="str">
        <v>-</v>
      </c>
      <c r="E682">
        <v>0</v>
      </c>
      <c r="F682">
        <v>0</v>
      </c>
    </row>
    <row r="683" spans="2:6" ht="15.75" customHeight="1" x14ac:dyDescent="0.25">
      <c r="B683" t="str">
        <v>BecoSwap</v>
      </c>
      <c r="C683" t="str">
        <v>Dexs</v>
      </c>
      <c r="D683" t="str">
        <v>BECO</v>
      </c>
      <c r="E683">
        <v>2433.0444884782919</v>
      </c>
      <c r="F683">
        <v>0</v>
      </c>
    </row>
    <row r="684" spans="2:6" ht="15.75" customHeight="1" x14ac:dyDescent="0.25">
      <c r="B684" t="str">
        <v>Bedrock uniBTC</v>
      </c>
      <c r="C684" t="str">
        <v>Anchor BTC</v>
      </c>
      <c r="D684" t="str">
        <v>-</v>
      </c>
      <c r="E684">
        <v>421559590.73955142</v>
      </c>
      <c r="F684">
        <v>0</v>
      </c>
    </row>
    <row r="685" spans="2:6" ht="15.75" customHeight="1" x14ac:dyDescent="0.25">
      <c r="B685" t="str">
        <v>Bedrock uniETH</v>
      </c>
      <c r="C685" t="str">
        <v>Liquid Restaking</v>
      </c>
      <c r="D685" t="str">
        <v>-</v>
      </c>
      <c r="E685">
        <v>35543172.95370619</v>
      </c>
      <c r="F685">
        <v>0</v>
      </c>
    </row>
    <row r="686" spans="2:6" ht="15.75" customHeight="1" x14ac:dyDescent="0.25">
      <c r="B686" t="str">
        <v>Bedrock uniIOTX</v>
      </c>
      <c r="C686" t="str">
        <v>Liquid Staking</v>
      </c>
      <c r="D686" t="str">
        <v>-</v>
      </c>
      <c r="E686">
        <v>3469365.3140603723</v>
      </c>
      <c r="F686">
        <v>0</v>
      </c>
    </row>
    <row r="687" spans="2:6" ht="15.75" customHeight="1" x14ac:dyDescent="0.25">
      <c r="B687" t="str">
        <v>BeeBase</v>
      </c>
      <c r="C687" t="str">
        <v>Ponzi</v>
      </c>
      <c r="D687" t="str">
        <v>BEE</v>
      </c>
      <c r="E687">
        <v>0</v>
      </c>
      <c r="F687">
        <v>0</v>
      </c>
    </row>
    <row r="688" spans="2:6" ht="15.75" customHeight="1" x14ac:dyDescent="0.25">
      <c r="B688" t="str">
        <v>BeefStake</v>
      </c>
      <c r="C688" t="str">
        <v>Yield</v>
      </c>
      <c r="D688" t="str">
        <v>-</v>
      </c>
      <c r="E688">
        <v>10059.582075721108</v>
      </c>
      <c r="F688">
        <v>0</v>
      </c>
    </row>
    <row r="689" spans="2:6" ht="15.75" customHeight="1" x14ac:dyDescent="0.25">
      <c r="B689" t="str">
        <v>Beefy</v>
      </c>
      <c r="C689" t="str">
        <v>Yield Aggregator</v>
      </c>
      <c r="D689" t="str">
        <v>BIFI</v>
      </c>
      <c r="E689">
        <v>219784034.51406249</v>
      </c>
      <c r="F689">
        <v>9534602.7688195128</v>
      </c>
    </row>
    <row r="690" spans="2:6" ht="15.75" customHeight="1" x14ac:dyDescent="0.25">
      <c r="B690" t="str">
        <v>Beekava</v>
      </c>
      <c r="C690" t="str">
        <v>Yield</v>
      </c>
      <c r="D690" t="str">
        <v>-</v>
      </c>
      <c r="E690">
        <v>0.27060831515889461</v>
      </c>
      <c r="F690">
        <v>0</v>
      </c>
    </row>
    <row r="691" spans="2:6" ht="15.75" customHeight="1" x14ac:dyDescent="0.25">
      <c r="B691" t="str">
        <v>Beetroot Finance</v>
      </c>
      <c r="C691" t="str">
        <v>Yield Aggregator</v>
      </c>
      <c r="D691" t="str">
        <v>ROOT</v>
      </c>
      <c r="E691">
        <v>1473.0405968688387</v>
      </c>
      <c r="F691">
        <v>0</v>
      </c>
    </row>
    <row r="692" spans="2:6" ht="15.75" customHeight="1" x14ac:dyDescent="0.25">
      <c r="B692" t="str">
        <v>Beets DEX</v>
      </c>
      <c r="C692" t="str">
        <v>Dexs</v>
      </c>
      <c r="D692" t="str">
        <v>BEETS</v>
      </c>
      <c r="E692">
        <v>2627042.9668121743</v>
      </c>
      <c r="F692">
        <v>0</v>
      </c>
    </row>
    <row r="693" spans="2:6" ht="15.75" customHeight="1" x14ac:dyDescent="0.25">
      <c r="B693" t="str">
        <v>Beets DEX V3</v>
      </c>
      <c r="C693" t="str">
        <v>Dexs</v>
      </c>
      <c r="D693" t="str">
        <v>BEETS</v>
      </c>
      <c r="E693">
        <v>3284116.7029960514</v>
      </c>
      <c r="F693">
        <v>0</v>
      </c>
    </row>
    <row r="694" spans="2:6" ht="15.75" customHeight="1" x14ac:dyDescent="0.25">
      <c r="B694" t="str">
        <v>Beets LST</v>
      </c>
      <c r="C694" t="str">
        <v>Liquid Staking</v>
      </c>
      <c r="D694" t="str">
        <v>BEETS</v>
      </c>
      <c r="E694">
        <v>14044984.828268256</v>
      </c>
      <c r="F694">
        <v>0</v>
      </c>
    </row>
    <row r="695" spans="2:6" ht="15.75" customHeight="1" x14ac:dyDescent="0.25">
      <c r="B695" t="str">
        <v>Beezie</v>
      </c>
      <c r="C695" t="str">
        <v>Physical TCG</v>
      </c>
      <c r="D695" t="str">
        <v>-</v>
      </c>
      <c r="E695">
        <v>0</v>
      </c>
      <c r="F695">
        <v>0</v>
      </c>
    </row>
    <row r="696" spans="2:6" ht="15.75" customHeight="1" x14ac:dyDescent="0.25">
      <c r="B696" t="str">
        <v>BeFi Perps</v>
      </c>
      <c r="C696" t="str">
        <v>Interface</v>
      </c>
      <c r="D696" t="str">
        <v>BEFI</v>
      </c>
      <c r="E696">
        <v>0</v>
      </c>
      <c r="F696">
        <v>0</v>
      </c>
    </row>
    <row r="697" spans="2:6" ht="15.75" customHeight="1" x14ac:dyDescent="0.25">
      <c r="B697" t="str">
        <v>BeGlobal Finance</v>
      </c>
      <c r="C697" t="str">
        <v>Dexs</v>
      </c>
      <c r="D697" t="str">
        <v>GLB</v>
      </c>
      <c r="E697">
        <v>21604.308389739737</v>
      </c>
      <c r="F697">
        <v>0</v>
      </c>
    </row>
    <row r="698" spans="2:6" ht="15.75" customHeight="1" x14ac:dyDescent="0.25">
      <c r="B698" t="str">
        <v>Behodler</v>
      </c>
      <c r="C698" t="str">
        <v>Dexs</v>
      </c>
      <c r="D698" t="str">
        <v>EYE</v>
      </c>
      <c r="E698">
        <v>2415.0521766730544</v>
      </c>
      <c r="F698">
        <v>111750.01927263111</v>
      </c>
    </row>
    <row r="699" spans="2:6" ht="15.75" customHeight="1" x14ac:dyDescent="0.25">
      <c r="B699" t="str">
        <v>Belief Market</v>
      </c>
      <c r="C699" t="str">
        <v>Prediction Market</v>
      </c>
      <c r="D699" t="str">
        <v>-</v>
      </c>
      <c r="E699">
        <v>33.243157440456862</v>
      </c>
      <c r="F699">
        <v>0</v>
      </c>
    </row>
    <row r="700" spans="2:6" ht="15.75" customHeight="1" x14ac:dyDescent="0.25">
      <c r="B700" t="str">
        <v>Bella Protocol</v>
      </c>
      <c r="C700" t="str">
        <v>Yield</v>
      </c>
      <c r="D700" t="str">
        <v>BEL</v>
      </c>
      <c r="E700">
        <v>108249.58351410802</v>
      </c>
      <c r="F700">
        <v>11243854.80155896</v>
      </c>
    </row>
    <row r="701" spans="2:6" ht="15.75" customHeight="1" x14ac:dyDescent="0.25">
      <c r="B701" t="str">
        <v>Bellum Exchange</v>
      </c>
      <c r="C701" t="str">
        <v>Launchpad</v>
      </c>
      <c r="D701" t="str">
        <v>-</v>
      </c>
      <c r="E701">
        <v>0</v>
      </c>
      <c r="F701">
        <v>0</v>
      </c>
    </row>
    <row r="702" spans="2:6" ht="15.75" customHeight="1" x14ac:dyDescent="0.25">
      <c r="B702" t="str">
        <v>Belt Finance</v>
      </c>
      <c r="C702" t="str">
        <v>Yield</v>
      </c>
      <c r="D702" t="str">
        <v>BELT</v>
      </c>
      <c r="E702">
        <v>15629345.203830311</v>
      </c>
      <c r="F702">
        <v>1008584.0357168748</v>
      </c>
    </row>
    <row r="703" spans="2:6" ht="15.75" customHeight="1" x14ac:dyDescent="0.25">
      <c r="B703" t="str">
        <v>Beluga</v>
      </c>
      <c r="C703" t="str">
        <v>Yield</v>
      </c>
      <c r="D703" t="str">
        <v>BELUGA</v>
      </c>
      <c r="E703">
        <v>0</v>
      </c>
      <c r="F703">
        <v>0</v>
      </c>
    </row>
    <row r="704" spans="2:6" ht="15.75" customHeight="1" x14ac:dyDescent="0.25">
      <c r="B704" t="str">
        <v>Beluga Dex</v>
      </c>
      <c r="C704" t="str">
        <v>Dexs</v>
      </c>
      <c r="D704" t="str">
        <v>BELA</v>
      </c>
      <c r="E704">
        <v>0</v>
      </c>
      <c r="F704">
        <v>0</v>
      </c>
    </row>
    <row r="705" spans="2:6" ht="15.75" customHeight="1" x14ac:dyDescent="0.25">
      <c r="B705" t="str">
        <v>Beluga Protocol</v>
      </c>
      <c r="C705" t="str">
        <v>Dexs</v>
      </c>
      <c r="D705" t="str">
        <v>Beluga</v>
      </c>
      <c r="E705">
        <v>302.38681465543999</v>
      </c>
      <c r="F705">
        <v>0</v>
      </c>
    </row>
    <row r="706" spans="2:6" ht="15.75" customHeight="1" x14ac:dyDescent="0.25">
      <c r="B706" t="str">
        <v>bemo V1</v>
      </c>
      <c r="C706" t="str">
        <v>Liquid Staking</v>
      </c>
      <c r="D706" t="str">
        <v>-</v>
      </c>
      <c r="E706">
        <v>4629961.6111093126</v>
      </c>
      <c r="F706">
        <v>0</v>
      </c>
    </row>
    <row r="707" spans="2:6" ht="15.75" customHeight="1" x14ac:dyDescent="0.25">
      <c r="B707" t="str">
        <v>bemo V2</v>
      </c>
      <c r="C707" t="str">
        <v>Liquid Staking</v>
      </c>
      <c r="D707" t="str">
        <v>-</v>
      </c>
      <c r="E707">
        <v>762270.03359210806</v>
      </c>
      <c r="F707">
        <v>0</v>
      </c>
    </row>
    <row r="708" spans="2:6" ht="15.75" customHeight="1" x14ac:dyDescent="0.25">
      <c r="B708" t="str">
        <v>BencuFi</v>
      </c>
      <c r="C708" t="str">
        <v>Lending</v>
      </c>
      <c r="D708" t="str">
        <v>-</v>
      </c>
      <c r="E708">
        <v>2975.0336883915179</v>
      </c>
      <c r="F708">
        <v>0</v>
      </c>
    </row>
    <row r="709" spans="2:6" ht="15.75" customHeight="1" x14ac:dyDescent="0.25">
      <c r="B709" t="str">
        <v>BEND</v>
      </c>
      <c r="C709" t="str">
        <v>Lending</v>
      </c>
      <c r="D709" t="str">
        <v>-</v>
      </c>
      <c r="E709">
        <v>14346510.927660823</v>
      </c>
      <c r="F709">
        <v>0</v>
      </c>
    </row>
    <row r="710" spans="2:6" ht="15.75" customHeight="1" x14ac:dyDescent="0.25">
      <c r="B710" t="str">
        <v>BendDAO APE Staking</v>
      </c>
      <c r="C710" t="str">
        <v>Yield</v>
      </c>
      <c r="D710" t="str">
        <v>BEND</v>
      </c>
      <c r="E710">
        <v>1419600.7295511449</v>
      </c>
      <c r="F710">
        <v>0</v>
      </c>
    </row>
    <row r="711" spans="2:6" ht="15.75" customHeight="1" x14ac:dyDescent="0.25">
      <c r="B711" t="str">
        <v>BendDAO Lending</v>
      </c>
      <c r="C711" t="str">
        <v>NFT Lending</v>
      </c>
      <c r="D711" t="str">
        <v>BEND</v>
      </c>
      <c r="E711">
        <v>149293.76278615996</v>
      </c>
      <c r="F711">
        <v>0</v>
      </c>
    </row>
    <row r="712" spans="2:6" ht="15.75" customHeight="1" x14ac:dyDescent="0.25">
      <c r="B712" t="str">
        <v>Benqi Lending</v>
      </c>
      <c r="C712" t="str">
        <v>Lending</v>
      </c>
      <c r="D712" t="str">
        <v>QI</v>
      </c>
      <c r="E712">
        <v>227422910.70434383</v>
      </c>
      <c r="F712">
        <v>24297798.400494091</v>
      </c>
    </row>
    <row r="713" spans="2:6" ht="15.75" customHeight="1" x14ac:dyDescent="0.25">
      <c r="B713" t="str">
        <v>Benqi Staked Avax</v>
      </c>
      <c r="C713" t="str">
        <v>Liquid Staking</v>
      </c>
      <c r="D713" t="str">
        <v>QI</v>
      </c>
      <c r="E713">
        <v>338703247.67708552</v>
      </c>
      <c r="F713">
        <v>0</v>
      </c>
    </row>
    <row r="714" spans="2:6" ht="15.75" customHeight="1" x14ac:dyDescent="0.25">
      <c r="B714" t="str">
        <v>BenSwap</v>
      </c>
      <c r="C714" t="str">
        <v>Dexs</v>
      </c>
      <c r="D714" t="str">
        <v>EBEN</v>
      </c>
      <c r="E714">
        <v>388520.13751035876</v>
      </c>
      <c r="F714">
        <v>0</v>
      </c>
    </row>
    <row r="715" spans="2:6" ht="15.75" customHeight="1" x14ac:dyDescent="0.25">
      <c r="B715" t="str">
        <v>Bent Finance</v>
      </c>
      <c r="C715" t="str">
        <v>Yield</v>
      </c>
      <c r="D715" t="str">
        <v>BENT</v>
      </c>
      <c r="E715">
        <v>28750.800236694668</v>
      </c>
      <c r="F715">
        <v>443070.63364894089</v>
      </c>
    </row>
    <row r="716" spans="2:6" ht="15.75" customHeight="1" x14ac:dyDescent="0.25">
      <c r="B716" t="str">
        <v>Bepro Network</v>
      </c>
      <c r="C716" t="str">
        <v>Services</v>
      </c>
      <c r="D716" t="str">
        <v>BEPRO</v>
      </c>
      <c r="E716">
        <v>0</v>
      </c>
      <c r="F716">
        <v>528538.31542612938</v>
      </c>
    </row>
    <row r="717" spans="2:6" ht="15.75" customHeight="1" x14ac:dyDescent="0.25">
      <c r="B717" t="str">
        <v>Bepswap</v>
      </c>
      <c r="C717" t="str">
        <v>Dexs</v>
      </c>
      <c r="D717" t="str">
        <v>RUNE</v>
      </c>
      <c r="E717">
        <v>0</v>
      </c>
      <c r="F717">
        <v>0</v>
      </c>
    </row>
    <row r="718" spans="2:6" ht="15.75" customHeight="1" x14ac:dyDescent="0.25">
      <c r="B718" t="str">
        <v>Beraborrow</v>
      </c>
      <c r="C718" t="str">
        <v>CDP</v>
      </c>
      <c r="D718" t="str">
        <v>POLLEN</v>
      </c>
      <c r="E718">
        <v>43763388.381815769</v>
      </c>
      <c r="F718">
        <v>410227.38230863685</v>
      </c>
    </row>
    <row r="719" spans="2:6" ht="15.75" customHeight="1" x14ac:dyDescent="0.25">
      <c r="B719" t="str">
        <v>Beracaine</v>
      </c>
      <c r="C719" t="str">
        <v>Dexs</v>
      </c>
      <c r="D719" t="str">
        <v>BCAINE</v>
      </c>
      <c r="E719">
        <v>744.00918420305118</v>
      </c>
      <c r="F719">
        <v>0</v>
      </c>
    </row>
    <row r="720" spans="2:6" ht="15.75" customHeight="1" x14ac:dyDescent="0.25">
      <c r="B720" t="str">
        <v>Beracana</v>
      </c>
      <c r="C720" t="str">
        <v>Leveraged Farming</v>
      </c>
      <c r="D720" t="str">
        <v>-</v>
      </c>
      <c r="E720">
        <v>14632.978406572438</v>
      </c>
      <c r="F720">
        <v>0</v>
      </c>
    </row>
    <row r="721" spans="2:6" ht="15.75" customHeight="1" x14ac:dyDescent="0.25">
      <c r="B721" t="str">
        <v>Berachain</v>
      </c>
      <c r="C721" t="str">
        <v>Chain Bribes</v>
      </c>
      <c r="D721" t="str">
        <v>BERA</v>
      </c>
      <c r="E721">
        <v>0</v>
      </c>
      <c r="F721">
        <v>82344643.160585284</v>
      </c>
    </row>
    <row r="722" spans="2:6" ht="15.75" customHeight="1" x14ac:dyDescent="0.25">
      <c r="B722" t="str">
        <v>Beradrome</v>
      </c>
      <c r="C722" t="str">
        <v>Yield</v>
      </c>
      <c r="D722" t="str">
        <v>BERO</v>
      </c>
      <c r="E722">
        <v>1201257.542653867</v>
      </c>
      <c r="F722">
        <v>0</v>
      </c>
    </row>
    <row r="723" spans="2:6" ht="15.75" customHeight="1" x14ac:dyDescent="0.25">
      <c r="B723" t="str">
        <v>Beralis V2</v>
      </c>
      <c r="C723" t="str">
        <v>Dexs</v>
      </c>
      <c r="D723" t="str">
        <v>BLIS</v>
      </c>
      <c r="E723">
        <v>2.517606654212446E-2</v>
      </c>
      <c r="F723">
        <v>0</v>
      </c>
    </row>
    <row r="724" spans="2:6" ht="15.75" customHeight="1" x14ac:dyDescent="0.25">
      <c r="B724" t="str">
        <v>Beralis V3</v>
      </c>
      <c r="C724" t="str">
        <v>Dexs</v>
      </c>
      <c r="D724" t="str">
        <v>BLIS</v>
      </c>
      <c r="E724">
        <v>0.55583410016500157</v>
      </c>
      <c r="F724">
        <v>0</v>
      </c>
    </row>
    <row r="725" spans="2:6" ht="15.75" customHeight="1" x14ac:dyDescent="0.25">
      <c r="B725" t="str">
        <v>Berancia</v>
      </c>
      <c r="C725" t="str">
        <v>Yield Aggregator</v>
      </c>
      <c r="D725" t="str">
        <v>-</v>
      </c>
      <c r="E725">
        <v>786.81016145321735</v>
      </c>
      <c r="F725">
        <v>0</v>
      </c>
    </row>
    <row r="726" spans="2:6" ht="15.75" customHeight="1" x14ac:dyDescent="0.25">
      <c r="B726" t="str">
        <v>BeraPaw</v>
      </c>
      <c r="C726" t="str">
        <v>Liquid Staking</v>
      </c>
      <c r="D726" t="str">
        <v>-</v>
      </c>
      <c r="E726">
        <v>615855.5178126368</v>
      </c>
      <c r="F726">
        <v>0</v>
      </c>
    </row>
    <row r="727" spans="2:6" ht="15.75" customHeight="1" x14ac:dyDescent="0.25">
      <c r="B727" t="str">
        <v>Beratlas Finance</v>
      </c>
      <c r="C727" t="str">
        <v>Reserve Currency</v>
      </c>
      <c r="D727" t="str">
        <v>BATLAS</v>
      </c>
      <c r="E727">
        <v>61.302801093365247</v>
      </c>
      <c r="F727">
        <v>0</v>
      </c>
    </row>
    <row r="728" spans="2:6" ht="15.75" customHeight="1" x14ac:dyDescent="0.25">
      <c r="B728" t="str">
        <v>BeraTrax</v>
      </c>
      <c r="C728" t="str">
        <v>Yield Aggregator</v>
      </c>
      <c r="D728" t="str">
        <v>-</v>
      </c>
      <c r="E728">
        <v>7584.4247145610834</v>
      </c>
      <c r="F728">
        <v>0</v>
      </c>
    </row>
    <row r="729" spans="2:6" ht="15.75" customHeight="1" x14ac:dyDescent="0.25">
      <c r="B729" t="str">
        <v>BESCSWAP DEX</v>
      </c>
      <c r="C729" t="str">
        <v>Dexs</v>
      </c>
      <c r="D729" t="str">
        <v>-</v>
      </c>
      <c r="E729">
        <v>437438.88594636699</v>
      </c>
      <c r="F729">
        <v>0</v>
      </c>
    </row>
    <row r="730" spans="2:6" ht="15.75" customHeight="1" x14ac:dyDescent="0.25">
      <c r="B730" t="str">
        <v>Beta Finance V1</v>
      </c>
      <c r="C730" t="str">
        <v>Lending</v>
      </c>
      <c r="D730" t="str">
        <v>BETA</v>
      </c>
      <c r="E730">
        <v>627929.69525747991</v>
      </c>
      <c r="F730">
        <v>0</v>
      </c>
    </row>
    <row r="731" spans="2:6" ht="15.75" customHeight="1" x14ac:dyDescent="0.25">
      <c r="B731" t="str">
        <v>Beta Finance V2</v>
      </c>
      <c r="C731" t="str">
        <v>Lending</v>
      </c>
      <c r="D731" t="str">
        <v>BETA</v>
      </c>
      <c r="E731">
        <v>103173.70020720412</v>
      </c>
      <c r="F731">
        <v>0</v>
      </c>
    </row>
    <row r="732" spans="2:6" ht="15.75" customHeight="1" x14ac:dyDescent="0.25">
      <c r="B732" t="str">
        <v>BetFolio</v>
      </c>
      <c r="C732" t="str">
        <v>Prediction Market</v>
      </c>
      <c r="D732" t="str">
        <v>-</v>
      </c>
      <c r="E732">
        <v>105.99611984046476</v>
      </c>
      <c r="F732">
        <v>0</v>
      </c>
    </row>
    <row r="733" spans="2:6" ht="15.75" customHeight="1" x14ac:dyDescent="0.25">
      <c r="B733" t="str">
        <v>BetHash</v>
      </c>
      <c r="C733" t="str">
        <v>Luck Games</v>
      </c>
      <c r="D733" t="str">
        <v>HASH</v>
      </c>
      <c r="E733">
        <v>17561.517869166284</v>
      </c>
      <c r="F733">
        <v>0</v>
      </c>
    </row>
    <row r="734" spans="2:6" ht="15.75" customHeight="1" x14ac:dyDescent="0.25">
      <c r="B734" t="str">
        <v>Betmoar.fun</v>
      </c>
      <c r="C734" t="str">
        <v>Interface</v>
      </c>
      <c r="D734" t="str">
        <v>-</v>
      </c>
      <c r="E734">
        <v>0</v>
      </c>
      <c r="F734">
        <v>0</v>
      </c>
    </row>
    <row r="735" spans="2:6" ht="15.75" customHeight="1" x14ac:dyDescent="0.25">
      <c r="B735" t="str">
        <v>BetMode</v>
      </c>
      <c r="C735" t="str">
        <v>Luck Games</v>
      </c>
      <c r="D735" t="str">
        <v>-</v>
      </c>
      <c r="E735">
        <v>945.16110320717576</v>
      </c>
      <c r="F735">
        <v>0</v>
      </c>
    </row>
    <row r="736" spans="2:6" ht="15.75" customHeight="1" x14ac:dyDescent="0.25">
      <c r="B736" t="str">
        <v>BetSwirl</v>
      </c>
      <c r="C736" t="str">
        <v>Prediction Market</v>
      </c>
      <c r="D736" t="str">
        <v>BETS</v>
      </c>
      <c r="E736">
        <v>0</v>
      </c>
      <c r="F736">
        <v>299575.86043172737</v>
      </c>
    </row>
    <row r="737" spans="2:6" ht="15.75" customHeight="1" x14ac:dyDescent="0.25">
      <c r="B737" t="str">
        <v>BetterBank</v>
      </c>
      <c r="C737" t="str">
        <v>Lending</v>
      </c>
      <c r="D737" t="str">
        <v>ESTEEM</v>
      </c>
      <c r="E737">
        <v>1.0784932497173019</v>
      </c>
      <c r="F737">
        <v>0</v>
      </c>
    </row>
    <row r="738" spans="2:6" ht="15.75" customHeight="1" x14ac:dyDescent="0.25">
      <c r="B738" t="str">
        <v>BetterLend</v>
      </c>
      <c r="C738" t="str">
        <v>Lending</v>
      </c>
      <c r="D738" t="str">
        <v>-</v>
      </c>
      <c r="E738">
        <v>22803.542861382492</v>
      </c>
      <c r="F738">
        <v>0</v>
      </c>
    </row>
    <row r="739" spans="2:6" ht="15.75" customHeight="1" x14ac:dyDescent="0.25">
      <c r="B739" t="str">
        <v>BetterSwap</v>
      </c>
      <c r="C739" t="str">
        <v>Dexs</v>
      </c>
      <c r="D739" t="str">
        <v>-</v>
      </c>
      <c r="E739">
        <v>363421.81083248265</v>
      </c>
      <c r="F739">
        <v>0</v>
      </c>
    </row>
    <row r="740" spans="2:6" ht="15.75" customHeight="1" x14ac:dyDescent="0.25">
      <c r="B740" t="str">
        <v>Bevmswap</v>
      </c>
      <c r="C740" t="str">
        <v>Dexs</v>
      </c>
      <c r="D740" t="str">
        <v>-</v>
      </c>
      <c r="E740">
        <v>20056.900638224841</v>
      </c>
      <c r="F740">
        <v>0</v>
      </c>
    </row>
    <row r="741" spans="2:6" ht="15.75" customHeight="1" x14ac:dyDescent="0.25">
      <c r="B741" t="str">
        <v>BEX</v>
      </c>
      <c r="C741" t="str">
        <v>Dexs</v>
      </c>
      <c r="D741" t="str">
        <v>-</v>
      </c>
      <c r="E741">
        <v>1785048.203268497</v>
      </c>
      <c r="F741">
        <v>0</v>
      </c>
    </row>
    <row r="742" spans="2:6" ht="15.75" customHeight="1" x14ac:dyDescent="0.25">
      <c r="B742" t="str">
        <v>BFly Finance</v>
      </c>
      <c r="C742" t="str">
        <v>Lending</v>
      </c>
      <c r="D742" t="str">
        <v>-</v>
      </c>
      <c r="E742">
        <v>140609.38315319776</v>
      </c>
      <c r="F742">
        <v>0</v>
      </c>
    </row>
    <row r="743" spans="2:6" ht="15.75" customHeight="1" x14ac:dyDescent="0.25">
      <c r="B743" t="str">
        <v>BFX (Blast Futures)</v>
      </c>
      <c r="C743" t="str">
        <v>Derivatives</v>
      </c>
      <c r="D743" t="str">
        <v>-</v>
      </c>
      <c r="E743">
        <v>0</v>
      </c>
      <c r="F743">
        <v>0</v>
      </c>
    </row>
    <row r="744" spans="2:6" ht="15.75" customHeight="1" x14ac:dyDescent="0.25">
      <c r="B744" t="str">
        <v>BFXfi</v>
      </c>
      <c r="C744" t="str">
        <v>Derivatives</v>
      </c>
      <c r="D744" t="str">
        <v>BFX</v>
      </c>
      <c r="E744">
        <v>163.21691031107679</v>
      </c>
      <c r="F744">
        <v>0</v>
      </c>
    </row>
    <row r="745" spans="2:6" ht="15.75" customHeight="1" x14ac:dyDescent="0.25">
      <c r="B745" t="str">
        <v>Bidask</v>
      </c>
      <c r="C745" t="str">
        <v>Dexs</v>
      </c>
      <c r="D745" t="str">
        <v>-</v>
      </c>
      <c r="E745">
        <v>146126.84234010419</v>
      </c>
      <c r="F745">
        <v>0</v>
      </c>
    </row>
    <row r="746" spans="2:6" ht="15.75" customHeight="1" x14ac:dyDescent="0.25">
      <c r="B746" t="str">
        <v>Bido Finance</v>
      </c>
      <c r="C746" t="str">
        <v>Liquid Staking</v>
      </c>
      <c r="D746" t="str">
        <v>-</v>
      </c>
      <c r="E746">
        <v>74802.359836515156</v>
      </c>
      <c r="F746">
        <v>0</v>
      </c>
    </row>
    <row r="747" spans="2:6" ht="15.75" customHeight="1" x14ac:dyDescent="0.25">
      <c r="B747" t="str">
        <v>BiFi</v>
      </c>
      <c r="C747" t="str">
        <v>Lending</v>
      </c>
      <c r="D747" t="str">
        <v>BiFi</v>
      </c>
      <c r="E747">
        <v>9586254.4526192453</v>
      </c>
      <c r="F747">
        <v>485636.03454332158</v>
      </c>
    </row>
    <row r="748" spans="2:6" ht="15.75" customHeight="1" x14ac:dyDescent="0.25">
      <c r="B748" t="str">
        <v>Bifrost Dex</v>
      </c>
      <c r="C748" t="str">
        <v>Dexs</v>
      </c>
      <c r="D748" t="str">
        <v>BNC</v>
      </c>
      <c r="E748">
        <v>7716196.8966483818</v>
      </c>
      <c r="F748">
        <v>0</v>
      </c>
    </row>
    <row r="749" spans="2:6" ht="15.75" customHeight="1" x14ac:dyDescent="0.25">
      <c r="B749" t="str">
        <v>Bifrost Liquid Crowdloan</v>
      </c>
      <c r="C749" t="str">
        <v>Liquid Staking</v>
      </c>
      <c r="D749" t="str">
        <v>-</v>
      </c>
      <c r="E749">
        <v>791283.15880049067</v>
      </c>
      <c r="F749">
        <v>0</v>
      </c>
    </row>
    <row r="750" spans="2:6" ht="15.75" customHeight="1" x14ac:dyDescent="0.25">
      <c r="B750" t="str">
        <v>Bifrost Liquid Staking</v>
      </c>
      <c r="C750" t="str">
        <v>Liquid Staking</v>
      </c>
      <c r="D750" t="str">
        <v>BNC</v>
      </c>
      <c r="E750">
        <v>86247164.927462205</v>
      </c>
      <c r="F750">
        <v>3253170.5604737131</v>
      </c>
    </row>
    <row r="751" spans="2:6" ht="15.75" customHeight="1" x14ac:dyDescent="0.25">
      <c r="B751" t="str">
        <v>Big Data Protocol</v>
      </c>
      <c r="C751" t="str">
        <v>Yield</v>
      </c>
      <c r="D751" t="str">
        <v>BDP</v>
      </c>
      <c r="E751">
        <v>109031.84283193223</v>
      </c>
      <c r="F751">
        <v>445495.10889779858</v>
      </c>
    </row>
    <row r="752" spans="2:6" ht="15.75" customHeight="1" x14ac:dyDescent="0.25">
      <c r="B752" t="str">
        <v>Big Time</v>
      </c>
      <c r="C752" t="str">
        <v>Gaming</v>
      </c>
      <c r="D752" t="str">
        <v>BIGTIME</v>
      </c>
      <c r="E752">
        <v>0</v>
      </c>
      <c r="F752">
        <v>42085574.249187171</v>
      </c>
    </row>
    <row r="753" spans="2:6" ht="15.75" customHeight="1" x14ac:dyDescent="0.25">
      <c r="B753" t="str">
        <v>BigPump</v>
      </c>
      <c r="C753" t="str">
        <v>Launchpad</v>
      </c>
      <c r="D753" t="str">
        <v>-</v>
      </c>
      <c r="E753">
        <v>17274.334418841747</v>
      </c>
      <c r="F753">
        <v>0</v>
      </c>
    </row>
    <row r="754" spans="2:6" ht="15.75" customHeight="1" x14ac:dyDescent="0.25">
      <c r="B754" t="str">
        <v>Billion Happiness</v>
      </c>
      <c r="C754" t="str">
        <v>Yield</v>
      </c>
      <c r="D754" t="str">
        <v>BHC</v>
      </c>
      <c r="E754">
        <v>127.11045409360769</v>
      </c>
      <c r="F754">
        <v>22056.387596597084</v>
      </c>
    </row>
    <row r="755" spans="2:6" ht="15.75" customHeight="1" x14ac:dyDescent="0.25">
      <c r="B755" t="str">
        <v>BIM</v>
      </c>
      <c r="C755" t="str">
        <v>Yield Aggregator</v>
      </c>
      <c r="D755" t="str">
        <v>BIM</v>
      </c>
      <c r="E755">
        <v>707965.03105695848</v>
      </c>
      <c r="F755">
        <v>58788454.255017243</v>
      </c>
    </row>
    <row r="756" spans="2:6" ht="15.75" customHeight="1" x14ac:dyDescent="0.25">
      <c r="B756" t="str">
        <v>BIMA CDP</v>
      </c>
      <c r="C756" t="str">
        <v>CDP</v>
      </c>
      <c r="D756" t="str">
        <v>-</v>
      </c>
      <c r="E756">
        <v>3652532.1033288552</v>
      </c>
      <c r="F756">
        <v>0</v>
      </c>
    </row>
    <row r="757" spans="2:6" ht="15.75" customHeight="1" x14ac:dyDescent="0.25">
      <c r="B757" t="str">
        <v>Binance Alpha</v>
      </c>
      <c r="C757" t="str">
        <v>Launchpad</v>
      </c>
      <c r="D757" t="str">
        <v>BNB</v>
      </c>
      <c r="E757">
        <v>0</v>
      </c>
      <c r="F757">
        <v>0</v>
      </c>
    </row>
    <row r="758" spans="2:6" ht="15.75" customHeight="1" x14ac:dyDescent="0.25">
      <c r="B758" t="str">
        <v>Binance Bitcoin</v>
      </c>
      <c r="C758" t="str">
        <v>Bridge</v>
      </c>
      <c r="D758" t="str">
        <v>-</v>
      </c>
      <c r="E758">
        <v>6209532101.7858429</v>
      </c>
      <c r="F758">
        <v>0</v>
      </c>
    </row>
    <row r="759" spans="2:6" ht="15.75" customHeight="1" x14ac:dyDescent="0.25">
      <c r="B759" t="str">
        <v>Binance Multi Chain Capital</v>
      </c>
      <c r="C759" t="str">
        <v>Services</v>
      </c>
      <c r="D759" t="str">
        <v>BMCC</v>
      </c>
      <c r="E759">
        <v>0</v>
      </c>
      <c r="F759">
        <v>22425.867344541672</v>
      </c>
    </row>
    <row r="760" spans="2:6" ht="15.75" customHeight="1" x14ac:dyDescent="0.25">
      <c r="B760" t="str">
        <v>Binance staked ETH</v>
      </c>
      <c r="C760" t="str">
        <v>Liquid Staking</v>
      </c>
      <c r="D760" t="str">
        <v>-</v>
      </c>
      <c r="E760">
        <v>11332748795.938002</v>
      </c>
      <c r="F760">
        <v>0</v>
      </c>
    </row>
    <row r="761" spans="2:6" ht="15.75" customHeight="1" x14ac:dyDescent="0.25">
      <c r="B761" t="str">
        <v>Binance Staked SOL</v>
      </c>
      <c r="C761" t="str">
        <v>Liquid Staking</v>
      </c>
      <c r="D761" t="str">
        <v>-</v>
      </c>
      <c r="E761">
        <v>1493407161.6541348</v>
      </c>
      <c r="F761">
        <v>0</v>
      </c>
    </row>
    <row r="762" spans="2:6" ht="15.75" customHeight="1" x14ac:dyDescent="0.25">
      <c r="B762" t="str">
        <v>Binance Wallet</v>
      </c>
      <c r="C762" t="str">
        <v>Wallets</v>
      </c>
      <c r="D762" t="str">
        <v>-</v>
      </c>
      <c r="E762">
        <v>0</v>
      </c>
      <c r="F762">
        <v>0</v>
      </c>
    </row>
    <row r="763" spans="2:6" ht="15.75" customHeight="1" x14ac:dyDescent="0.25">
      <c r="B763" t="str">
        <v>Binary Swap</v>
      </c>
      <c r="C763" t="str">
        <v>Dexs</v>
      </c>
      <c r="D763" t="str">
        <v>0101</v>
      </c>
      <c r="E763">
        <v>127572.06563128835</v>
      </c>
      <c r="F763">
        <v>0</v>
      </c>
    </row>
    <row r="764" spans="2:6" ht="15.75" customHeight="1" x14ac:dyDescent="0.25">
      <c r="B764" t="str">
        <v>Binaryx Platform</v>
      </c>
      <c r="C764" t="str">
        <v>RWA</v>
      </c>
      <c r="D764" t="str">
        <v>-</v>
      </c>
      <c r="E764">
        <v>7222524.9587604944</v>
      </c>
      <c r="F764">
        <v>0</v>
      </c>
    </row>
    <row r="765" spans="2:6" ht="15.75" customHeight="1" x14ac:dyDescent="0.25">
      <c r="B765" t="str">
        <v>Binlayer</v>
      </c>
      <c r="C765" t="str">
        <v>Restaking</v>
      </c>
      <c r="D765" t="str">
        <v>-</v>
      </c>
      <c r="E765">
        <v>576.29262431009613</v>
      </c>
      <c r="F765">
        <v>0</v>
      </c>
    </row>
    <row r="766" spans="2:6" ht="15.75" customHeight="1" x14ac:dyDescent="0.25">
      <c r="B766" t="str">
        <v>Bio Protocol</v>
      </c>
      <c r="C766" t="str">
        <v>Launchpad</v>
      </c>
      <c r="D766" t="str">
        <v>BIO</v>
      </c>
      <c r="E766">
        <v>8552201.7672860045</v>
      </c>
      <c r="F766">
        <v>79550925.04991284</v>
      </c>
    </row>
    <row r="767" spans="2:6" ht="15.75" customHeight="1" x14ac:dyDescent="0.25">
      <c r="B767" t="str">
        <v>Biokript</v>
      </c>
      <c r="C767" t="str">
        <v>Dexs</v>
      </c>
      <c r="D767" t="str">
        <v>BKPT</v>
      </c>
      <c r="E767">
        <v>345.73154756841052</v>
      </c>
      <c r="F767">
        <v>0</v>
      </c>
    </row>
    <row r="768" spans="2:6" ht="15.75" customHeight="1" x14ac:dyDescent="0.25">
      <c r="B768" t="str">
        <v>Biquid</v>
      </c>
      <c r="C768" t="str">
        <v>Liquid Staking</v>
      </c>
      <c r="D768" t="str">
        <v>-</v>
      </c>
      <c r="E768">
        <v>5727818.2821225375</v>
      </c>
      <c r="F768">
        <v>0</v>
      </c>
    </row>
    <row r="769" spans="2:6" ht="15.75" customHeight="1" x14ac:dyDescent="0.25">
      <c r="B769" t="str">
        <v>BiShares</v>
      </c>
      <c r="C769" t="str">
        <v>Indexes</v>
      </c>
      <c r="D769" t="str">
        <v>BISON</v>
      </c>
      <c r="E769">
        <v>9077.6348372224511</v>
      </c>
      <c r="F769">
        <v>10139.923424321978</v>
      </c>
    </row>
    <row r="770" spans="2:6" ht="15.75" customHeight="1" x14ac:dyDescent="0.25">
      <c r="B770" t="str">
        <v>BisonFi</v>
      </c>
      <c r="C770" t="str">
        <v>Dexs</v>
      </c>
      <c r="D770" t="str">
        <v>-</v>
      </c>
      <c r="E770">
        <v>0</v>
      </c>
      <c r="F770">
        <v>0</v>
      </c>
    </row>
    <row r="771" spans="2:6" ht="15.75" customHeight="1" x14ac:dyDescent="0.25">
      <c r="B771" t="str">
        <v>Bisq</v>
      </c>
      <c r="C771" t="str">
        <v>Dexs</v>
      </c>
      <c r="D771" t="str">
        <v>-</v>
      </c>
      <c r="E771">
        <v>0</v>
      </c>
      <c r="F771">
        <v>0</v>
      </c>
    </row>
    <row r="772" spans="2:6" ht="15.75" customHeight="1" x14ac:dyDescent="0.25">
      <c r="B772" t="str">
        <v>Biswap V2</v>
      </c>
      <c r="C772" t="str">
        <v>Dexs</v>
      </c>
      <c r="D772" t="str">
        <v>BSW</v>
      </c>
      <c r="E772">
        <v>13175278.65362308</v>
      </c>
      <c r="F772">
        <v>0</v>
      </c>
    </row>
    <row r="773" spans="2:6" ht="15.75" customHeight="1" x14ac:dyDescent="0.25">
      <c r="B773" t="str">
        <v>Biswap V3</v>
      </c>
      <c r="C773" t="str">
        <v>Dexs</v>
      </c>
      <c r="D773" t="str">
        <v>BSW</v>
      </c>
      <c r="E773">
        <v>549820.29340231419</v>
      </c>
      <c r="F773">
        <v>0</v>
      </c>
    </row>
    <row r="774" spans="2:6" ht="15.75" customHeight="1" x14ac:dyDescent="0.25">
      <c r="B774" t="str">
        <v>Bit Reserve</v>
      </c>
      <c r="C774" t="str">
        <v>Yield Aggregator</v>
      </c>
      <c r="D774" t="str">
        <v>-</v>
      </c>
      <c r="E774">
        <v>1687.4463735454758</v>
      </c>
      <c r="F774">
        <v>0</v>
      </c>
    </row>
    <row r="775" spans="2:6" ht="15.75" customHeight="1" x14ac:dyDescent="0.25">
      <c r="B775" t="str">
        <v>BitANT</v>
      </c>
      <c r="C775" t="str">
        <v>Yield</v>
      </c>
      <c r="D775" t="str">
        <v>BITANT</v>
      </c>
      <c r="E775">
        <v>644.53541141619621</v>
      </c>
      <c r="F775">
        <v>0</v>
      </c>
    </row>
    <row r="776" spans="2:6" ht="15.75" customHeight="1" x14ac:dyDescent="0.25">
      <c r="B776" t="str">
        <v>Bitbond Lockers</v>
      </c>
      <c r="C776" t="str">
        <v>Token Locker</v>
      </c>
      <c r="D776" t="str">
        <v>-</v>
      </c>
      <c r="E776">
        <v>10991536.184472246</v>
      </c>
      <c r="F776">
        <v>0</v>
      </c>
    </row>
    <row r="777" spans="2:6" ht="15.75" customHeight="1" x14ac:dyDescent="0.25">
      <c r="B777" t="str">
        <v>Bitbond Sales</v>
      </c>
      <c r="C777" t="str">
        <v>Launchpad</v>
      </c>
      <c r="D777" t="str">
        <v>-</v>
      </c>
      <c r="E777">
        <v>56951.637704140812</v>
      </c>
      <c r="F777">
        <v>0</v>
      </c>
    </row>
    <row r="778" spans="2:6" ht="15.75" customHeight="1" x14ac:dyDescent="0.25">
      <c r="B778" t="str">
        <v>Bitcoin</v>
      </c>
      <c r="C778" t="str">
        <v>Canonical Bridge</v>
      </c>
      <c r="D778" t="str">
        <v>BTC</v>
      </c>
      <c r="E778">
        <v>0</v>
      </c>
      <c r="F778">
        <v>1816947123835.8955</v>
      </c>
    </row>
    <row r="779" spans="2:6" ht="15.75" customHeight="1" x14ac:dyDescent="0.25">
      <c r="B779" t="str">
        <v>bitCow</v>
      </c>
      <c r="C779" t="str">
        <v>Dexs</v>
      </c>
      <c r="D779" t="str">
        <v>-</v>
      </c>
      <c r="E779">
        <v>123185.57425110228</v>
      </c>
      <c r="F779">
        <v>0</v>
      </c>
    </row>
    <row r="780" spans="2:6" ht="15.75" customHeight="1" x14ac:dyDescent="0.25">
      <c r="B780" t="str">
        <v>Bitdrome Finance</v>
      </c>
      <c r="C780" t="str">
        <v>Dexs</v>
      </c>
      <c r="D780" t="str">
        <v>-</v>
      </c>
      <c r="E780">
        <v>790.86788600511511</v>
      </c>
      <c r="F780">
        <v>0</v>
      </c>
    </row>
    <row r="781" spans="2:6" ht="15.75" customHeight="1" x14ac:dyDescent="0.25">
      <c r="B781" t="str">
        <v>BitFi Basis</v>
      </c>
      <c r="C781" t="str">
        <v>Basis Trading</v>
      </c>
      <c r="D781" t="str">
        <v>-</v>
      </c>
      <c r="E781">
        <v>317656352.12931263</v>
      </c>
      <c r="F781">
        <v>0</v>
      </c>
    </row>
    <row r="782" spans="2:6" ht="15.75" customHeight="1" x14ac:dyDescent="0.25">
      <c r="B782" t="str">
        <v>BitFi BTC</v>
      </c>
      <c r="C782" t="str">
        <v>Anchor BTC</v>
      </c>
      <c r="D782" t="str">
        <v>-</v>
      </c>
      <c r="E782">
        <v>92648973.506644949</v>
      </c>
      <c r="F782">
        <v>0</v>
      </c>
    </row>
    <row r="783" spans="2:6" ht="15.75" customHeight="1" x14ac:dyDescent="0.25">
      <c r="B783" t="str">
        <v>BitFire</v>
      </c>
      <c r="C783" t="str">
        <v>Lending</v>
      </c>
      <c r="D783" t="str">
        <v>-</v>
      </c>
      <c r="E783">
        <v>136488.23160992895</v>
      </c>
      <c r="F783">
        <v>0</v>
      </c>
    </row>
    <row r="784" spans="2:6" ht="15.75" customHeight="1" x14ac:dyDescent="0.25">
      <c r="B784" t="str">
        <v>Bitflow</v>
      </c>
      <c r="C784" t="str">
        <v>Dexs</v>
      </c>
      <c r="D784" t="str">
        <v>-</v>
      </c>
      <c r="E784">
        <v>6003546.930742804</v>
      </c>
      <c r="F784">
        <v>0</v>
      </c>
    </row>
    <row r="785" spans="2:6" ht="15.75" customHeight="1" x14ac:dyDescent="0.25">
      <c r="B785" t="str">
        <v>BitGenie AMM</v>
      </c>
      <c r="C785" t="str">
        <v>Dexs</v>
      </c>
      <c r="D785" t="str">
        <v>-</v>
      </c>
      <c r="E785">
        <v>125743.68671209054</v>
      </c>
      <c r="F785">
        <v>0</v>
      </c>
    </row>
    <row r="786" spans="2:6" ht="15.75" customHeight="1" x14ac:dyDescent="0.25">
      <c r="B786" t="str">
        <v>BitGenie Farm</v>
      </c>
      <c r="C786" t="str">
        <v>Farm</v>
      </c>
      <c r="D786" t="str">
        <v>-</v>
      </c>
      <c r="E786">
        <v>1260.2202051109502</v>
      </c>
      <c r="F786">
        <v>0</v>
      </c>
    </row>
    <row r="787" spans="2:6" ht="15.75" customHeight="1" x14ac:dyDescent="0.25">
      <c r="B787" t="str">
        <v>Bitgert</v>
      </c>
      <c r="C787" t="str">
        <v>Yield</v>
      </c>
      <c r="D787" t="str">
        <v>BRISE</v>
      </c>
      <c r="E787">
        <v>0</v>
      </c>
      <c r="F787">
        <v>12473614.121524287</v>
      </c>
    </row>
    <row r="788" spans="2:6" ht="15.75" customHeight="1" x14ac:dyDescent="0.25">
      <c r="B788" t="str">
        <v>Bitgert Swap</v>
      </c>
      <c r="C788" t="str">
        <v>Dexs</v>
      </c>
      <c r="D788" t="str">
        <v>BTS</v>
      </c>
      <c r="E788">
        <v>5.2525276584055331E-5</v>
      </c>
      <c r="F788">
        <v>0</v>
      </c>
    </row>
    <row r="789" spans="2:6" ht="15.75" customHeight="1" x14ac:dyDescent="0.25">
      <c r="B789" t="str">
        <v>Bitget bgBTC</v>
      </c>
      <c r="C789" t="str">
        <v>Bridge</v>
      </c>
      <c r="D789" t="str">
        <v>-</v>
      </c>
      <c r="E789">
        <v>45524429.733546346</v>
      </c>
      <c r="F789">
        <v>0</v>
      </c>
    </row>
    <row r="790" spans="2:6" ht="15.75" customHeight="1" x14ac:dyDescent="0.25">
      <c r="B790" t="str">
        <v>Bitget SOL</v>
      </c>
      <c r="C790" t="str">
        <v>Liquid Staking</v>
      </c>
      <c r="D790" t="str">
        <v>-</v>
      </c>
      <c r="E790">
        <v>267948.55387281784</v>
      </c>
      <c r="F790">
        <v>0</v>
      </c>
    </row>
    <row r="791" spans="2:6" ht="15.75" customHeight="1" x14ac:dyDescent="0.25">
      <c r="B791" t="str">
        <v>Bitget Swap</v>
      </c>
      <c r="C791" t="str">
        <v>DEX Aggregator</v>
      </c>
      <c r="D791" t="str">
        <v>-</v>
      </c>
      <c r="E791">
        <v>0</v>
      </c>
      <c r="F791">
        <v>0</v>
      </c>
    </row>
    <row r="792" spans="2:6" ht="15.75" customHeight="1" x14ac:dyDescent="0.25">
      <c r="B792" t="str">
        <v>Bitindi Dex</v>
      </c>
      <c r="C792" t="str">
        <v>Dexs</v>
      </c>
      <c r="D792" t="str">
        <v>-</v>
      </c>
      <c r="E792">
        <v>0</v>
      </c>
      <c r="F792">
        <v>0</v>
      </c>
    </row>
    <row r="793" spans="2:6" ht="15.75" customHeight="1" x14ac:dyDescent="0.25">
      <c r="B793" t="str">
        <v>Bitindi Staking</v>
      </c>
      <c r="C793" t="str">
        <v>Liquid Staking</v>
      </c>
      <c r="D793" t="str">
        <v>BNI</v>
      </c>
      <c r="E793">
        <v>0</v>
      </c>
      <c r="F793">
        <v>0</v>
      </c>
    </row>
    <row r="794" spans="2:6" ht="15.75" customHeight="1" x14ac:dyDescent="0.25">
      <c r="B794" t="str">
        <v>Bitlayer YBTC Family</v>
      </c>
      <c r="C794" t="str">
        <v>Anchor BTC</v>
      </c>
      <c r="D794" t="str">
        <v>-</v>
      </c>
      <c r="E794">
        <v>130883043.79158044</v>
      </c>
      <c r="F794">
        <v>0</v>
      </c>
    </row>
    <row r="795" spans="2:6" ht="15.75" customHeight="1" x14ac:dyDescent="0.25">
      <c r="B795" t="str">
        <v>Bitlen Finance</v>
      </c>
      <c r="C795" t="str">
        <v>Lending</v>
      </c>
      <c r="D795" t="str">
        <v>-</v>
      </c>
      <c r="E795">
        <v>3.3041939712992199</v>
      </c>
      <c r="F795">
        <v>0</v>
      </c>
    </row>
    <row r="796" spans="2:6" ht="15.75" customHeight="1" x14ac:dyDescent="0.25">
      <c r="B796" t="str">
        <v>Bitlend</v>
      </c>
      <c r="C796" t="str">
        <v>Lending</v>
      </c>
      <c r="D796" t="str">
        <v>BLEND</v>
      </c>
      <c r="E796">
        <v>447.51436861788244</v>
      </c>
      <c r="F796">
        <v>0</v>
      </c>
    </row>
    <row r="797" spans="2:6" ht="15.75" customHeight="1" x14ac:dyDescent="0.25">
      <c r="B797" t="str">
        <v>Bitmap Game</v>
      </c>
      <c r="C797" t="str">
        <v>Gaming</v>
      </c>
      <c r="D797" t="str">
        <v>-</v>
      </c>
      <c r="E797">
        <v>257164.18186115136</v>
      </c>
      <c r="F797">
        <v>0</v>
      </c>
    </row>
    <row r="798" spans="2:6" ht="15.75" customHeight="1" x14ac:dyDescent="0.25">
      <c r="B798" t="str">
        <v>Bitoro Network</v>
      </c>
      <c r="C798" t="str">
        <v>Derivatives</v>
      </c>
      <c r="D798" t="str">
        <v>-</v>
      </c>
      <c r="E798">
        <v>0</v>
      </c>
      <c r="F798">
        <v>0</v>
      </c>
    </row>
    <row r="799" spans="2:6" ht="15.75" customHeight="1" x14ac:dyDescent="0.25">
      <c r="B799" t="str">
        <v>Bitparty</v>
      </c>
      <c r="C799" t="str">
        <v>Farm</v>
      </c>
      <c r="D799" t="str">
        <v>-</v>
      </c>
      <c r="E799">
        <v>32587.323861015546</v>
      </c>
      <c r="F799">
        <v>0</v>
      </c>
    </row>
    <row r="800" spans="2:6" ht="15.75" customHeight="1" x14ac:dyDescent="0.25">
      <c r="B800" t="str">
        <v>BITPIF</v>
      </c>
      <c r="C800" t="str">
        <v>Dexs</v>
      </c>
      <c r="D800" t="str">
        <v>BPF</v>
      </c>
      <c r="E800">
        <v>0</v>
      </c>
      <c r="F800">
        <v>0</v>
      </c>
    </row>
    <row r="801" spans="2:6" ht="15.75" customHeight="1" x14ac:dyDescent="0.25">
      <c r="B801" t="str">
        <v>Bits</v>
      </c>
      <c r="C801" t="str">
        <v>Yield</v>
      </c>
      <c r="D801" t="str">
        <v>BITS</v>
      </c>
      <c r="E801">
        <v>56.283886421331175</v>
      </c>
      <c r="F801">
        <v>0</v>
      </c>
    </row>
    <row r="802" spans="2:6" ht="15.75" customHeight="1" x14ac:dyDescent="0.25">
      <c r="B802" t="str">
        <v>bitsCrunch</v>
      </c>
      <c r="C802" t="str">
        <v>Developer Tools</v>
      </c>
      <c r="D802" t="str">
        <v>BCUT</v>
      </c>
      <c r="E802">
        <v>0</v>
      </c>
      <c r="F802">
        <v>2687545.7890625903</v>
      </c>
    </row>
    <row r="803" spans="2:6" ht="15.75" customHeight="1" x14ac:dyDescent="0.25">
      <c r="B803" t="str">
        <v>bitSmiley</v>
      </c>
      <c r="C803" t="str">
        <v>CDP</v>
      </c>
      <c r="D803" t="str">
        <v>SMILE</v>
      </c>
      <c r="E803">
        <v>464329.93512100907</v>
      </c>
      <c r="F803">
        <v>74394.650862876937</v>
      </c>
    </row>
    <row r="804" spans="2:6" ht="15.75" customHeight="1" x14ac:dyDescent="0.25">
      <c r="B804" t="str">
        <v>BitStable Finance</v>
      </c>
      <c r="C804" t="str">
        <v>CDP</v>
      </c>
      <c r="D804" t="str">
        <v>BSSB</v>
      </c>
      <c r="E804">
        <v>61126.630268071538</v>
      </c>
      <c r="F804">
        <v>0</v>
      </c>
    </row>
    <row r="805" spans="2:6" ht="15.75" customHeight="1" x14ac:dyDescent="0.25">
      <c r="B805" t="str">
        <v>BitSwap</v>
      </c>
      <c r="C805" t="str">
        <v>Cross Chain Bridge</v>
      </c>
      <c r="D805" t="str">
        <v>AMMX</v>
      </c>
      <c r="E805">
        <v>97195.632405232944</v>
      </c>
      <c r="F805">
        <v>0</v>
      </c>
    </row>
    <row r="806" spans="2:6" ht="15.75" customHeight="1" x14ac:dyDescent="0.25">
      <c r="B806" t="str">
        <v>Bitty</v>
      </c>
      <c r="C806" t="str">
        <v>NFT Lending</v>
      </c>
      <c r="D806" t="str">
        <v>-</v>
      </c>
      <c r="E806">
        <v>775100.41009952186</v>
      </c>
      <c r="F806">
        <v>0</v>
      </c>
    </row>
    <row r="807" spans="2:6" ht="15.75" customHeight="1" x14ac:dyDescent="0.25">
      <c r="B807" t="str">
        <v>BitU Protocol</v>
      </c>
      <c r="C807" t="str">
        <v>CDP</v>
      </c>
      <c r="D807" t="str">
        <v>-</v>
      </c>
      <c r="E807">
        <v>26443510.766967904</v>
      </c>
      <c r="F807">
        <v>0</v>
      </c>
    </row>
    <row r="808" spans="2:6" ht="15.75" customHeight="1" x14ac:dyDescent="0.25">
      <c r="B808" t="str">
        <v>BitUSD</v>
      </c>
      <c r="C808" t="str">
        <v>CDP</v>
      </c>
      <c r="D808" t="str">
        <v>-</v>
      </c>
      <c r="E808">
        <v>61005.482532767826</v>
      </c>
      <c r="F808">
        <v>0</v>
      </c>
    </row>
    <row r="809" spans="2:6" ht="15.75" customHeight="1" x14ac:dyDescent="0.25">
      <c r="B809" t="str">
        <v>BitZap</v>
      </c>
      <c r="C809" t="str">
        <v>Dexs</v>
      </c>
      <c r="D809" t="str">
        <v>-</v>
      </c>
      <c r="E809">
        <v>270.93596375404491</v>
      </c>
      <c r="F809">
        <v>0</v>
      </c>
    </row>
    <row r="810" spans="2:6" ht="15.75" customHeight="1" x14ac:dyDescent="0.25">
      <c r="B810" t="str">
        <v>BitZap yUSD</v>
      </c>
      <c r="C810" t="str">
        <v>CDP</v>
      </c>
      <c r="D810" t="str">
        <v>-</v>
      </c>
      <c r="E810">
        <v>54.521663316875056</v>
      </c>
      <c r="F810">
        <v>0</v>
      </c>
    </row>
    <row r="811" spans="2:6" ht="15.75" customHeight="1" x14ac:dyDescent="0.25">
      <c r="B811" t="str">
        <v>Bitzy</v>
      </c>
      <c r="C811" t="str">
        <v>Dexs</v>
      </c>
      <c r="D811" t="str">
        <v>-</v>
      </c>
      <c r="E811">
        <v>3035133.2711280901</v>
      </c>
      <c r="F811">
        <v>0</v>
      </c>
    </row>
    <row r="812" spans="2:6" ht="15.75" customHeight="1" x14ac:dyDescent="0.25">
      <c r="B812" t="str">
        <v>Black Panther</v>
      </c>
      <c r="C812" t="str">
        <v>Yield</v>
      </c>
      <c r="D812" t="str">
        <v>BLACK</v>
      </c>
      <c r="E812">
        <v>461750.18072828883</v>
      </c>
      <c r="F812">
        <v>0</v>
      </c>
    </row>
    <row r="813" spans="2:6" ht="15.75" customHeight="1" x14ac:dyDescent="0.25">
      <c r="B813" t="str">
        <v>Black Whale</v>
      </c>
      <c r="C813" t="str">
        <v>Yield</v>
      </c>
      <c r="D813" t="str">
        <v>-</v>
      </c>
      <c r="E813">
        <v>1536.6991223285515</v>
      </c>
      <c r="F813">
        <v>0</v>
      </c>
    </row>
    <row r="814" spans="2:6" ht="15.75" customHeight="1" x14ac:dyDescent="0.25">
      <c r="B814" t="str">
        <v>BlackBird Finance</v>
      </c>
      <c r="C814" t="str">
        <v>Yield</v>
      </c>
      <c r="D814" t="str">
        <v>BIRD</v>
      </c>
      <c r="E814">
        <v>6085.2902818531265</v>
      </c>
      <c r="F814">
        <v>0</v>
      </c>
    </row>
    <row r="815" spans="2:6" ht="15.75" customHeight="1" x14ac:dyDescent="0.25">
      <c r="B815" t="str">
        <v>Blackhole AMM</v>
      </c>
      <c r="C815" t="str">
        <v>Dexs</v>
      </c>
      <c r="D815" t="str">
        <v>BLACK</v>
      </c>
      <c r="E815">
        <v>18592515.325752988</v>
      </c>
      <c r="F815">
        <v>0</v>
      </c>
    </row>
    <row r="816" spans="2:6" ht="15.75" customHeight="1" x14ac:dyDescent="0.25">
      <c r="B816" t="str">
        <v>Blackhole CLMM</v>
      </c>
      <c r="C816" t="str">
        <v>Dexs</v>
      </c>
      <c r="D816" t="str">
        <v>BLACK</v>
      </c>
      <c r="E816">
        <v>88457775.724178031</v>
      </c>
      <c r="F816">
        <v>0</v>
      </c>
    </row>
    <row r="817" spans="2:6" ht="15.75" customHeight="1" x14ac:dyDescent="0.25">
      <c r="B817" t="str">
        <v>BlackPool</v>
      </c>
      <c r="C817" t="str">
        <v>Indexes</v>
      </c>
      <c r="D817" t="str">
        <v>BPT</v>
      </c>
      <c r="E817">
        <v>0</v>
      </c>
      <c r="F817">
        <v>76338.218425857689</v>
      </c>
    </row>
    <row r="818" spans="2:6" ht="15.75" customHeight="1" x14ac:dyDescent="0.25">
      <c r="B818" t="str">
        <v>BlackRock BUIDL</v>
      </c>
      <c r="C818" t="str">
        <v>RWA</v>
      </c>
      <c r="D818" t="str">
        <v>BUIDL</v>
      </c>
      <c r="E818">
        <v>1988791906.6004488</v>
      </c>
      <c r="F818">
        <v>1727160882.440449</v>
      </c>
    </row>
    <row r="819" spans="2:6" ht="15.75" customHeight="1" x14ac:dyDescent="0.25">
      <c r="B819" t="str">
        <v>BlackrockFund</v>
      </c>
      <c r="C819" t="str">
        <v>Reserve Currency</v>
      </c>
      <c r="D819" t="str">
        <v>BTC</v>
      </c>
      <c r="E819">
        <v>0</v>
      </c>
      <c r="F819">
        <v>0</v>
      </c>
    </row>
    <row r="820" spans="2:6" ht="15.75" customHeight="1" x14ac:dyDescent="0.25">
      <c r="B820" t="str">
        <v>Blackwing</v>
      </c>
      <c r="C820" t="str">
        <v>Farm</v>
      </c>
      <c r="D820" t="str">
        <v>-</v>
      </c>
      <c r="E820">
        <v>1845228.1601439831</v>
      </c>
      <c r="F820">
        <v>0</v>
      </c>
    </row>
    <row r="821" spans="2:6" ht="15.75" customHeight="1" x14ac:dyDescent="0.25">
      <c r="B821" t="str">
        <v>BladeSwap AMM</v>
      </c>
      <c r="C821" t="str">
        <v>Dexs</v>
      </c>
      <c r="D821" t="str">
        <v>BLADE</v>
      </c>
      <c r="E821">
        <v>257845.1861945311</v>
      </c>
      <c r="F821">
        <v>0</v>
      </c>
    </row>
    <row r="822" spans="2:6" ht="15.75" customHeight="1" x14ac:dyDescent="0.25">
      <c r="B822" t="str">
        <v>BladeSwap CL</v>
      </c>
      <c r="C822" t="str">
        <v>Dexs</v>
      </c>
      <c r="D822" t="str">
        <v>BLADE</v>
      </c>
      <c r="E822">
        <v>66225.722913858117</v>
      </c>
      <c r="F822">
        <v>0</v>
      </c>
    </row>
    <row r="823" spans="2:6" ht="15.75" customHeight="1" x14ac:dyDescent="0.25">
      <c r="B823" t="str">
        <v>BlaSpace</v>
      </c>
      <c r="C823" t="str">
        <v>Dexs</v>
      </c>
      <c r="D823" t="str">
        <v>-</v>
      </c>
      <c r="E823">
        <v>158.04924495865333</v>
      </c>
      <c r="F823">
        <v>0</v>
      </c>
    </row>
    <row r="824" spans="2:6" ht="15.75" customHeight="1" x14ac:dyDescent="0.25">
      <c r="B824" t="str">
        <v>Blast API</v>
      </c>
      <c r="C824" t="str">
        <v>Developer Tools</v>
      </c>
      <c r="D824" t="str">
        <v>-</v>
      </c>
      <c r="E824">
        <v>0</v>
      </c>
      <c r="F824">
        <v>0</v>
      </c>
    </row>
    <row r="825" spans="2:6" ht="15.75" customHeight="1" x14ac:dyDescent="0.25">
      <c r="B825" t="str">
        <v>Blast Bridge</v>
      </c>
      <c r="C825" t="str">
        <v>Canonical Bridge</v>
      </c>
      <c r="D825" t="str">
        <v>-</v>
      </c>
      <c r="E825">
        <v>110600552.64906408</v>
      </c>
      <c r="F825">
        <v>0</v>
      </c>
    </row>
    <row r="826" spans="2:6" ht="15.75" customHeight="1" x14ac:dyDescent="0.25">
      <c r="B826" t="str">
        <v>Blast pre-launch Farm</v>
      </c>
      <c r="C826" t="str">
        <v>Farm</v>
      </c>
      <c r="D826" t="str">
        <v>-</v>
      </c>
      <c r="E826">
        <v>3161175.6773679145</v>
      </c>
      <c r="F826">
        <v>0</v>
      </c>
    </row>
    <row r="827" spans="2:6" ht="15.75" customHeight="1" x14ac:dyDescent="0.25">
      <c r="B827" t="str">
        <v>Blastbrrr</v>
      </c>
      <c r="C827" t="str">
        <v>Farm</v>
      </c>
      <c r="D827" t="str">
        <v>BRRR</v>
      </c>
      <c r="E827">
        <v>0</v>
      </c>
      <c r="F827">
        <v>0</v>
      </c>
    </row>
    <row r="828" spans="2:6" ht="15.75" customHeight="1" x14ac:dyDescent="0.25">
      <c r="B828" t="str">
        <v>BlastDEX</v>
      </c>
      <c r="C828" t="str">
        <v>Dexs</v>
      </c>
      <c r="D828" t="str">
        <v>BD</v>
      </c>
      <c r="E828">
        <v>10384.660880803523</v>
      </c>
      <c r="F828">
        <v>0</v>
      </c>
    </row>
    <row r="829" spans="2:6" ht="15.75" customHeight="1" x14ac:dyDescent="0.25">
      <c r="B829" t="str">
        <v>Blaster DEX</v>
      </c>
      <c r="C829" t="str">
        <v>Dexs</v>
      </c>
      <c r="D829" t="str">
        <v>-</v>
      </c>
      <c r="E829">
        <v>165.63273328381308</v>
      </c>
      <c r="F829">
        <v>0</v>
      </c>
    </row>
    <row r="830" spans="2:6" ht="15.75" customHeight="1" x14ac:dyDescent="0.25">
      <c r="B830" t="str">
        <v>Blasterswap V2</v>
      </c>
      <c r="C830" t="str">
        <v>Dexs</v>
      </c>
      <c r="D830" t="str">
        <v>-</v>
      </c>
      <c r="E830">
        <v>489586.6331498918</v>
      </c>
      <c r="F830">
        <v>0</v>
      </c>
    </row>
    <row r="831" spans="2:6" ht="15.75" customHeight="1" x14ac:dyDescent="0.25">
      <c r="B831" t="str">
        <v>Blasterswap V3</v>
      </c>
      <c r="C831" t="str">
        <v>Dexs</v>
      </c>
      <c r="D831" t="str">
        <v>-</v>
      </c>
      <c r="E831">
        <v>37141.147393111081</v>
      </c>
      <c r="F831">
        <v>0</v>
      </c>
    </row>
    <row r="832" spans="2:6" ht="15.75" customHeight="1" x14ac:dyDescent="0.25">
      <c r="B832" t="str">
        <v>Blasterswap Vaults</v>
      </c>
      <c r="C832" t="str">
        <v>Yield</v>
      </c>
      <c r="D832" t="str">
        <v>-</v>
      </c>
      <c r="E832">
        <v>4648.2753089864982</v>
      </c>
      <c r="F832">
        <v>0</v>
      </c>
    </row>
    <row r="833" spans="2:6" ht="15.75" customHeight="1" x14ac:dyDescent="0.25">
      <c r="B833" t="str">
        <v>Blastex</v>
      </c>
      <c r="C833" t="str">
        <v>Farm</v>
      </c>
      <c r="D833" t="str">
        <v>-</v>
      </c>
      <c r="E833">
        <v>0</v>
      </c>
      <c r="F833">
        <v>0</v>
      </c>
    </row>
    <row r="834" spans="2:6" ht="15.75" customHeight="1" x14ac:dyDescent="0.25">
      <c r="B834" t="str">
        <v>BlastName</v>
      </c>
      <c r="C834" t="str">
        <v>Domains</v>
      </c>
      <c r="D834" t="str">
        <v>BNS</v>
      </c>
      <c r="E834">
        <v>0</v>
      </c>
      <c r="F834">
        <v>0</v>
      </c>
    </row>
    <row r="835" spans="2:6" ht="15.75" customHeight="1" x14ac:dyDescent="0.25">
      <c r="B835" t="str">
        <v>BlastNYAN</v>
      </c>
      <c r="C835" t="str">
        <v>Farm</v>
      </c>
      <c r="D835" t="str">
        <v>blNYAN</v>
      </c>
      <c r="E835">
        <v>4.5456564948837954</v>
      </c>
      <c r="F835">
        <v>0</v>
      </c>
    </row>
    <row r="836" spans="2:6" ht="15.75" customHeight="1" x14ac:dyDescent="0.25">
      <c r="B836" t="str">
        <v>Blastoff</v>
      </c>
      <c r="C836" t="str">
        <v>Farm</v>
      </c>
      <c r="D836" t="str">
        <v>OFF</v>
      </c>
      <c r="E836">
        <v>55861.784900163373</v>
      </c>
      <c r="F836">
        <v>0</v>
      </c>
    </row>
    <row r="837" spans="2:6" ht="15.75" customHeight="1" x14ac:dyDescent="0.25">
      <c r="B837" t="str">
        <v>BlastUp</v>
      </c>
      <c r="C837" t="str">
        <v>Farm</v>
      </c>
      <c r="D837" t="str">
        <v>BLASTUP</v>
      </c>
      <c r="E837">
        <v>24713.380359655286</v>
      </c>
      <c r="F837">
        <v>0</v>
      </c>
    </row>
    <row r="838" spans="2:6" ht="15.75" customHeight="1" x14ac:dyDescent="0.25">
      <c r="B838" t="str">
        <v>Blaze Swap</v>
      </c>
      <c r="C838" t="str">
        <v>Dexs</v>
      </c>
      <c r="D838" t="str">
        <v>-</v>
      </c>
      <c r="E838">
        <v>5114.7935852001356</v>
      </c>
      <c r="F838">
        <v>0</v>
      </c>
    </row>
    <row r="839" spans="2:6" ht="15.75" customHeight="1" x14ac:dyDescent="0.25">
      <c r="B839" t="str">
        <v>BlazeBot</v>
      </c>
      <c r="C839" t="str">
        <v>Telegram Bot</v>
      </c>
      <c r="D839" t="str">
        <v>BLAZE</v>
      </c>
      <c r="E839">
        <v>0</v>
      </c>
      <c r="F839">
        <v>0</v>
      </c>
    </row>
    <row r="840" spans="2:6" ht="15.75" customHeight="1" x14ac:dyDescent="0.25">
      <c r="B840" t="str">
        <v>BlazeStake</v>
      </c>
      <c r="C840" t="str">
        <v>Liquid Staking</v>
      </c>
      <c r="D840" t="str">
        <v>BLZE</v>
      </c>
      <c r="E840">
        <v>149449352.93411839</v>
      </c>
      <c r="F840">
        <v>0</v>
      </c>
    </row>
    <row r="841" spans="2:6" ht="15.75" customHeight="1" x14ac:dyDescent="0.25">
      <c r="B841" t="str">
        <v>BlazeSwap</v>
      </c>
      <c r="C841" t="str">
        <v>Dexs</v>
      </c>
      <c r="D841" t="str">
        <v>-</v>
      </c>
      <c r="E841">
        <v>3076176.8883424541</v>
      </c>
      <c r="F841">
        <v>0</v>
      </c>
    </row>
    <row r="842" spans="2:6" ht="15.75" customHeight="1" x14ac:dyDescent="0.25">
      <c r="B842" t="str">
        <v>BlazingApp</v>
      </c>
      <c r="C842" t="str">
        <v>Trading App</v>
      </c>
      <c r="D842" t="str">
        <v>-</v>
      </c>
      <c r="E842">
        <v>0</v>
      </c>
      <c r="F842">
        <v>0</v>
      </c>
    </row>
    <row r="843" spans="2:6" ht="15.75" customHeight="1" x14ac:dyDescent="0.25">
      <c r="B843" t="str">
        <v>Blend Backstop</v>
      </c>
      <c r="C843" t="str">
        <v>Insurance</v>
      </c>
      <c r="D843" t="str">
        <v>-</v>
      </c>
      <c r="E843">
        <v>0</v>
      </c>
      <c r="F843">
        <v>0</v>
      </c>
    </row>
    <row r="844" spans="2:6" ht="15.75" customHeight="1" x14ac:dyDescent="0.25">
      <c r="B844" t="str">
        <v>Blend Backstop V2</v>
      </c>
      <c r="C844" t="str">
        <v>Insurance</v>
      </c>
      <c r="D844" t="str">
        <v>-</v>
      </c>
      <c r="E844">
        <v>0</v>
      </c>
      <c r="F844">
        <v>0</v>
      </c>
    </row>
    <row r="845" spans="2:6" ht="15.75" customHeight="1" x14ac:dyDescent="0.25">
      <c r="B845" t="str">
        <v>Blend Finance</v>
      </c>
      <c r="C845" t="str">
        <v>Lending</v>
      </c>
      <c r="D845" t="str">
        <v>-</v>
      </c>
      <c r="E845">
        <v>17331.679975455081</v>
      </c>
      <c r="F845">
        <v>0</v>
      </c>
    </row>
    <row r="846" spans="2:6" ht="15.75" customHeight="1" x14ac:dyDescent="0.25">
      <c r="B846" t="str">
        <v>Blend Money</v>
      </c>
      <c r="C846" t="str">
        <v>Onchain Capital Allocator</v>
      </c>
      <c r="D846" t="str">
        <v>-</v>
      </c>
      <c r="E846">
        <v>4816361.2808892466</v>
      </c>
      <c r="F846">
        <v>0</v>
      </c>
    </row>
    <row r="847" spans="2:6" ht="15.75" customHeight="1" x14ac:dyDescent="0.25">
      <c r="B847" t="str">
        <v>Blend Pools</v>
      </c>
      <c r="C847" t="str">
        <v>Lending</v>
      </c>
      <c r="D847" t="str">
        <v>-</v>
      </c>
      <c r="E847">
        <v>79191.61984758699</v>
      </c>
      <c r="F847">
        <v>0</v>
      </c>
    </row>
    <row r="848" spans="2:6" ht="15.75" customHeight="1" x14ac:dyDescent="0.25">
      <c r="B848" t="str">
        <v>Blend Pools V2</v>
      </c>
      <c r="C848" t="str">
        <v>Lending</v>
      </c>
      <c r="D848" t="str">
        <v>-</v>
      </c>
      <c r="E848">
        <v>86156182.227820501</v>
      </c>
      <c r="F848">
        <v>0</v>
      </c>
    </row>
    <row r="849" spans="2:6" ht="15.75" customHeight="1" x14ac:dyDescent="0.25">
      <c r="B849" t="str">
        <v>BLEX</v>
      </c>
      <c r="C849" t="str">
        <v>Derivatives</v>
      </c>
      <c r="D849" t="str">
        <v>-</v>
      </c>
      <c r="E849">
        <v>17528.268464050911</v>
      </c>
      <c r="F849">
        <v>0</v>
      </c>
    </row>
    <row r="850" spans="2:6" ht="15.75" customHeight="1" x14ac:dyDescent="0.25">
      <c r="B850" t="str">
        <v>Blindex</v>
      </c>
      <c r="C850" t="str">
        <v>Algo-Stables</v>
      </c>
      <c r="D850" t="str">
        <v>BDX</v>
      </c>
      <c r="E850">
        <v>13737.965030857678</v>
      </c>
      <c r="F850">
        <v>0</v>
      </c>
    </row>
    <row r="851" spans="2:6" ht="15.75" customHeight="1" x14ac:dyDescent="0.25">
      <c r="B851" t="str">
        <v>Blinkswap</v>
      </c>
      <c r="C851" t="str">
        <v>Dexs</v>
      </c>
      <c r="D851" t="str">
        <v>-</v>
      </c>
      <c r="E851">
        <v>0.52729210293075501</v>
      </c>
      <c r="F851">
        <v>0</v>
      </c>
    </row>
    <row r="852" spans="2:6" ht="15.75" customHeight="1" x14ac:dyDescent="0.25">
      <c r="B852" t="str">
        <v>Blitz AMM</v>
      </c>
      <c r="C852" t="str">
        <v>Dexs</v>
      </c>
      <c r="D852" t="str">
        <v>-</v>
      </c>
      <c r="E852">
        <v>0</v>
      </c>
      <c r="F852">
        <v>0</v>
      </c>
    </row>
    <row r="853" spans="2:6" ht="15.75" customHeight="1" x14ac:dyDescent="0.25">
      <c r="B853" t="str">
        <v>Blitz Labs</v>
      </c>
      <c r="C853" t="str">
        <v>Services</v>
      </c>
      <c r="D853" t="str">
        <v>BLITZ</v>
      </c>
      <c r="E853">
        <v>0</v>
      </c>
      <c r="F853">
        <v>0</v>
      </c>
    </row>
    <row r="854" spans="2:6" ht="15.75" customHeight="1" x14ac:dyDescent="0.25">
      <c r="B854" t="str">
        <v>Blitz Perps</v>
      </c>
      <c r="C854" t="str">
        <v>Derivatives</v>
      </c>
      <c r="D854" t="str">
        <v>-</v>
      </c>
      <c r="E854">
        <v>0</v>
      </c>
      <c r="F854">
        <v>0</v>
      </c>
    </row>
    <row r="855" spans="2:6" ht="15.75" customHeight="1" x14ac:dyDescent="0.25">
      <c r="B855" t="str">
        <v>Blizz Finance</v>
      </c>
      <c r="C855" t="str">
        <v>Lending</v>
      </c>
      <c r="D855" t="str">
        <v>BLZZ</v>
      </c>
      <c r="E855">
        <v>0</v>
      </c>
      <c r="F855">
        <v>13264.61218649689</v>
      </c>
    </row>
    <row r="856" spans="2:6" ht="15.75" customHeight="1" x14ac:dyDescent="0.25">
      <c r="B856" t="str">
        <v>Blizzard</v>
      </c>
      <c r="C856" t="str">
        <v>Yield</v>
      </c>
      <c r="D856" t="str">
        <v>BLIZZ</v>
      </c>
      <c r="E856">
        <v>2535.9890248214997</v>
      </c>
      <c r="F856">
        <v>0</v>
      </c>
    </row>
    <row r="857" spans="2:6" ht="15.75" customHeight="1" x14ac:dyDescent="0.25">
      <c r="B857" t="str">
        <v>Block Analitica</v>
      </c>
      <c r="C857" t="str">
        <v>Risk Curators</v>
      </c>
      <c r="D857" t="str">
        <v>-</v>
      </c>
      <c r="E857">
        <v>161655160.26548502</v>
      </c>
      <c r="F857">
        <v>0</v>
      </c>
    </row>
    <row r="858" spans="2:6" ht="15.75" customHeight="1" x14ac:dyDescent="0.25">
      <c r="B858" t="str">
        <v>Blockchain Capital</v>
      </c>
      <c r="C858" t="str">
        <v>RWA</v>
      </c>
      <c r="D858" t="str">
        <v>BCAP</v>
      </c>
      <c r="E858">
        <v>208940705.22999999</v>
      </c>
      <c r="F858">
        <v>0</v>
      </c>
    </row>
    <row r="859" spans="2:6" ht="15.75" customHeight="1" x14ac:dyDescent="0.25">
      <c r="B859" t="str">
        <v>BlockNG</v>
      </c>
      <c r="C859" t="str">
        <v>Dexs</v>
      </c>
      <c r="D859" t="str">
        <v>LAW</v>
      </c>
      <c r="E859">
        <v>7774.022886675235</v>
      </c>
      <c r="F859">
        <v>0</v>
      </c>
    </row>
    <row r="860" spans="2:6" ht="15.75" customHeight="1" x14ac:dyDescent="0.25">
      <c r="B860" t="str">
        <v>BloctoSwap</v>
      </c>
      <c r="C860" t="str">
        <v>Dexs</v>
      </c>
      <c r="D860" t="str">
        <v>-</v>
      </c>
      <c r="E860">
        <v>474100.61834281852</v>
      </c>
      <c r="F860">
        <v>0</v>
      </c>
    </row>
    <row r="861" spans="2:6" ht="15.75" customHeight="1" x14ac:dyDescent="0.25">
      <c r="B861" t="str">
        <v>Bloom</v>
      </c>
      <c r="C861" t="str">
        <v>RWA</v>
      </c>
      <c r="D861" t="str">
        <v>-</v>
      </c>
      <c r="E861">
        <v>0</v>
      </c>
      <c r="F861">
        <v>0</v>
      </c>
    </row>
    <row r="862" spans="2:6" ht="15.75" customHeight="1" x14ac:dyDescent="0.25">
      <c r="B862" t="str">
        <v>Bloom Trading</v>
      </c>
      <c r="C862" t="str">
        <v>Derivatives</v>
      </c>
      <c r="D862" t="str">
        <v>-</v>
      </c>
      <c r="E862">
        <v>32689.612409801619</v>
      </c>
      <c r="F862">
        <v>0</v>
      </c>
    </row>
    <row r="863" spans="2:6" ht="15.75" customHeight="1" x14ac:dyDescent="0.25">
      <c r="B863" t="str">
        <v>Bloom Trading Bot</v>
      </c>
      <c r="C863" t="str">
        <v>Gaming</v>
      </c>
      <c r="D863" t="str">
        <v>-</v>
      </c>
      <c r="E863">
        <v>0</v>
      </c>
      <c r="F863">
        <v>0</v>
      </c>
    </row>
    <row r="864" spans="2:6" ht="15.75" customHeight="1" x14ac:dyDescent="0.25">
      <c r="B864" t="str">
        <v>BloXmove</v>
      </c>
      <c r="C864" t="str">
        <v>Services</v>
      </c>
      <c r="D864" t="str">
        <v>BLXM</v>
      </c>
      <c r="E864">
        <v>0</v>
      </c>
      <c r="F864">
        <v>17972.146313356283</v>
      </c>
    </row>
    <row r="865" spans="2:6" ht="15.75" customHeight="1" x14ac:dyDescent="0.25">
      <c r="B865" t="str">
        <v>bloXroute</v>
      </c>
      <c r="C865" t="str">
        <v>MEV</v>
      </c>
      <c r="D865" t="str">
        <v>-</v>
      </c>
      <c r="E865">
        <v>0</v>
      </c>
      <c r="F865">
        <v>0</v>
      </c>
    </row>
    <row r="866" spans="2:6" ht="15.75" customHeight="1" x14ac:dyDescent="0.25">
      <c r="B866" t="str">
        <v>Blue Planet</v>
      </c>
      <c r="C866" t="str">
        <v>Dexs</v>
      </c>
      <c r="D866" t="str">
        <v>AQUA</v>
      </c>
      <c r="E866">
        <v>187266.90952500186</v>
      </c>
      <c r="F866">
        <v>0</v>
      </c>
    </row>
    <row r="867" spans="2:6" ht="15.75" customHeight="1" x14ac:dyDescent="0.25">
      <c r="B867" t="str">
        <v>Blueberry</v>
      </c>
      <c r="C867" t="str">
        <v>Yield</v>
      </c>
      <c r="D867" t="str">
        <v>BLB</v>
      </c>
      <c r="E867">
        <v>257207.40808417456</v>
      </c>
      <c r="F867">
        <v>41289.610068383881</v>
      </c>
    </row>
    <row r="868" spans="2:6" ht="15.75" customHeight="1" x14ac:dyDescent="0.25">
      <c r="B868" t="str">
        <v>BlueBit</v>
      </c>
      <c r="C868" t="str">
        <v>Yield Aggregator</v>
      </c>
      <c r="D868" t="str">
        <v>BBT</v>
      </c>
      <c r="E868">
        <v>0</v>
      </c>
      <c r="F868">
        <v>0</v>
      </c>
    </row>
    <row r="869" spans="2:6" ht="15.75" customHeight="1" x14ac:dyDescent="0.25">
      <c r="B869" t="str">
        <v>Bluefin Legacy</v>
      </c>
      <c r="C869" t="str">
        <v>Derivatives</v>
      </c>
      <c r="D869" t="str">
        <v>BLUE</v>
      </c>
      <c r="E869">
        <v>448961.07992003247</v>
      </c>
      <c r="F869">
        <v>0</v>
      </c>
    </row>
    <row r="870" spans="2:6" ht="15.75" customHeight="1" x14ac:dyDescent="0.25">
      <c r="B870" t="str">
        <v>Bluefin Pro</v>
      </c>
      <c r="C870" t="str">
        <v>Derivatives</v>
      </c>
      <c r="D870" t="str">
        <v>BLUE</v>
      </c>
      <c r="E870">
        <v>9351671.8101907913</v>
      </c>
      <c r="F870">
        <v>0</v>
      </c>
    </row>
    <row r="871" spans="2:6" ht="15.75" customHeight="1" x14ac:dyDescent="0.25">
      <c r="B871" t="str">
        <v>Bluefin Spot</v>
      </c>
      <c r="C871" t="str">
        <v>Dexs</v>
      </c>
      <c r="D871" t="str">
        <v>BLUE</v>
      </c>
      <c r="E871">
        <v>44225987.099545859</v>
      </c>
      <c r="F871">
        <v>0</v>
      </c>
    </row>
    <row r="872" spans="2:6" ht="15.75" customHeight="1" x14ac:dyDescent="0.25">
      <c r="B872" t="str">
        <v>Bluefin7K Aggregator</v>
      </c>
      <c r="C872" t="str">
        <v>DEX Aggregator</v>
      </c>
      <c r="D872" t="str">
        <v>BLUE</v>
      </c>
      <c r="E872">
        <v>0</v>
      </c>
      <c r="F872">
        <v>0</v>
      </c>
    </row>
    <row r="873" spans="2:6" ht="15.75" customHeight="1" x14ac:dyDescent="0.25">
      <c r="B873" t="str">
        <v>BlueLotusDao DEX</v>
      </c>
      <c r="C873" t="str">
        <v>Dexs</v>
      </c>
      <c r="D873" t="str">
        <v>BLDT</v>
      </c>
      <c r="E873">
        <v>45293.784964273742</v>
      </c>
      <c r="F873">
        <v>0</v>
      </c>
    </row>
    <row r="874" spans="2:6" ht="15.75" customHeight="1" x14ac:dyDescent="0.25">
      <c r="B874" t="str">
        <v>BlueMeteor</v>
      </c>
      <c r="C874" t="str">
        <v>Dexs</v>
      </c>
      <c r="D874" t="str">
        <v>Meteor</v>
      </c>
      <c r="E874">
        <v>1.64678878192765E-3</v>
      </c>
      <c r="F874">
        <v>0</v>
      </c>
    </row>
    <row r="875" spans="2:6" ht="15.75" customHeight="1" x14ac:dyDescent="0.25">
      <c r="B875" t="str">
        <v>BlueMove DEX</v>
      </c>
      <c r="C875" t="str">
        <v>Dexs</v>
      </c>
      <c r="D875" t="str">
        <v>SMOVE</v>
      </c>
      <c r="E875">
        <v>1943033.606372355</v>
      </c>
      <c r="F875">
        <v>0</v>
      </c>
    </row>
    <row r="876" spans="2:6" ht="15.75" customHeight="1" x14ac:dyDescent="0.25">
      <c r="B876" t="str">
        <v>BlueMove Staking</v>
      </c>
      <c r="C876" t="str">
        <v>NFT Marketplace</v>
      </c>
      <c r="D876" t="str">
        <v>MOVE</v>
      </c>
      <c r="E876">
        <v>0</v>
      </c>
      <c r="F876">
        <v>0</v>
      </c>
    </row>
    <row r="877" spans="2:6" ht="15.75" customHeight="1" x14ac:dyDescent="0.25">
      <c r="B877" t="str">
        <v>Blueprint</v>
      </c>
      <c r="C877" t="str">
        <v>Dexs</v>
      </c>
      <c r="D877" t="str">
        <v>BLUE</v>
      </c>
      <c r="E877">
        <v>18825.556667039491</v>
      </c>
      <c r="F877">
        <v>0</v>
      </c>
    </row>
    <row r="878" spans="2:6" ht="15.75" customHeight="1" x14ac:dyDescent="0.25">
      <c r="B878" t="str">
        <v>Blueshift</v>
      </c>
      <c r="C878" t="str">
        <v>Dexs</v>
      </c>
      <c r="D878" t="str">
        <v>BLUES</v>
      </c>
      <c r="E878">
        <v>5084750.3887023879</v>
      </c>
      <c r="F878">
        <v>0</v>
      </c>
    </row>
    <row r="879" spans="2:6" ht="15.75" customHeight="1" x14ac:dyDescent="0.25">
      <c r="B879" t="str">
        <v>BlueSpade</v>
      </c>
      <c r="C879" t="str">
        <v>Derivatives</v>
      </c>
      <c r="D879" t="str">
        <v>BLU</v>
      </c>
      <c r="E879">
        <v>79.389368157457795</v>
      </c>
      <c r="F879">
        <v>0</v>
      </c>
    </row>
    <row r="880" spans="2:6" ht="15.75" customHeight="1" x14ac:dyDescent="0.25">
      <c r="B880" t="str">
        <v>Bluewhale</v>
      </c>
      <c r="C880" t="str">
        <v>Yield</v>
      </c>
      <c r="D880" t="str">
        <v>-</v>
      </c>
      <c r="E880">
        <v>110115.28859865312</v>
      </c>
      <c r="F880">
        <v>0</v>
      </c>
    </row>
    <row r="881" spans="2:6" ht="15.75" customHeight="1" x14ac:dyDescent="0.25">
      <c r="B881" t="str">
        <v>Blum</v>
      </c>
      <c r="C881" t="str">
        <v>Launchpad</v>
      </c>
      <c r="D881" t="str">
        <v>BLUM</v>
      </c>
      <c r="E881">
        <v>120862.93851570631</v>
      </c>
      <c r="F881">
        <v>3184970.6506394721</v>
      </c>
    </row>
    <row r="882" spans="2:6" ht="15.75" customHeight="1" x14ac:dyDescent="0.25">
      <c r="B882" t="str">
        <v>Blume</v>
      </c>
      <c r="C882" t="str">
        <v>Lending</v>
      </c>
      <c r="D882" t="str">
        <v>-</v>
      </c>
      <c r="E882">
        <v>13331.229644728399</v>
      </c>
      <c r="F882">
        <v>0</v>
      </c>
    </row>
    <row r="883" spans="2:6" ht="15.75" customHeight="1" x14ac:dyDescent="0.25">
      <c r="B883" t="str">
        <v>Blur Bids</v>
      </c>
      <c r="C883" t="str">
        <v>NFT Marketplace</v>
      </c>
      <c r="D883" t="str">
        <v>BLUR</v>
      </c>
      <c r="E883">
        <v>28466493.44880069</v>
      </c>
      <c r="F883">
        <v>84369194.360308737</v>
      </c>
    </row>
    <row r="884" spans="2:6" ht="15.75" customHeight="1" x14ac:dyDescent="0.25">
      <c r="B884" t="str">
        <v>Blur Finance</v>
      </c>
      <c r="C884" t="str">
        <v>Yield Aggregator</v>
      </c>
      <c r="D884" t="str">
        <v>BLR</v>
      </c>
      <c r="E884">
        <v>0</v>
      </c>
      <c r="F884">
        <v>0</v>
      </c>
    </row>
    <row r="885" spans="2:6" ht="15.75" customHeight="1" x14ac:dyDescent="0.25">
      <c r="B885" t="str">
        <v>Blur Lending</v>
      </c>
      <c r="C885" t="str">
        <v>NFT Lending</v>
      </c>
      <c r="D885" t="str">
        <v>BLUR</v>
      </c>
      <c r="E885">
        <v>2237339.1888753944</v>
      </c>
      <c r="F885">
        <v>0</v>
      </c>
    </row>
    <row r="886" spans="2:6" ht="15.75" customHeight="1" x14ac:dyDescent="0.25">
      <c r="B886" t="str">
        <v>BMX Classic AMM</v>
      </c>
      <c r="C886" t="str">
        <v>Dexs</v>
      </c>
      <c r="D886" t="str">
        <v>BMX</v>
      </c>
      <c r="E886">
        <v>0</v>
      </c>
      <c r="F886">
        <v>0</v>
      </c>
    </row>
    <row r="887" spans="2:6" ht="15.75" customHeight="1" x14ac:dyDescent="0.25">
      <c r="B887" t="str">
        <v>BMX Classic Perps</v>
      </c>
      <c r="C887" t="str">
        <v>Derivatives</v>
      </c>
      <c r="D887" t="str">
        <v>BMX</v>
      </c>
      <c r="E887">
        <v>1229330.772399886</v>
      </c>
      <c r="F887">
        <v>0</v>
      </c>
    </row>
    <row r="888" spans="2:6" ht="15.75" customHeight="1" x14ac:dyDescent="0.25">
      <c r="B888" t="str">
        <v>BMX Freestyle</v>
      </c>
      <c r="C888" t="str">
        <v>Derivatives</v>
      </c>
      <c r="D888" t="str">
        <v>-</v>
      </c>
      <c r="E888">
        <v>150843.70387160964</v>
      </c>
      <c r="F888">
        <v>0</v>
      </c>
    </row>
    <row r="889" spans="2:6" ht="15.75" customHeight="1" x14ac:dyDescent="0.25">
      <c r="B889" t="str">
        <v>BNBMiner Finance</v>
      </c>
      <c r="C889" t="str">
        <v>Ponzi</v>
      </c>
      <c r="D889" t="str">
        <v>-</v>
      </c>
      <c r="E889">
        <v>6956.339220710187</v>
      </c>
      <c r="F889">
        <v>0</v>
      </c>
    </row>
    <row r="890" spans="2:6" ht="15.75" customHeight="1" x14ac:dyDescent="0.25">
      <c r="B890" t="str">
        <v>BNPL Pay</v>
      </c>
      <c r="C890" t="str">
        <v>Lending</v>
      </c>
      <c r="D890" t="str">
        <v>BNPL</v>
      </c>
      <c r="E890">
        <v>23194.251631828847</v>
      </c>
      <c r="F890">
        <v>65940.658016646397</v>
      </c>
    </row>
    <row r="891" spans="2:6" ht="15.75" customHeight="1" x14ac:dyDescent="0.25">
      <c r="B891" t="str">
        <v>BOB Bridge</v>
      </c>
      <c r="C891" t="str">
        <v>Bridge</v>
      </c>
      <c r="D891" t="str">
        <v>-</v>
      </c>
      <c r="E891">
        <v>7658697.234937028</v>
      </c>
      <c r="F891">
        <v>0</v>
      </c>
    </row>
    <row r="892" spans="2:6" ht="15.75" customHeight="1" x14ac:dyDescent="0.25">
      <c r="B892" t="str">
        <v>BOB CDP</v>
      </c>
      <c r="C892" t="str">
        <v>CDP</v>
      </c>
      <c r="D892" t="str">
        <v>-</v>
      </c>
      <c r="E892">
        <v>601.48313163718603</v>
      </c>
      <c r="F892">
        <v>0</v>
      </c>
    </row>
    <row r="893" spans="2:6" ht="15.75" customHeight="1" x14ac:dyDescent="0.25">
      <c r="B893" t="str">
        <v>BOB Fusion</v>
      </c>
      <c r="C893" t="str">
        <v>Farm</v>
      </c>
      <c r="D893" t="str">
        <v>-</v>
      </c>
      <c r="E893">
        <v>496643.38639014261</v>
      </c>
      <c r="F893">
        <v>0</v>
      </c>
    </row>
    <row r="894" spans="2:6" ht="15.75" customHeight="1" x14ac:dyDescent="0.25">
      <c r="B894" t="str">
        <v>BOB Gateway</v>
      </c>
      <c r="C894" t="str">
        <v>Dexs</v>
      </c>
      <c r="D894" t="str">
        <v>-</v>
      </c>
      <c r="E894">
        <v>87454.5569683754</v>
      </c>
      <c r="F894">
        <v>0</v>
      </c>
    </row>
    <row r="895" spans="2:6" ht="15.75" customHeight="1" x14ac:dyDescent="0.25">
      <c r="B895" t="str">
        <v>Boba Bridge</v>
      </c>
      <c r="C895" t="str">
        <v>Canonical Bridge</v>
      </c>
      <c r="D895" t="str">
        <v>-</v>
      </c>
      <c r="E895">
        <v>3990611.5916670989</v>
      </c>
      <c r="F895">
        <v>0</v>
      </c>
    </row>
    <row r="896" spans="2:6" ht="15.75" customHeight="1" x14ac:dyDescent="0.25">
      <c r="B896" t="str">
        <v>Bodega Market</v>
      </c>
      <c r="C896" t="str">
        <v>Prediction Market</v>
      </c>
      <c r="D896" t="str">
        <v>BODEGA</v>
      </c>
      <c r="E896">
        <v>94842.76504188843</v>
      </c>
      <c r="F896">
        <v>714704.28209984279</v>
      </c>
    </row>
    <row r="897" spans="2:6" ht="15.75" customHeight="1" x14ac:dyDescent="0.25">
      <c r="B897" t="str">
        <v>Bodh Finance</v>
      </c>
      <c r="C897" t="str">
        <v>Lending</v>
      </c>
      <c r="D897" t="str">
        <v>-</v>
      </c>
      <c r="E897">
        <v>124.86609998349138</v>
      </c>
      <c r="F897">
        <v>0</v>
      </c>
    </row>
    <row r="898" spans="2:6" ht="15.75" customHeight="1" x14ac:dyDescent="0.25">
      <c r="B898" t="str">
        <v>Bogged Finance</v>
      </c>
      <c r="C898" t="str">
        <v>Dexs</v>
      </c>
      <c r="D898" t="str">
        <v>BOG</v>
      </c>
      <c r="E898">
        <v>0</v>
      </c>
      <c r="F898">
        <v>98334.239379076724</v>
      </c>
    </row>
    <row r="899" spans="2:6" ht="15.75" customHeight="1" x14ac:dyDescent="0.25">
      <c r="B899" t="str">
        <v>Bolide</v>
      </c>
      <c r="C899" t="str">
        <v>Yield Aggregator</v>
      </c>
      <c r="D899" t="str">
        <v>BLID</v>
      </c>
      <c r="E899">
        <v>16074.990471471234</v>
      </c>
      <c r="F899">
        <v>10558382.422621937</v>
      </c>
    </row>
    <row r="900" spans="2:6" ht="15.75" customHeight="1" x14ac:dyDescent="0.25">
      <c r="B900" t="str">
        <v>Boltz</v>
      </c>
      <c r="C900" t="str">
        <v>Bridge</v>
      </c>
      <c r="D900" t="str">
        <v>-</v>
      </c>
      <c r="E900">
        <v>289529.39539627911</v>
      </c>
      <c r="F900">
        <v>0</v>
      </c>
    </row>
    <row r="901" spans="2:6" ht="15.75" customHeight="1" x14ac:dyDescent="0.25">
      <c r="B901" t="str">
        <v>Bomb Finance</v>
      </c>
      <c r="C901" t="str">
        <v>Dexs</v>
      </c>
      <c r="D901" t="str">
        <v>BOMB</v>
      </c>
      <c r="E901">
        <v>14991.395324808698</v>
      </c>
      <c r="F901">
        <v>8239485.1286531864</v>
      </c>
    </row>
    <row r="902" spans="2:6" ht="15.75" customHeight="1" x14ac:dyDescent="0.25">
      <c r="B902" t="str">
        <v>Bomb Money</v>
      </c>
      <c r="C902" t="str">
        <v>Algo-Stables</v>
      </c>
      <c r="D902" t="str">
        <v>BOMB</v>
      </c>
      <c r="E902">
        <v>0</v>
      </c>
      <c r="F902">
        <v>4823.1714007774926</v>
      </c>
    </row>
    <row r="903" spans="2:6" ht="15.75" customHeight="1" x14ac:dyDescent="0.25">
      <c r="B903" t="str">
        <v>Bond Protocol</v>
      </c>
      <c r="C903" t="str">
        <v>Services</v>
      </c>
      <c r="D903" t="str">
        <v>-</v>
      </c>
      <c r="E903">
        <v>100417.80438880959</v>
      </c>
      <c r="F903">
        <v>0</v>
      </c>
    </row>
    <row r="904" spans="2:6" ht="15.75" customHeight="1" x14ac:dyDescent="0.25">
      <c r="B904" t="str">
        <v>BondAppetit</v>
      </c>
      <c r="C904" t="str">
        <v>Lending</v>
      </c>
      <c r="D904" t="str">
        <v>BAG</v>
      </c>
      <c r="E904">
        <v>0</v>
      </c>
      <c r="F904">
        <v>58480.493880124952</v>
      </c>
    </row>
    <row r="905" spans="2:6" ht="15.75" customHeight="1" x14ac:dyDescent="0.25">
      <c r="B905" t="str">
        <v>Bondle</v>
      </c>
      <c r="C905" t="str">
        <v>Launchpad</v>
      </c>
      <c r="D905" t="str">
        <v>-</v>
      </c>
      <c r="E905">
        <v>121.85605928423995</v>
      </c>
      <c r="F905">
        <v>0</v>
      </c>
    </row>
    <row r="906" spans="2:6" ht="15.75" customHeight="1" x14ac:dyDescent="0.25">
      <c r="B906" t="str">
        <v>Bondlink Finance</v>
      </c>
      <c r="C906" t="str">
        <v>RWA</v>
      </c>
      <c r="D906" t="str">
        <v>-</v>
      </c>
      <c r="E906">
        <v>151991.52420435377</v>
      </c>
      <c r="F906">
        <v>0</v>
      </c>
    </row>
    <row r="907" spans="2:6" ht="15.75" customHeight="1" x14ac:dyDescent="0.25">
      <c r="B907" t="str">
        <v>BoneDex</v>
      </c>
      <c r="C907" t="str">
        <v>Dexs</v>
      </c>
      <c r="D907" t="str">
        <v>BONED</v>
      </c>
      <c r="E907">
        <v>0</v>
      </c>
      <c r="F907">
        <v>0</v>
      </c>
    </row>
    <row r="908" spans="2:6" ht="15.75" customHeight="1" x14ac:dyDescent="0.25">
      <c r="B908" t="str">
        <v>BoneSwap</v>
      </c>
      <c r="C908" t="str">
        <v>Farm</v>
      </c>
      <c r="D908" t="str">
        <v>BONE</v>
      </c>
      <c r="E908">
        <v>165.25103774878818</v>
      </c>
      <c r="F908">
        <v>0</v>
      </c>
    </row>
    <row r="909" spans="2:6" ht="15.75" customHeight="1" x14ac:dyDescent="0.25">
      <c r="B909" t="str">
        <v>BoneSwap Bonerium</v>
      </c>
      <c r="C909" t="str">
        <v>Dexs</v>
      </c>
      <c r="D909" t="str">
        <v>-</v>
      </c>
      <c r="E909">
        <v>0</v>
      </c>
      <c r="F909">
        <v>0</v>
      </c>
    </row>
    <row r="910" spans="2:6" ht="15.75" customHeight="1" x14ac:dyDescent="0.25">
      <c r="B910" t="str">
        <v>Bonk Staked SOL</v>
      </c>
      <c r="C910" t="str">
        <v>Liquid Staking</v>
      </c>
      <c r="D910" t="str">
        <v>-</v>
      </c>
      <c r="E910">
        <v>30978609.496390037</v>
      </c>
      <c r="F910">
        <v>0</v>
      </c>
    </row>
    <row r="911" spans="2:6" ht="15.75" customHeight="1" x14ac:dyDescent="0.25">
      <c r="B911" t="str">
        <v>BONKbot</v>
      </c>
      <c r="C911" t="str">
        <v>Telegram Bot</v>
      </c>
      <c r="D911" t="str">
        <v>-</v>
      </c>
      <c r="E911">
        <v>0</v>
      </c>
      <c r="F911">
        <v>0</v>
      </c>
    </row>
    <row r="912" spans="2:6" ht="15.75" customHeight="1" x14ac:dyDescent="0.25">
      <c r="B912" t="str">
        <v>Bonkswap</v>
      </c>
      <c r="C912" t="str">
        <v>Dexs</v>
      </c>
      <c r="D912" t="str">
        <v>-</v>
      </c>
      <c r="E912">
        <v>1193304.5556633358</v>
      </c>
      <c r="F912">
        <v>0</v>
      </c>
    </row>
    <row r="913" spans="2:6" ht="15.75" customHeight="1" x14ac:dyDescent="0.25">
      <c r="B913" t="str">
        <v>BonqDAO</v>
      </c>
      <c r="C913" t="str">
        <v>Lending</v>
      </c>
      <c r="D913" t="str">
        <v>BNQ</v>
      </c>
      <c r="E913">
        <v>333.99944589611636</v>
      </c>
      <c r="F913">
        <v>0</v>
      </c>
    </row>
    <row r="914" spans="2:6" ht="15.75" customHeight="1" x14ac:dyDescent="0.25">
      <c r="B914" t="str">
        <v>Bonsai Strike</v>
      </c>
      <c r="C914" t="str">
        <v>Options Vault</v>
      </c>
      <c r="D914" t="str">
        <v>-</v>
      </c>
      <c r="E914">
        <v>9575.2844709055862</v>
      </c>
      <c r="F914">
        <v>0</v>
      </c>
    </row>
    <row r="915" spans="2:6" ht="15.75" customHeight="1" x14ac:dyDescent="0.25">
      <c r="B915" t="str">
        <v>Bonzo Finance</v>
      </c>
      <c r="C915" t="str">
        <v>Lending</v>
      </c>
      <c r="D915" t="str">
        <v>BONZO</v>
      </c>
      <c r="E915">
        <v>18031410.86251232</v>
      </c>
      <c r="F915">
        <v>3804485.8187490972</v>
      </c>
    </row>
    <row r="916" spans="2:6" ht="15.75" customHeight="1" x14ac:dyDescent="0.25">
      <c r="B916" t="str">
        <v>boobs.finance</v>
      </c>
      <c r="C916" t="str">
        <v>Farm</v>
      </c>
      <c r="D916" t="str">
        <v>boobs</v>
      </c>
      <c r="E916">
        <v>274.72672940255046</v>
      </c>
      <c r="F916">
        <v>0</v>
      </c>
    </row>
    <row r="917" spans="2:6" ht="15.75" customHeight="1" x14ac:dyDescent="0.25">
      <c r="B917" t="str">
        <v>BooFinance</v>
      </c>
      <c r="C917" t="str">
        <v>Yield</v>
      </c>
      <c r="D917" t="str">
        <v>BOOFI</v>
      </c>
      <c r="E917">
        <v>20628.588226622232</v>
      </c>
      <c r="F917">
        <v>0</v>
      </c>
    </row>
    <row r="918" spans="2:6" ht="15.75" customHeight="1" x14ac:dyDescent="0.25">
      <c r="B918" t="str">
        <v>BOOKUSD</v>
      </c>
      <c r="C918" t="str">
        <v>CDP</v>
      </c>
      <c r="D918" t="str">
        <v>-</v>
      </c>
      <c r="E918">
        <v>0</v>
      </c>
      <c r="F918">
        <v>0</v>
      </c>
    </row>
    <row r="919" spans="2:6" ht="15.75" customHeight="1" x14ac:dyDescent="0.25">
      <c r="B919" t="str">
        <v>BOOM</v>
      </c>
      <c r="C919" t="str">
        <v>Farm</v>
      </c>
      <c r="D919" t="str">
        <v>BOOM</v>
      </c>
      <c r="E919">
        <v>0</v>
      </c>
      <c r="F919">
        <v>0</v>
      </c>
    </row>
    <row r="920" spans="2:6" ht="15.75" customHeight="1" x14ac:dyDescent="0.25">
      <c r="B920" t="str">
        <v>BoomSwap</v>
      </c>
      <c r="C920" t="str">
        <v>Dexs</v>
      </c>
      <c r="D920" t="str">
        <v>BOOM</v>
      </c>
      <c r="E920">
        <v>36.155929297387225</v>
      </c>
      <c r="F920">
        <v>0</v>
      </c>
    </row>
    <row r="921" spans="2:6" ht="15.75" customHeight="1" x14ac:dyDescent="0.25">
      <c r="B921" t="str">
        <v>boop.fun</v>
      </c>
      <c r="C921" t="str">
        <v>Launchpad</v>
      </c>
      <c r="D921" t="str">
        <v>BOOP</v>
      </c>
      <c r="E921">
        <v>13584.045965519457</v>
      </c>
      <c r="F921">
        <v>2251471.4810787351</v>
      </c>
    </row>
    <row r="922" spans="2:6" ht="15.75" customHeight="1" x14ac:dyDescent="0.25">
      <c r="B922" t="str">
        <v>BorB</v>
      </c>
      <c r="C922" t="str">
        <v>Derivatives</v>
      </c>
      <c r="D922" t="str">
        <v>B</v>
      </c>
      <c r="E922">
        <v>110.62821703975149</v>
      </c>
      <c r="F922">
        <v>0</v>
      </c>
    </row>
    <row r="923" spans="2:6" ht="15.75" customHeight="1" x14ac:dyDescent="0.25">
      <c r="B923" t="str">
        <v>Bored Candy City</v>
      </c>
      <c r="C923" t="str">
        <v>Dexs</v>
      </c>
      <c r="D923" t="str">
        <v>CANDY</v>
      </c>
      <c r="E923">
        <v>44008.249696812578</v>
      </c>
      <c r="F923">
        <v>82347.134416639907</v>
      </c>
    </row>
    <row r="924" spans="2:6" ht="15.75" customHeight="1" x14ac:dyDescent="0.25">
      <c r="B924" t="str">
        <v>BorgSwap</v>
      </c>
      <c r="C924" t="str">
        <v>Yield</v>
      </c>
      <c r="D924" t="str">
        <v>BORG</v>
      </c>
      <c r="E924">
        <v>6269.1876577926814</v>
      </c>
      <c r="F924">
        <v>0</v>
      </c>
    </row>
    <row r="925" spans="2:6" ht="15.75" customHeight="1" x14ac:dyDescent="0.25">
      <c r="B925" t="str">
        <v>BoringDAO</v>
      </c>
      <c r="C925" t="str">
        <v>Cross Chain Bridge</v>
      </c>
      <c r="D925" t="str">
        <v>BORING</v>
      </c>
      <c r="E925">
        <v>520014.95335614332</v>
      </c>
      <c r="F925">
        <v>128214.29037279671</v>
      </c>
    </row>
    <row r="926" spans="2:6" ht="15.75" customHeight="1" x14ac:dyDescent="0.25">
      <c r="B926" t="str">
        <v>Boros</v>
      </c>
      <c r="C926" t="str">
        <v>Derivatives</v>
      </c>
      <c r="D926" t="str">
        <v>-</v>
      </c>
      <c r="E926">
        <v>8129832.4274205733</v>
      </c>
      <c r="F926">
        <v>0</v>
      </c>
    </row>
    <row r="927" spans="2:6" ht="15.75" customHeight="1" x14ac:dyDescent="0.25">
      <c r="B927" t="str">
        <v>Boson Protocol</v>
      </c>
      <c r="C927" t="str">
        <v>RWA</v>
      </c>
      <c r="D927" t="str">
        <v>BOSON</v>
      </c>
      <c r="E927">
        <v>5332599.1402939837</v>
      </c>
      <c r="F927">
        <v>5548883.8252696143</v>
      </c>
    </row>
    <row r="928" spans="2:6" ht="15.75" customHeight="1" x14ac:dyDescent="0.25">
      <c r="B928" t="str">
        <v>BossSwap</v>
      </c>
      <c r="C928" t="str">
        <v>Dexs</v>
      </c>
      <c r="D928" t="str">
        <v>BOSS</v>
      </c>
      <c r="E928">
        <v>4140.7668414895643</v>
      </c>
      <c r="F928">
        <v>0</v>
      </c>
    </row>
    <row r="929" spans="2:6" ht="15.75" customHeight="1" x14ac:dyDescent="0.25">
      <c r="B929" t="str">
        <v>Botanix Bridge</v>
      </c>
      <c r="C929" t="str">
        <v>Canonical Bridge</v>
      </c>
      <c r="D929" t="str">
        <v>-</v>
      </c>
      <c r="E929">
        <v>36742897.513908371</v>
      </c>
      <c r="F929">
        <v>0</v>
      </c>
    </row>
    <row r="930" spans="2:6" ht="15.75" customHeight="1" x14ac:dyDescent="0.25">
      <c r="B930" t="str">
        <v>Botanix stBTC</v>
      </c>
      <c r="C930" t="str">
        <v>Liquid Staking</v>
      </c>
      <c r="D930" t="str">
        <v>-</v>
      </c>
      <c r="E930">
        <v>9115887.1804247312</v>
      </c>
      <c r="F930">
        <v>0</v>
      </c>
    </row>
    <row r="931" spans="2:6" ht="15.75" customHeight="1" x14ac:dyDescent="0.25">
      <c r="B931" t="str">
        <v>Botto</v>
      </c>
      <c r="C931" t="str">
        <v>AI Agents</v>
      </c>
      <c r="D931" t="str">
        <v>BOTTO</v>
      </c>
      <c r="E931">
        <v>0</v>
      </c>
      <c r="F931">
        <v>3279806.8646271904</v>
      </c>
    </row>
    <row r="932" spans="2:6" ht="15.75" customHeight="1" x14ac:dyDescent="0.25">
      <c r="B932" t="str">
        <v>Bouje Finance</v>
      </c>
      <c r="C932" t="str">
        <v>Yield</v>
      </c>
      <c r="D932" t="str">
        <v>BOUJE</v>
      </c>
      <c r="E932">
        <v>4.2392667918465161</v>
      </c>
      <c r="F932">
        <v>0</v>
      </c>
    </row>
    <row r="933" spans="2:6" ht="15.75" customHeight="1" x14ac:dyDescent="0.25">
      <c r="B933" t="str">
        <v>Bounce Finance</v>
      </c>
      <c r="C933" t="str">
        <v>Launchpad</v>
      </c>
      <c r="D933" t="str">
        <v>Auction</v>
      </c>
      <c r="E933">
        <v>6067.0195054887517</v>
      </c>
      <c r="F933">
        <v>39013337.824555933</v>
      </c>
    </row>
    <row r="934" spans="2:6" ht="15.75" customHeight="1" x14ac:dyDescent="0.25">
      <c r="B934" t="str">
        <v>BounceBit</v>
      </c>
      <c r="C934" t="str">
        <v>Yield</v>
      </c>
      <c r="D934" t="str">
        <v>BB</v>
      </c>
      <c r="E934">
        <v>0</v>
      </c>
      <c r="F934">
        <v>26367573.782112021</v>
      </c>
    </row>
    <row r="935" spans="2:6" ht="15.75" customHeight="1" x14ac:dyDescent="0.25">
      <c r="B935" t="str">
        <v>BounceBit CeDeFi Yield</v>
      </c>
      <c r="C935" t="str">
        <v>Basis Trading</v>
      </c>
      <c r="D935" t="str">
        <v>-</v>
      </c>
      <c r="E935">
        <v>423493593.16376138</v>
      </c>
      <c r="F935">
        <v>0</v>
      </c>
    </row>
    <row r="936" spans="2:6" ht="15.75" customHeight="1" x14ac:dyDescent="0.25">
      <c r="B936" t="str">
        <v>BounceBit Ethena</v>
      </c>
      <c r="C936" t="str">
        <v>Yield</v>
      </c>
      <c r="D936" t="str">
        <v>-</v>
      </c>
      <c r="E936">
        <v>28.177401844053843</v>
      </c>
      <c r="F936">
        <v>0</v>
      </c>
    </row>
    <row r="937" spans="2:6" ht="15.75" customHeight="1" x14ac:dyDescent="0.25">
      <c r="B937" t="str">
        <v>BounceBit pre-launch Farm</v>
      </c>
      <c r="C937" t="str">
        <v>Farm</v>
      </c>
      <c r="D937" t="str">
        <v>-</v>
      </c>
      <c r="E937">
        <v>0.13428048608790608</v>
      </c>
      <c r="F937">
        <v>0</v>
      </c>
    </row>
    <row r="938" spans="2:6" ht="15.75" customHeight="1" x14ac:dyDescent="0.25">
      <c r="B938" t="str">
        <v>BounceBit Prime</v>
      </c>
      <c r="C938" t="str">
        <v>Basis Trading</v>
      </c>
      <c r="D938" t="str">
        <v>-</v>
      </c>
      <c r="E938">
        <v>12917938.772221347</v>
      </c>
      <c r="F938">
        <v>0</v>
      </c>
    </row>
    <row r="939" spans="2:6" ht="15.75" customHeight="1" x14ac:dyDescent="0.25">
      <c r="B939" t="str">
        <v>BounceBit Staking</v>
      </c>
      <c r="C939" t="str">
        <v>Farm</v>
      </c>
      <c r="D939" t="str">
        <v>-</v>
      </c>
      <c r="E939">
        <v>0</v>
      </c>
      <c r="F939">
        <v>0</v>
      </c>
    </row>
    <row r="940" spans="2:6" ht="15.75" customHeight="1" x14ac:dyDescent="0.25">
      <c r="B940" t="str">
        <v>BounceBit Swap V2</v>
      </c>
      <c r="C940" t="str">
        <v>Dexs</v>
      </c>
      <c r="D940" t="str">
        <v>-</v>
      </c>
      <c r="E940">
        <v>50226.045535159137</v>
      </c>
      <c r="F940">
        <v>0</v>
      </c>
    </row>
    <row r="941" spans="2:6" ht="15.75" customHeight="1" x14ac:dyDescent="0.25">
      <c r="B941" t="str">
        <v>BounceBit Swap V3</v>
      </c>
      <c r="C941" t="str">
        <v>Dexs</v>
      </c>
      <c r="D941" t="str">
        <v>-</v>
      </c>
      <c r="E941">
        <v>1053731.7233683066</v>
      </c>
      <c r="F941">
        <v>0</v>
      </c>
    </row>
    <row r="942" spans="2:6" ht="15.75" customHeight="1" x14ac:dyDescent="0.25">
      <c r="B942" t="str">
        <v>Bountive</v>
      </c>
      <c r="C942" t="str">
        <v>Yield</v>
      </c>
      <c r="D942" t="str">
        <v>-</v>
      </c>
      <c r="E942">
        <v>23335.758054565435</v>
      </c>
      <c r="F942">
        <v>0</v>
      </c>
    </row>
    <row r="943" spans="2:6" ht="15.75" customHeight="1" x14ac:dyDescent="0.25">
      <c r="B943" t="str">
        <v>Bourbon DAO</v>
      </c>
      <c r="C943" t="str">
        <v>Reserve Currency</v>
      </c>
      <c r="D943" t="str">
        <v>WHISKEY</v>
      </c>
      <c r="E943">
        <v>0</v>
      </c>
      <c r="F943">
        <v>0</v>
      </c>
    </row>
    <row r="944" spans="2:6" ht="15.75" customHeight="1" x14ac:dyDescent="0.25">
      <c r="B944" t="str">
        <v>Bourbon Defi</v>
      </c>
      <c r="C944" t="str">
        <v>Dexs</v>
      </c>
      <c r="D944" t="str">
        <v>BOURBON</v>
      </c>
      <c r="E944">
        <v>4863.593626406474</v>
      </c>
      <c r="F944">
        <v>0</v>
      </c>
    </row>
    <row r="945" spans="2:6" ht="15.75" customHeight="1" x14ac:dyDescent="0.25">
      <c r="B945" t="str">
        <v>Bow</v>
      </c>
      <c r="C945" t="str">
        <v>Yield</v>
      </c>
      <c r="D945" t="str">
        <v>-</v>
      </c>
      <c r="E945">
        <v>32867.39369726889</v>
      </c>
      <c r="F945">
        <v>0</v>
      </c>
    </row>
    <row r="946" spans="2:6" ht="15.75" customHeight="1" x14ac:dyDescent="0.25">
      <c r="B946" t="str">
        <v>Bow Leverage</v>
      </c>
      <c r="C946" t="str">
        <v>Leveraged Farming</v>
      </c>
      <c r="D946" t="str">
        <v>-</v>
      </c>
      <c r="E946">
        <v>0</v>
      </c>
      <c r="F946">
        <v>0</v>
      </c>
    </row>
    <row r="947" spans="2:6" ht="15.75" customHeight="1" x14ac:dyDescent="0.25">
      <c r="B947" t="str">
        <v>Bracket Escrow Staking</v>
      </c>
      <c r="C947" t="str">
        <v>Farm</v>
      </c>
      <c r="D947" t="str">
        <v>-</v>
      </c>
      <c r="E947">
        <v>0</v>
      </c>
      <c r="F947">
        <v>0</v>
      </c>
    </row>
    <row r="948" spans="2:6" ht="15.75" customHeight="1" x14ac:dyDescent="0.25">
      <c r="B948" t="str">
        <v>Bracket LST</v>
      </c>
      <c r="C948" t="str">
        <v>Liquid Staking</v>
      </c>
      <c r="D948" t="str">
        <v>-</v>
      </c>
      <c r="E948">
        <v>571419.41082626674</v>
      </c>
      <c r="F948">
        <v>0</v>
      </c>
    </row>
    <row r="949" spans="2:6" ht="15.75" customHeight="1" x14ac:dyDescent="0.25">
      <c r="B949" t="str">
        <v>Bracket Vaults</v>
      </c>
      <c r="C949" t="str">
        <v>Onchain Capital Allocator</v>
      </c>
      <c r="D949" t="str">
        <v>-</v>
      </c>
      <c r="E949">
        <v>8427373.6247030459</v>
      </c>
      <c r="F949">
        <v>0</v>
      </c>
    </row>
    <row r="950" spans="2:6" ht="15.75" customHeight="1" x14ac:dyDescent="0.25">
      <c r="B950" t="str">
        <v>BracketX</v>
      </c>
      <c r="C950" t="str">
        <v>Derivatives</v>
      </c>
      <c r="D950" t="str">
        <v>-</v>
      </c>
      <c r="E950">
        <v>0</v>
      </c>
      <c r="F950">
        <v>0</v>
      </c>
    </row>
    <row r="951" spans="2:6" ht="15.75" customHeight="1" x14ac:dyDescent="0.25">
      <c r="B951" t="str">
        <v>Brahma Vaults (Sunset)</v>
      </c>
      <c r="C951" t="str">
        <v>Yield</v>
      </c>
      <c r="D951" t="str">
        <v>-</v>
      </c>
      <c r="E951">
        <v>23060.962305050609</v>
      </c>
      <c r="F951">
        <v>0</v>
      </c>
    </row>
    <row r="952" spans="2:6" ht="15.75" customHeight="1" x14ac:dyDescent="0.25">
      <c r="B952" t="str">
        <v>BrainDAO</v>
      </c>
      <c r="C952" t="str">
        <v>Services</v>
      </c>
      <c r="D952" t="str">
        <v>IQ</v>
      </c>
      <c r="E952">
        <v>0</v>
      </c>
      <c r="F952">
        <v>0</v>
      </c>
    </row>
    <row r="953" spans="2:6" ht="15.75" customHeight="1" x14ac:dyDescent="0.25">
      <c r="B953" t="str">
        <v>Brainiac Finance</v>
      </c>
      <c r="C953" t="str">
        <v>Lending</v>
      </c>
      <c r="D953" t="str">
        <v>BRN</v>
      </c>
      <c r="E953">
        <v>968.57662196792171</v>
      </c>
      <c r="F953">
        <v>0</v>
      </c>
    </row>
    <row r="954" spans="2:6" ht="15.75" customHeight="1" x14ac:dyDescent="0.25">
      <c r="B954" t="str">
        <v>Breadchain</v>
      </c>
      <c r="C954" t="str">
        <v>CDP</v>
      </c>
      <c r="D954" t="str">
        <v>-</v>
      </c>
      <c r="E954">
        <v>454918.11045795999</v>
      </c>
      <c r="F954">
        <v>0</v>
      </c>
    </row>
    <row r="955" spans="2:6" ht="15.75" customHeight="1" x14ac:dyDescent="0.25">
      <c r="B955" t="str">
        <v>Brewlabs Yield</v>
      </c>
      <c r="C955" t="str">
        <v>Yield</v>
      </c>
      <c r="D955" t="str">
        <v>BREWLABS</v>
      </c>
      <c r="E955">
        <v>0</v>
      </c>
      <c r="F955">
        <v>0</v>
      </c>
    </row>
    <row r="956" spans="2:6" ht="15.75" customHeight="1" x14ac:dyDescent="0.25">
      <c r="B956" t="str">
        <v>BrewSwap</v>
      </c>
      <c r="C956" t="str">
        <v>Dexs</v>
      </c>
      <c r="D956" t="str">
        <v>BREWLABS</v>
      </c>
      <c r="E956">
        <v>1134.4182160514929</v>
      </c>
      <c r="F956">
        <v>0</v>
      </c>
    </row>
    <row r="957" spans="2:6" ht="15.75" customHeight="1" x14ac:dyDescent="0.25">
      <c r="B957" t="str">
        <v>Brickken</v>
      </c>
      <c r="C957" t="str">
        <v>RWA</v>
      </c>
      <c r="D957" t="str">
        <v>BKN</v>
      </c>
      <c r="E957">
        <v>41078618.337402485</v>
      </c>
      <c r="F957">
        <v>7307441.7742917435</v>
      </c>
    </row>
    <row r="958" spans="2:6" ht="15.75" customHeight="1" x14ac:dyDescent="0.25">
      <c r="B958" t="str">
        <v>Bridge LZ</v>
      </c>
      <c r="C958" t="str">
        <v>Bridge</v>
      </c>
      <c r="D958" t="str">
        <v>-</v>
      </c>
      <c r="E958">
        <v>39.244474561294204</v>
      </c>
      <c r="F958">
        <v>0</v>
      </c>
    </row>
    <row r="959" spans="2:6" ht="15.75" customHeight="1" x14ac:dyDescent="0.25">
      <c r="B959" t="str">
        <v>Bridge Mutual</v>
      </c>
      <c r="C959" t="str">
        <v>Insurance</v>
      </c>
      <c r="D959" t="str">
        <v>BMI</v>
      </c>
      <c r="E959">
        <v>173912.81943439113</v>
      </c>
      <c r="F959">
        <v>216512.1669988301</v>
      </c>
    </row>
    <row r="960" spans="2:6" ht="15.75" customHeight="1" x14ac:dyDescent="0.25">
      <c r="B960" t="str">
        <v>BridgeKek</v>
      </c>
      <c r="C960" t="str">
        <v>Bridge</v>
      </c>
      <c r="D960" t="str">
        <v>-</v>
      </c>
      <c r="E960">
        <v>0</v>
      </c>
      <c r="F960">
        <v>0</v>
      </c>
    </row>
    <row r="961" spans="2:6" ht="15.75" customHeight="1" x14ac:dyDescent="0.25">
      <c r="B961" t="str">
        <v>BridgeM</v>
      </c>
      <c r="C961" t="str">
        <v>Bridge</v>
      </c>
      <c r="D961" t="str">
        <v>-</v>
      </c>
      <c r="E961">
        <v>5239.7568808645228</v>
      </c>
      <c r="F961">
        <v>0</v>
      </c>
    </row>
    <row r="962" spans="2:6" ht="15.75" customHeight="1" x14ac:dyDescent="0.25">
      <c r="B962" t="str">
        <v>Bridgers</v>
      </c>
      <c r="C962" t="str">
        <v>Dexs</v>
      </c>
      <c r="D962" t="str">
        <v>-</v>
      </c>
      <c r="E962">
        <v>2309082.2252532938</v>
      </c>
      <c r="F962">
        <v>0</v>
      </c>
    </row>
    <row r="963" spans="2:6" ht="15.75" customHeight="1" x14ac:dyDescent="0.25">
      <c r="B963" t="str">
        <v>Bright Union</v>
      </c>
      <c r="C963" t="str">
        <v>Insurance</v>
      </c>
      <c r="D963" t="str">
        <v>BRIGHT</v>
      </c>
      <c r="E963">
        <v>0</v>
      </c>
      <c r="F963">
        <v>14551.000315338246</v>
      </c>
    </row>
    <row r="964" spans="2:6" ht="15.75" customHeight="1" x14ac:dyDescent="0.25">
      <c r="B964" t="str">
        <v>BrightSide</v>
      </c>
      <c r="C964" t="str">
        <v>Dexs</v>
      </c>
      <c r="D964" t="str">
        <v>BRIGHT</v>
      </c>
      <c r="E964">
        <v>1145.6817721721031</v>
      </c>
      <c r="F964">
        <v>0</v>
      </c>
    </row>
    <row r="965" spans="2:6" ht="15.75" customHeight="1" x14ac:dyDescent="0.25">
      <c r="B965" t="str">
        <v>Bril Finance</v>
      </c>
      <c r="C965" t="str">
        <v>Yield Aggregator</v>
      </c>
      <c r="D965" t="str">
        <v>-</v>
      </c>
      <c r="E965">
        <v>140647.72034346638</v>
      </c>
      <c r="F965">
        <v>0</v>
      </c>
    </row>
    <row r="966" spans="2:6" ht="15.75" customHeight="1" x14ac:dyDescent="0.25">
      <c r="B966" t="str">
        <v>Brinc Finance</v>
      </c>
      <c r="C966" t="str">
        <v>Yield</v>
      </c>
      <c r="D966" t="str">
        <v>BRC</v>
      </c>
      <c r="E966">
        <v>6608.4299261008136</v>
      </c>
      <c r="F966">
        <v>0</v>
      </c>
    </row>
    <row r="967" spans="2:6" ht="15.75" customHeight="1" x14ac:dyDescent="0.25">
      <c r="B967" t="str">
        <v>Bring.Finance</v>
      </c>
      <c r="C967" t="str">
        <v>Yield</v>
      </c>
      <c r="D967" t="str">
        <v>BRNG</v>
      </c>
      <c r="E967">
        <v>222.05608662362908</v>
      </c>
      <c r="F967">
        <v>0</v>
      </c>
    </row>
    <row r="968" spans="2:6" ht="15.75" customHeight="1" x14ac:dyDescent="0.25">
      <c r="B968" t="str">
        <v>Brink</v>
      </c>
      <c r="C968" t="str">
        <v>Onchain Capital Allocator</v>
      </c>
      <c r="D968" t="str">
        <v>-</v>
      </c>
      <c r="E968">
        <v>1017647.6432885403</v>
      </c>
      <c r="F968">
        <v>0</v>
      </c>
    </row>
    <row r="969" spans="2:6" ht="15.75" customHeight="1" x14ac:dyDescent="0.25">
      <c r="B969" t="str">
        <v>Brise Swap</v>
      </c>
      <c r="C969" t="str">
        <v>Dexs</v>
      </c>
      <c r="D969" t="str">
        <v>BSWAP</v>
      </c>
      <c r="E969">
        <v>4.713404631007654E-2</v>
      </c>
      <c r="F969">
        <v>0</v>
      </c>
    </row>
    <row r="970" spans="2:6" ht="15.75" customHeight="1" x14ac:dyDescent="0.25">
      <c r="B970" t="str">
        <v>Brokkr Finance</v>
      </c>
      <c r="C970" t="str">
        <v>Indexes</v>
      </c>
      <c r="D970" t="str">
        <v>BRO</v>
      </c>
      <c r="E970">
        <v>7381.3611744462505</v>
      </c>
      <c r="F970">
        <v>0</v>
      </c>
    </row>
    <row r="971" spans="2:6" ht="15.75" customHeight="1" x14ac:dyDescent="0.25">
      <c r="B971" t="str">
        <v>Brokoli Network</v>
      </c>
      <c r="C971" t="str">
        <v>Dexs</v>
      </c>
      <c r="D971" t="str">
        <v>BRKL</v>
      </c>
      <c r="E971">
        <v>0</v>
      </c>
      <c r="F971">
        <v>155988.59717437637</v>
      </c>
    </row>
    <row r="972" spans="2:6" ht="15.75" customHeight="1" x14ac:dyDescent="0.25">
      <c r="B972" t="str">
        <v>BroSwap</v>
      </c>
      <c r="C972" t="str">
        <v>Dexs</v>
      </c>
      <c r="D972" t="str">
        <v>BRO</v>
      </c>
      <c r="E972">
        <v>1.2146790516323276E-16</v>
      </c>
      <c r="F972">
        <v>0</v>
      </c>
    </row>
    <row r="973" spans="2:6" ht="15.75" customHeight="1" x14ac:dyDescent="0.25">
      <c r="B973" t="str">
        <v>Brotocol</v>
      </c>
      <c r="C973" t="str">
        <v>Bridge Aggregator</v>
      </c>
      <c r="D973" t="str">
        <v>-</v>
      </c>
      <c r="E973">
        <v>14426348.372836571</v>
      </c>
      <c r="F973">
        <v>0</v>
      </c>
    </row>
    <row r="974" spans="2:6" ht="15.75" customHeight="1" x14ac:dyDescent="0.25">
      <c r="B974" t="str">
        <v>BrownFi</v>
      </c>
      <c r="C974" t="str">
        <v>Dexs</v>
      </c>
      <c r="D974" t="str">
        <v>-</v>
      </c>
      <c r="E974">
        <v>313823.54390642</v>
      </c>
      <c r="F974">
        <v>0</v>
      </c>
    </row>
    <row r="975" spans="2:6" ht="15.75" customHeight="1" x14ac:dyDescent="0.25">
      <c r="B975" t="str">
        <v>Brunch</v>
      </c>
      <c r="C975" t="str">
        <v>CDP</v>
      </c>
      <c r="D975" t="str">
        <v>-</v>
      </c>
      <c r="E975">
        <v>6681.6883764344493</v>
      </c>
      <c r="F975">
        <v>0</v>
      </c>
    </row>
    <row r="976" spans="2:6" ht="15.75" customHeight="1" x14ac:dyDescent="0.25">
      <c r="B976" t="str">
        <v>Bryan on Base</v>
      </c>
      <c r="C976" t="str">
        <v>Farm</v>
      </c>
      <c r="D976" t="str">
        <v>BRYAN</v>
      </c>
      <c r="E976">
        <v>17.909810093254329</v>
      </c>
      <c r="F976">
        <v>0</v>
      </c>
    </row>
    <row r="977" spans="2:6" ht="15.75" customHeight="1" x14ac:dyDescent="0.25">
      <c r="B977" t="str">
        <v>BSCStation</v>
      </c>
      <c r="C977" t="str">
        <v>Dexs</v>
      </c>
      <c r="D977" t="str">
        <v>BSCS</v>
      </c>
      <c r="E977">
        <v>2370.7408024376145</v>
      </c>
      <c r="F977">
        <v>225272.48209795484</v>
      </c>
    </row>
    <row r="978" spans="2:6" ht="15.75" customHeight="1" x14ac:dyDescent="0.25">
      <c r="B978" t="str">
        <v>BSCSwap</v>
      </c>
      <c r="C978" t="str">
        <v>Dexs</v>
      </c>
      <c r="D978" t="str">
        <v>BSWAP</v>
      </c>
      <c r="E978">
        <v>6758851.0014410866</v>
      </c>
      <c r="F978">
        <v>0</v>
      </c>
    </row>
    <row r="979" spans="2:6" ht="15.75" customHeight="1" x14ac:dyDescent="0.25">
      <c r="B979" t="str">
        <v>BSwap Dex</v>
      </c>
      <c r="C979" t="str">
        <v>Dexs</v>
      </c>
      <c r="D979" t="str">
        <v>-</v>
      </c>
      <c r="E979">
        <v>33661.843832164559</v>
      </c>
      <c r="F979">
        <v>0</v>
      </c>
    </row>
    <row r="980" spans="2:6" ht="15.75" customHeight="1" x14ac:dyDescent="0.25">
      <c r="B980" t="str">
        <v>BSX Exchange</v>
      </c>
      <c r="C980" t="str">
        <v>Derivatives</v>
      </c>
      <c r="D980" t="str">
        <v>-</v>
      </c>
      <c r="E980">
        <v>3.1153771129837516E-3</v>
      </c>
      <c r="F980">
        <v>0</v>
      </c>
    </row>
    <row r="981" spans="2:6" ht="15.75" customHeight="1" x14ac:dyDescent="0.25">
      <c r="B981" t="str">
        <v>BT.Finance</v>
      </c>
      <c r="C981" t="str">
        <v>Yield Aggregator</v>
      </c>
      <c r="D981" t="str">
        <v>BT</v>
      </c>
      <c r="E981">
        <v>0</v>
      </c>
      <c r="F981">
        <v>20927.122105273931</v>
      </c>
    </row>
    <row r="982" spans="2:6" ht="15.75" customHeight="1" x14ac:dyDescent="0.25">
      <c r="B982" t="str">
        <v>BTCFi CDP</v>
      </c>
      <c r="C982" t="str">
        <v>CDP</v>
      </c>
      <c r="D982" t="str">
        <v>-</v>
      </c>
      <c r="E982">
        <v>13914051.636988347</v>
      </c>
      <c r="F982">
        <v>0</v>
      </c>
    </row>
    <row r="983" spans="2:6" ht="15.75" customHeight="1" x14ac:dyDescent="0.25">
      <c r="B983" t="str">
        <v>BTCFi Farm</v>
      </c>
      <c r="C983" t="str">
        <v>Farm</v>
      </c>
      <c r="D983" t="str">
        <v>-</v>
      </c>
      <c r="E983">
        <v>34.704216023929028</v>
      </c>
      <c r="F983">
        <v>0</v>
      </c>
    </row>
    <row r="984" spans="2:6" ht="15.75" customHeight="1" x14ac:dyDescent="0.25">
      <c r="B984" t="str">
        <v>BTCST</v>
      </c>
      <c r="C984" t="str">
        <v>Yield</v>
      </c>
      <c r="D984" t="str">
        <v>BTCST</v>
      </c>
      <c r="E984">
        <v>1211492.6582259079</v>
      </c>
      <c r="F984">
        <v>82652.914197093152</v>
      </c>
    </row>
    <row r="985" spans="2:6" ht="15.75" customHeight="1" x14ac:dyDescent="0.25">
      <c r="B985" t="str">
        <v>BtnGroup</v>
      </c>
      <c r="C985" t="str">
        <v>Yield</v>
      </c>
      <c r="D985" t="str">
        <v>BUTT</v>
      </c>
      <c r="E985">
        <v>164612.76</v>
      </c>
      <c r="F985">
        <v>102987.13760587573</v>
      </c>
    </row>
    <row r="986" spans="2:6" ht="15.75" customHeight="1" x14ac:dyDescent="0.25">
      <c r="B986" t="str">
        <v>Bubbleswap V1</v>
      </c>
      <c r="C986" t="str">
        <v>Dexs</v>
      </c>
      <c r="D986" t="str">
        <v>-</v>
      </c>
      <c r="E986">
        <v>0</v>
      </c>
      <c r="F986">
        <v>0</v>
      </c>
    </row>
    <row r="987" spans="2:6" ht="15.75" customHeight="1" x14ac:dyDescent="0.25">
      <c r="B987" t="str">
        <v>Bubbleswap V2</v>
      </c>
      <c r="C987" t="str">
        <v>Dexs</v>
      </c>
      <c r="D987" t="str">
        <v>-</v>
      </c>
      <c r="E987">
        <v>0</v>
      </c>
      <c r="F987">
        <v>0</v>
      </c>
    </row>
    <row r="988" spans="2:6" ht="15.75" customHeight="1" x14ac:dyDescent="0.25">
      <c r="B988" t="str">
        <v>Bucket CDP</v>
      </c>
      <c r="C988" t="str">
        <v>CDP</v>
      </c>
      <c r="D988" t="str">
        <v>-</v>
      </c>
      <c r="E988">
        <v>24010032.640892513</v>
      </c>
      <c r="F988">
        <v>0</v>
      </c>
    </row>
    <row r="989" spans="2:6" ht="15.75" customHeight="1" x14ac:dyDescent="0.25">
      <c r="B989" t="str">
        <v>Bucket Farm</v>
      </c>
      <c r="C989" t="str">
        <v>Farm</v>
      </c>
      <c r="D989" t="str">
        <v>-</v>
      </c>
      <c r="E989">
        <v>37981837.74792359</v>
      </c>
      <c r="F989">
        <v>0</v>
      </c>
    </row>
    <row r="990" spans="2:6" ht="15.75" customHeight="1" x14ac:dyDescent="0.25">
      <c r="B990" t="str">
        <v>Bucket Protocol V2</v>
      </c>
      <c r="C990" t="str">
        <v>CDP</v>
      </c>
      <c r="D990" t="str">
        <v>-</v>
      </c>
      <c r="E990">
        <v>21020626.29913253</v>
      </c>
      <c r="F990">
        <v>0</v>
      </c>
    </row>
    <row r="991" spans="2:6" ht="15.75" customHeight="1" x14ac:dyDescent="0.25">
      <c r="B991" t="str">
        <v>Buffaloswap</v>
      </c>
      <c r="C991" t="str">
        <v>Yield</v>
      </c>
      <c r="D991" t="str">
        <v>BUFF</v>
      </c>
      <c r="E991">
        <v>14185.402077510193</v>
      </c>
      <c r="F991">
        <v>0</v>
      </c>
    </row>
    <row r="992" spans="2:6" ht="15.75" customHeight="1" x14ac:dyDescent="0.25">
      <c r="B992" t="str">
        <v>Buffer Finance</v>
      </c>
      <c r="C992" t="str">
        <v>Options</v>
      </c>
      <c r="D992" t="str">
        <v>BFR</v>
      </c>
      <c r="E992">
        <v>82179.34926292226</v>
      </c>
      <c r="F992">
        <v>0</v>
      </c>
    </row>
    <row r="993" spans="2:6" ht="15.75" customHeight="1" x14ac:dyDescent="0.25">
      <c r="B993" t="str">
        <v>BulbaSwap V2</v>
      </c>
      <c r="C993" t="str">
        <v>Dexs</v>
      </c>
      <c r="D993" t="str">
        <v>-</v>
      </c>
      <c r="E993">
        <v>356585.53797698597</v>
      </c>
      <c r="F993">
        <v>0</v>
      </c>
    </row>
    <row r="994" spans="2:6" ht="15.75" customHeight="1" x14ac:dyDescent="0.25">
      <c r="B994" t="str">
        <v>BulbaSwap V3</v>
      </c>
      <c r="C994" t="str">
        <v>Dexs</v>
      </c>
      <c r="D994" t="str">
        <v>-</v>
      </c>
      <c r="E994">
        <v>6427136.5191859743</v>
      </c>
      <c r="F994">
        <v>0</v>
      </c>
    </row>
    <row r="995" spans="2:6" ht="15.75" customHeight="1" x14ac:dyDescent="0.25">
      <c r="B995" t="str">
        <v>Bulla Exchange</v>
      </c>
      <c r="C995" t="str">
        <v>Dexs</v>
      </c>
      <c r="D995" t="str">
        <v>-</v>
      </c>
      <c r="E995">
        <v>459394.03936231887</v>
      </c>
      <c r="F995">
        <v>0</v>
      </c>
    </row>
    <row r="996" spans="2:6" ht="15.75" customHeight="1" x14ac:dyDescent="0.25">
      <c r="B996" t="str">
        <v>Bullbit</v>
      </c>
      <c r="C996" t="str">
        <v>Derivatives</v>
      </c>
      <c r="D996" t="str">
        <v>-</v>
      </c>
      <c r="E996">
        <v>0</v>
      </c>
      <c r="F996">
        <v>0</v>
      </c>
    </row>
    <row r="997" spans="2:6" ht="15.75" customHeight="1" x14ac:dyDescent="0.25">
      <c r="B997" t="str">
        <v>BullionFX</v>
      </c>
      <c r="C997" t="str">
        <v>Dexs</v>
      </c>
      <c r="D997" t="str">
        <v>BULL</v>
      </c>
      <c r="E997">
        <v>503.41483329473766</v>
      </c>
      <c r="F997">
        <v>0</v>
      </c>
    </row>
    <row r="998" spans="2:6" ht="15.75" customHeight="1" x14ac:dyDescent="0.25">
      <c r="B998" t="str">
        <v>Bullpen</v>
      </c>
      <c r="C998" t="str">
        <v>Interface</v>
      </c>
      <c r="D998" t="str">
        <v>-</v>
      </c>
      <c r="E998">
        <v>0</v>
      </c>
      <c r="F998">
        <v>0</v>
      </c>
    </row>
    <row r="999" spans="2:6" ht="15.75" customHeight="1" x14ac:dyDescent="0.25">
      <c r="B999" t="str">
        <v>BullX</v>
      </c>
      <c r="C999" t="str">
        <v>Telegram Bot</v>
      </c>
      <c r="D999" t="str">
        <v>-</v>
      </c>
      <c r="E999">
        <v>0</v>
      </c>
      <c r="F999">
        <v>0</v>
      </c>
    </row>
    <row r="1000" spans="2:6" ht="15.75" customHeight="1" x14ac:dyDescent="0.25">
      <c r="B1000" t="str">
        <v>Bumper Finance</v>
      </c>
      <c r="C1000" t="str">
        <v>Options</v>
      </c>
      <c r="D1000" t="str">
        <v>BUMP</v>
      </c>
      <c r="E1000">
        <v>210.87421743687165</v>
      </c>
      <c r="F1000">
        <v>19153.490157437282</v>
      </c>
    </row>
    <row r="1001" spans="2:6" ht="15.75" customHeight="1" x14ac:dyDescent="0.25">
      <c r="B1001" t="str">
        <v>Bumpin Trade</v>
      </c>
      <c r="C1001" t="str">
        <v>Derivatives</v>
      </c>
      <c r="D1001" t="str">
        <v>-</v>
      </c>
      <c r="E1001">
        <v>4817272.4226419237</v>
      </c>
      <c r="F1001">
        <v>0</v>
      </c>
    </row>
    <row r="1002" spans="2:6" ht="15.75" customHeight="1" x14ac:dyDescent="0.25">
      <c r="B1002" t="str">
        <v>Bundles</v>
      </c>
      <c r="C1002" t="str">
        <v>Indexes</v>
      </c>
      <c r="D1002" t="str">
        <v>BUN</v>
      </c>
      <c r="E1002">
        <v>454337.40765968611</v>
      </c>
      <c r="F1002">
        <v>0</v>
      </c>
    </row>
    <row r="1003" spans="2:6" ht="15.75" customHeight="1" x14ac:dyDescent="0.25">
      <c r="B1003" t="str">
        <v>Bungee Bridge Aggregator</v>
      </c>
      <c r="C1003" t="str">
        <v>Bridge Aggregator</v>
      </c>
      <c r="D1003" t="str">
        <v>-</v>
      </c>
      <c r="E1003">
        <v>0</v>
      </c>
      <c r="F1003">
        <v>0</v>
      </c>
    </row>
    <row r="1004" spans="2:6" ht="15.75" customHeight="1" x14ac:dyDescent="0.25">
      <c r="B1004" t="str">
        <v>Bungee DEX</v>
      </c>
      <c r="C1004" t="str">
        <v>DEX Aggregator</v>
      </c>
      <c r="D1004" t="str">
        <v>-</v>
      </c>
      <c r="E1004">
        <v>0</v>
      </c>
      <c r="F1004">
        <v>0</v>
      </c>
    </row>
    <row r="1005" spans="2:6" ht="15.75" customHeight="1" x14ac:dyDescent="0.25">
      <c r="B1005" t="str">
        <v>Bunicorn</v>
      </c>
      <c r="C1005" t="str">
        <v>Dexs</v>
      </c>
      <c r="D1005" t="str">
        <v>BUNI</v>
      </c>
      <c r="E1005">
        <v>98276.564003462379</v>
      </c>
      <c r="F1005">
        <v>0</v>
      </c>
    </row>
    <row r="1006" spans="2:6" ht="15.75" customHeight="1" x14ac:dyDescent="0.25">
      <c r="B1006" t="str">
        <v>Bunni v1</v>
      </c>
      <c r="C1006" t="str">
        <v>Liquidity manager</v>
      </c>
      <c r="D1006" t="str">
        <v>BUNNI</v>
      </c>
      <c r="E1006">
        <v>44649.835610586153</v>
      </c>
      <c r="F1006">
        <v>1785707.3020077997</v>
      </c>
    </row>
    <row r="1007" spans="2:6" ht="15.75" customHeight="1" x14ac:dyDescent="0.25">
      <c r="B1007" t="str">
        <v>Bunni V2</v>
      </c>
      <c r="C1007" t="str">
        <v>Dexs</v>
      </c>
      <c r="D1007" t="str">
        <v>BUNNI</v>
      </c>
      <c r="E1007">
        <v>307449.3661532742</v>
      </c>
      <c r="F1007">
        <v>0</v>
      </c>
    </row>
    <row r="1008" spans="2:6" ht="15.75" customHeight="1" x14ac:dyDescent="0.25">
      <c r="B1008" t="str">
        <v>Bunny</v>
      </c>
      <c r="C1008" t="str">
        <v>Yield</v>
      </c>
      <c r="D1008" t="str">
        <v>BUNNY</v>
      </c>
      <c r="E1008">
        <v>4260946.1367201582</v>
      </c>
      <c r="F1008">
        <v>13545.089473918459</v>
      </c>
    </row>
    <row r="1009" spans="2:6" ht="15.75" customHeight="1" x14ac:dyDescent="0.25">
      <c r="B1009" t="str">
        <v>BunnyFi</v>
      </c>
      <c r="C1009" t="str">
        <v>Bridge</v>
      </c>
      <c r="D1009" t="str">
        <v>-</v>
      </c>
      <c r="E1009">
        <v>0</v>
      </c>
      <c r="F1009">
        <v>0</v>
      </c>
    </row>
    <row r="1010" spans="2:6" ht="15.75" customHeight="1" x14ac:dyDescent="0.25">
      <c r="B1010" t="str">
        <v>BunnyPark</v>
      </c>
      <c r="C1010" t="str">
        <v>Dexs</v>
      </c>
      <c r="D1010" t="str">
        <v>BP</v>
      </c>
      <c r="E1010">
        <v>0</v>
      </c>
      <c r="F1010">
        <v>0</v>
      </c>
    </row>
    <row r="1011" spans="2:6" ht="15.75" customHeight="1" x14ac:dyDescent="0.25">
      <c r="B1011" t="str">
        <v>BunnySwap</v>
      </c>
      <c r="C1011" t="str">
        <v>Dexs</v>
      </c>
      <c r="D1011" t="str">
        <v>-</v>
      </c>
      <c r="E1011">
        <v>688799.32896479219</v>
      </c>
      <c r="F1011">
        <v>0</v>
      </c>
    </row>
    <row r="1012" spans="2:6" ht="15.75" customHeight="1" x14ac:dyDescent="0.25">
      <c r="B1012" t="str">
        <v>BurgerSwap</v>
      </c>
      <c r="C1012" t="str">
        <v>Dexs</v>
      </c>
      <c r="D1012" t="str">
        <v>BURGER</v>
      </c>
      <c r="E1012">
        <v>237697.95008138253</v>
      </c>
      <c r="F1012">
        <v>0</v>
      </c>
    </row>
    <row r="1013" spans="2:6" ht="15.75" customHeight="1" x14ac:dyDescent="0.25">
      <c r="B1013" t="str">
        <v>BurrBear</v>
      </c>
      <c r="C1013" t="str">
        <v>Dexs</v>
      </c>
      <c r="D1013" t="str">
        <v>BURR</v>
      </c>
      <c r="E1013">
        <v>52619.949137573778</v>
      </c>
      <c r="F1013">
        <v>43003.199751521621</v>
      </c>
    </row>
    <row r="1014" spans="2:6" ht="15.75" customHeight="1" x14ac:dyDescent="0.25">
      <c r="B1014" t="str">
        <v>Burve</v>
      </c>
      <c r="C1014" t="str">
        <v>Dexs</v>
      </c>
      <c r="D1014" t="str">
        <v>-</v>
      </c>
      <c r="E1014">
        <v>38453.265714604982</v>
      </c>
      <c r="F1014">
        <v>0</v>
      </c>
    </row>
    <row r="1015" spans="2:6" ht="15.75" customHeight="1" x14ac:dyDescent="0.25">
      <c r="B1015" t="str">
        <v>Burve Protocol</v>
      </c>
      <c r="C1015" t="str">
        <v>Dexs</v>
      </c>
      <c r="D1015" t="str">
        <v>-</v>
      </c>
      <c r="E1015">
        <v>12142.054820882317</v>
      </c>
      <c r="F1015">
        <v>0</v>
      </c>
    </row>
    <row r="1016" spans="2:6" ht="15.75" customHeight="1" x14ac:dyDescent="0.25">
      <c r="B1016" t="str">
        <v>BusinessBuildersNFTs</v>
      </c>
      <c r="C1016" t="str">
        <v>Gaming</v>
      </c>
      <c r="D1016" t="str">
        <v>FTB</v>
      </c>
      <c r="E1016">
        <v>0</v>
      </c>
      <c r="F1016">
        <v>0</v>
      </c>
    </row>
    <row r="1017" spans="2:6" ht="15.75" customHeight="1" x14ac:dyDescent="0.25">
      <c r="B1017" t="str">
        <v>Busta Exchange</v>
      </c>
      <c r="C1017" t="str">
        <v>Dexs</v>
      </c>
      <c r="D1017" t="str">
        <v>-</v>
      </c>
      <c r="E1017">
        <v>54761.735559994828</v>
      </c>
      <c r="F1017">
        <v>0</v>
      </c>
    </row>
    <row r="1018" spans="2:6" ht="15.75" customHeight="1" x14ac:dyDescent="0.25">
      <c r="B1018" t="str">
        <v>Butter Network</v>
      </c>
      <c r="C1018" t="str">
        <v>Cross Chain Bridge</v>
      </c>
      <c r="D1018" t="str">
        <v>-</v>
      </c>
      <c r="E1018">
        <v>1975674.6357834386</v>
      </c>
      <c r="F1018">
        <v>0</v>
      </c>
    </row>
    <row r="1019" spans="2:6" ht="15.75" customHeight="1" x14ac:dyDescent="0.25">
      <c r="B1019" t="str">
        <v>Butter.xyz</v>
      </c>
      <c r="C1019" t="str">
        <v>Dexs</v>
      </c>
      <c r="D1019" t="str">
        <v>-</v>
      </c>
      <c r="E1019">
        <v>34836.491033655126</v>
      </c>
      <c r="F1019">
        <v>0</v>
      </c>
    </row>
    <row r="1020" spans="2:6" ht="15.75" customHeight="1" x14ac:dyDescent="0.25">
      <c r="B1020" t="str">
        <v>Butterfly Finance</v>
      </c>
      <c r="C1020" t="str">
        <v>Farm</v>
      </c>
      <c r="D1020" t="str">
        <v>-</v>
      </c>
      <c r="E1020">
        <v>23.96281119914735</v>
      </c>
      <c r="F1020">
        <v>0</v>
      </c>
    </row>
    <row r="1021" spans="2:6" ht="15.75" customHeight="1" x14ac:dyDescent="0.25">
      <c r="B1021" t="str">
        <v>ButterSwap</v>
      </c>
      <c r="C1021" t="str">
        <v>Dexs</v>
      </c>
      <c r="D1021" t="str">
        <v>BUTTER</v>
      </c>
      <c r="E1021">
        <v>88320.097473179761</v>
      </c>
      <c r="F1021">
        <v>0</v>
      </c>
    </row>
    <row r="1022" spans="2:6" ht="15.75" customHeight="1" x14ac:dyDescent="0.25">
      <c r="B1022" t="str">
        <v>Button Tranche</v>
      </c>
      <c r="C1022" t="str">
        <v>Yield</v>
      </c>
      <c r="D1022" t="str">
        <v>-</v>
      </c>
      <c r="E1022">
        <v>1491837.610657132</v>
      </c>
      <c r="F1022">
        <v>0</v>
      </c>
    </row>
    <row r="1023" spans="2:6" ht="15.75" customHeight="1" x14ac:dyDescent="0.25">
      <c r="B1023" t="str">
        <v>Button Wrappers</v>
      </c>
      <c r="C1023" t="str">
        <v>CDP</v>
      </c>
      <c r="D1023" t="str">
        <v>-</v>
      </c>
      <c r="E1023">
        <v>54490.834965497219</v>
      </c>
      <c r="F1023">
        <v>0</v>
      </c>
    </row>
    <row r="1024" spans="2:6" ht="15.75" customHeight="1" x14ac:dyDescent="0.25">
      <c r="B1024" t="str">
        <v>Buzz Farming</v>
      </c>
      <c r="C1024" t="str">
        <v>Farm</v>
      </c>
      <c r="D1024" t="str">
        <v>-</v>
      </c>
      <c r="E1024">
        <v>333627445.51178432</v>
      </c>
      <c r="F1024">
        <v>0</v>
      </c>
    </row>
    <row r="1025" spans="2:6" ht="15.75" customHeight="1" x14ac:dyDescent="0.25">
      <c r="B1025" t="str">
        <v>Bwatch</v>
      </c>
      <c r="C1025" t="str">
        <v>Indexes</v>
      </c>
      <c r="D1025" t="str">
        <v>BOX</v>
      </c>
      <c r="E1025">
        <v>58324019</v>
      </c>
      <c r="F1025">
        <v>0</v>
      </c>
    </row>
    <row r="1026" spans="2:6" ht="15.75" customHeight="1" x14ac:dyDescent="0.25">
      <c r="B1026" t="str">
        <v>BWSWAP</v>
      </c>
      <c r="C1026" t="str">
        <v>Dexs</v>
      </c>
      <c r="D1026" t="str">
        <v>-</v>
      </c>
      <c r="E1026">
        <v>701.493744315968</v>
      </c>
      <c r="F1026">
        <v>0</v>
      </c>
    </row>
    <row r="1027" spans="2:6" ht="15.75" customHeight="1" x14ac:dyDescent="0.25">
      <c r="B1027" t="str">
        <v>BXH</v>
      </c>
      <c r="C1027" t="str">
        <v>Dexs</v>
      </c>
      <c r="D1027" t="str">
        <v>BXH</v>
      </c>
      <c r="E1027">
        <v>43081.112476492199</v>
      </c>
      <c r="F1027">
        <v>0</v>
      </c>
    </row>
    <row r="1028" spans="2:6" ht="15.75" customHeight="1" x14ac:dyDescent="0.25">
      <c r="B1028" t="str">
        <v>Bybit Staked SOL</v>
      </c>
      <c r="C1028" t="str">
        <v>Liquid Staking</v>
      </c>
      <c r="D1028" t="str">
        <v>-</v>
      </c>
      <c r="E1028">
        <v>248896709.48806438</v>
      </c>
      <c r="F1028">
        <v>0</v>
      </c>
    </row>
    <row r="1029" spans="2:6" ht="15.75" customHeight="1" x14ac:dyDescent="0.25">
      <c r="B1029" t="str">
        <v>Byreal</v>
      </c>
      <c r="C1029" t="str">
        <v>Dexs</v>
      </c>
      <c r="D1029" t="str">
        <v>-</v>
      </c>
      <c r="E1029">
        <v>12379028.548350971</v>
      </c>
      <c r="F1029">
        <v>0</v>
      </c>
    </row>
    <row r="1030" spans="2:6" ht="15.75" customHeight="1" x14ac:dyDescent="0.25">
      <c r="B1030" t="str">
        <v>bytzz</v>
      </c>
      <c r="C1030" t="str">
        <v>DEX Aggregator</v>
      </c>
      <c r="D1030" t="str">
        <v>-</v>
      </c>
      <c r="E1030">
        <v>0</v>
      </c>
      <c r="F1030">
        <v>0</v>
      </c>
    </row>
    <row r="1031" spans="2:6" ht="15.75" customHeight="1" x14ac:dyDescent="0.25">
      <c r="B1031" t="str">
        <v>C14</v>
      </c>
      <c r="C1031" t="str">
        <v>Lending</v>
      </c>
      <c r="D1031" t="str">
        <v>-</v>
      </c>
      <c r="E1031">
        <v>2143.9692164987464</v>
      </c>
      <c r="F1031">
        <v>0</v>
      </c>
    </row>
    <row r="1032" spans="2:6" ht="15.75" customHeight="1" x14ac:dyDescent="0.25">
      <c r="B1032" t="str">
        <v>C3 Exchange</v>
      </c>
      <c r="C1032" t="str">
        <v>Cross Chain Bridge</v>
      </c>
      <c r="D1032" t="str">
        <v>-</v>
      </c>
      <c r="E1032">
        <v>75117.834850999439</v>
      </c>
      <c r="F1032">
        <v>0</v>
      </c>
    </row>
    <row r="1033" spans="2:6" ht="15.75" customHeight="1" x14ac:dyDescent="0.25">
      <c r="B1033" t="str">
        <v>Cabal</v>
      </c>
      <c r="C1033" t="str">
        <v>Governance Incentives</v>
      </c>
      <c r="D1033" t="str">
        <v>-</v>
      </c>
      <c r="E1033">
        <v>844693.08117521799</v>
      </c>
      <c r="F1033">
        <v>0</v>
      </c>
    </row>
    <row r="1034" spans="2:6" ht="15.75" customHeight="1" x14ac:dyDescent="0.25">
      <c r="B1034" t="str">
        <v>Cables Finance</v>
      </c>
      <c r="C1034" t="str">
        <v>Dexs</v>
      </c>
      <c r="D1034" t="str">
        <v>-</v>
      </c>
      <c r="E1034">
        <v>423393.28602161357</v>
      </c>
      <c r="F1034">
        <v>0</v>
      </c>
    </row>
    <row r="1035" spans="2:6" ht="15.75" customHeight="1" x14ac:dyDescent="0.25">
      <c r="B1035" t="str">
        <v>CACHE.Gold</v>
      </c>
      <c r="C1035" t="str">
        <v>RWA</v>
      </c>
      <c r="D1035" t="str">
        <v>CGT</v>
      </c>
      <c r="E1035">
        <v>575151.30744214298</v>
      </c>
      <c r="F1035">
        <v>1037298.7955662588</v>
      </c>
    </row>
    <row r="1036" spans="2:6" ht="15.75" customHeight="1" x14ac:dyDescent="0.25">
      <c r="B1036" t="str">
        <v>Cadabra Finance</v>
      </c>
      <c r="C1036" t="str">
        <v>Yield Aggregator</v>
      </c>
      <c r="D1036" t="str">
        <v>ABRA</v>
      </c>
      <c r="E1036">
        <v>2704.2907510783525</v>
      </c>
      <c r="F1036">
        <v>0</v>
      </c>
    </row>
    <row r="1037" spans="2:6" ht="15.75" customHeight="1" x14ac:dyDescent="0.25">
      <c r="B1037" t="str">
        <v>Cadence Protocol</v>
      </c>
      <c r="C1037" t="str">
        <v>Derivatives</v>
      </c>
      <c r="D1037" t="str">
        <v>CAD</v>
      </c>
      <c r="E1037">
        <v>0.38556792894803887</v>
      </c>
      <c r="F1037">
        <v>0</v>
      </c>
    </row>
    <row r="1038" spans="2:6" ht="15.75" customHeight="1" x14ac:dyDescent="0.25">
      <c r="B1038" t="str">
        <v>CafeSwap</v>
      </c>
      <c r="C1038" t="str">
        <v>Dexs</v>
      </c>
      <c r="D1038" t="str">
        <v>BREW</v>
      </c>
      <c r="E1038">
        <v>41841.633894192637</v>
      </c>
      <c r="F1038">
        <v>90414.540604260008</v>
      </c>
    </row>
    <row r="1039" spans="2:6" ht="15.75" customHeight="1" x14ac:dyDescent="0.25">
      <c r="B1039" t="str">
        <v>CairoFi</v>
      </c>
      <c r="C1039" t="str">
        <v>Dexs</v>
      </c>
      <c r="D1039" t="str">
        <v>-</v>
      </c>
      <c r="E1039">
        <v>1579.2553488609615</v>
      </c>
      <c r="F1039">
        <v>0</v>
      </c>
    </row>
    <row r="1040" spans="2:6" ht="15.75" customHeight="1" x14ac:dyDescent="0.25">
      <c r="B1040" t="str">
        <v>Cake Monster</v>
      </c>
      <c r="C1040" t="str">
        <v>Yield</v>
      </c>
      <c r="D1040" t="str">
        <v>MONSTA</v>
      </c>
      <c r="E1040">
        <v>0</v>
      </c>
      <c r="F1040">
        <v>0</v>
      </c>
    </row>
    <row r="1041" spans="2:6" ht="15.75" customHeight="1" x14ac:dyDescent="0.25">
      <c r="B1041" t="str">
        <v>CakeDAO</v>
      </c>
      <c r="C1041" t="str">
        <v>Reserve Currency</v>
      </c>
      <c r="D1041" t="str">
        <v>CAKE</v>
      </c>
      <c r="E1041">
        <v>0</v>
      </c>
      <c r="F1041">
        <v>0</v>
      </c>
    </row>
    <row r="1042" spans="2:6" ht="15.75" customHeight="1" x14ac:dyDescent="0.25">
      <c r="B1042" t="str">
        <v>Cakepie</v>
      </c>
      <c r="C1042" t="str">
        <v>Yield</v>
      </c>
      <c r="D1042" t="str">
        <v>CKP</v>
      </c>
      <c r="E1042">
        <v>714131.20787701814</v>
      </c>
      <c r="F1042">
        <v>2412323.1449166168</v>
      </c>
    </row>
    <row r="1043" spans="2:6" ht="15.75" customHeight="1" x14ac:dyDescent="0.25">
      <c r="B1043" t="str">
        <v>CakeWSwap</v>
      </c>
      <c r="C1043" t="str">
        <v>Dexs</v>
      </c>
      <c r="D1043" t="str">
        <v>CAKEW</v>
      </c>
      <c r="E1043">
        <v>40.718961206675544</v>
      </c>
      <c r="F1043">
        <v>0</v>
      </c>
    </row>
    <row r="1044" spans="2:6" ht="15.75" customHeight="1" x14ac:dyDescent="0.25">
      <c r="B1044" t="str">
        <v>CALC</v>
      </c>
      <c r="C1044" t="str">
        <v>DCA Tools</v>
      </c>
      <c r="D1044" t="str">
        <v>-</v>
      </c>
      <c r="E1044">
        <v>24597.07323804589</v>
      </c>
      <c r="F1044">
        <v>0</v>
      </c>
    </row>
    <row r="1045" spans="2:6" ht="15.75" customHeight="1" x14ac:dyDescent="0.25">
      <c r="B1045" t="str">
        <v>Camel Farm</v>
      </c>
      <c r="C1045" t="str">
        <v>Farm</v>
      </c>
      <c r="D1045" t="str">
        <v>CAMEL</v>
      </c>
      <c r="E1045">
        <v>48.412964593200051</v>
      </c>
      <c r="F1045">
        <v>0</v>
      </c>
    </row>
    <row r="1046" spans="2:6" ht="15.75" customHeight="1" x14ac:dyDescent="0.25">
      <c r="B1046" t="str">
        <v>Camelot V2</v>
      </c>
      <c r="C1046" t="str">
        <v>Dexs</v>
      </c>
      <c r="D1046" t="str">
        <v>GRAIL</v>
      </c>
      <c r="E1046">
        <v>9716742.5079231448</v>
      </c>
      <c r="F1046">
        <v>0</v>
      </c>
    </row>
    <row r="1047" spans="2:6" ht="15.75" customHeight="1" x14ac:dyDescent="0.25">
      <c r="B1047" t="str">
        <v>Camelot V3</v>
      </c>
      <c r="C1047" t="str">
        <v>Dexs</v>
      </c>
      <c r="D1047" t="str">
        <v>GRAIL</v>
      </c>
      <c r="E1047">
        <v>31763755.674713716</v>
      </c>
      <c r="F1047">
        <v>0</v>
      </c>
    </row>
    <row r="1048" spans="2:6" ht="15.75" customHeight="1" x14ac:dyDescent="0.25">
      <c r="B1048" t="str">
        <v>CANA Holdings California Carbon Credits</v>
      </c>
      <c r="C1048" t="str">
        <v>RWA</v>
      </c>
      <c r="D1048" t="str">
        <v>CANA</v>
      </c>
      <c r="E1048">
        <v>800191.82127659209</v>
      </c>
      <c r="F1048">
        <v>797955.10892844142</v>
      </c>
    </row>
    <row r="1049" spans="2:6" ht="15.75" customHeight="1" x14ac:dyDescent="0.25">
      <c r="B1049" t="str">
        <v>Canary</v>
      </c>
      <c r="C1049" t="str">
        <v>Dexs</v>
      </c>
      <c r="D1049" t="str">
        <v>CNR</v>
      </c>
      <c r="E1049">
        <v>30608.342240474103</v>
      </c>
      <c r="F1049">
        <v>0</v>
      </c>
    </row>
    <row r="1050" spans="2:6" ht="15.75" customHeight="1" x14ac:dyDescent="0.25">
      <c r="B1050" t="str">
        <v>Candle</v>
      </c>
      <c r="C1050" t="str">
        <v>Dexs</v>
      </c>
      <c r="D1050" t="str">
        <v>CNDL</v>
      </c>
      <c r="E1050">
        <v>0</v>
      </c>
      <c r="F1050">
        <v>0</v>
      </c>
    </row>
    <row r="1051" spans="2:6" ht="15.75" customHeight="1" x14ac:dyDescent="0.25">
      <c r="B1051" t="str">
        <v>CandySwap</v>
      </c>
      <c r="C1051" t="str">
        <v>Dexs</v>
      </c>
      <c r="D1051" t="str">
        <v>-</v>
      </c>
      <c r="E1051">
        <v>0</v>
      </c>
      <c r="F1051">
        <v>0</v>
      </c>
    </row>
    <row r="1052" spans="2:6" ht="15.75" customHeight="1" x14ac:dyDescent="0.25">
      <c r="B1052" t="str">
        <v>Canopy</v>
      </c>
      <c r="C1052" t="str">
        <v>Yield Aggregator</v>
      </c>
      <c r="D1052" t="str">
        <v>-</v>
      </c>
      <c r="E1052">
        <v>37069004.231075108</v>
      </c>
      <c r="F1052">
        <v>0</v>
      </c>
    </row>
    <row r="1053" spans="2:6" ht="15.75" customHeight="1" x14ac:dyDescent="0.25">
      <c r="B1053" t="str">
        <v>Canto</v>
      </c>
      <c r="C1053" t="str">
        <v>Canonical Bridge</v>
      </c>
      <c r="D1053" t="str">
        <v>CANTO</v>
      </c>
      <c r="E1053">
        <v>0</v>
      </c>
      <c r="F1053">
        <v>1103431.7270501696</v>
      </c>
    </row>
    <row r="1054" spans="2:6" ht="15.75" customHeight="1" x14ac:dyDescent="0.25">
      <c r="B1054" t="str">
        <v>Canto Dex</v>
      </c>
      <c r="C1054" t="str">
        <v>Dexs</v>
      </c>
      <c r="D1054" t="str">
        <v>-</v>
      </c>
      <c r="E1054">
        <v>241687.76404664241</v>
      </c>
      <c r="F1054">
        <v>0</v>
      </c>
    </row>
    <row r="1055" spans="2:6" ht="15.75" customHeight="1" x14ac:dyDescent="0.25">
      <c r="B1055" t="str">
        <v>Canto Lending</v>
      </c>
      <c r="C1055" t="str">
        <v>Lending</v>
      </c>
      <c r="D1055" t="str">
        <v>-</v>
      </c>
      <c r="E1055">
        <v>1474963.7448862037</v>
      </c>
      <c r="F1055">
        <v>0</v>
      </c>
    </row>
    <row r="1056" spans="2:6" ht="15.75" customHeight="1" x14ac:dyDescent="0.25">
      <c r="B1056" t="str">
        <v>cantOHM</v>
      </c>
      <c r="C1056" t="str">
        <v>Reserve Currency</v>
      </c>
      <c r="D1056" t="str">
        <v>cOHM</v>
      </c>
      <c r="E1056">
        <v>5.5820013479668456</v>
      </c>
      <c r="F1056">
        <v>0</v>
      </c>
    </row>
    <row r="1057" spans="2:6" ht="15.75" customHeight="1" x14ac:dyDescent="0.25">
      <c r="B1057" t="str">
        <v>CantoSwap</v>
      </c>
      <c r="C1057" t="str">
        <v>Dexs</v>
      </c>
      <c r="D1057" t="str">
        <v>Matrix</v>
      </c>
      <c r="E1057">
        <v>1524.7132121529846</v>
      </c>
      <c r="F1057">
        <v>0</v>
      </c>
    </row>
    <row r="1058" spans="2:6" ht="15.75" customHeight="1" x14ac:dyDescent="0.25">
      <c r="B1058" t="str">
        <v>cap</v>
      </c>
      <c r="C1058" t="str">
        <v>Lending</v>
      </c>
      <c r="D1058" t="str">
        <v>-</v>
      </c>
      <c r="E1058">
        <v>389795029.67683715</v>
      </c>
      <c r="F1058">
        <v>0</v>
      </c>
    </row>
    <row r="1059" spans="2:6" ht="15.75" customHeight="1" x14ac:dyDescent="0.25">
      <c r="B1059" t="str">
        <v>Cap Finance v1-v3</v>
      </c>
      <c r="C1059" t="str">
        <v>Derivatives</v>
      </c>
      <c r="D1059" t="str">
        <v>CAP</v>
      </c>
      <c r="E1059">
        <v>268553.20273890905</v>
      </c>
      <c r="F1059">
        <v>0</v>
      </c>
    </row>
    <row r="1060" spans="2:6" ht="15.75" customHeight="1" x14ac:dyDescent="0.25">
      <c r="B1060" t="str">
        <v>Cap Finance V4</v>
      </c>
      <c r="C1060" t="str">
        <v>Derivatives</v>
      </c>
      <c r="D1060" t="str">
        <v>CAP</v>
      </c>
      <c r="E1060">
        <v>31683.647430393034</v>
      </c>
      <c r="F1060">
        <v>0</v>
      </c>
    </row>
    <row r="1061" spans="2:6" ht="15.75" customHeight="1" x14ac:dyDescent="0.25">
      <c r="B1061" t="str">
        <v>Capital DAO</v>
      </c>
      <c r="C1061" t="str">
        <v>Services</v>
      </c>
      <c r="D1061" t="str">
        <v>CDS</v>
      </c>
      <c r="E1061">
        <v>0</v>
      </c>
      <c r="F1061">
        <v>0</v>
      </c>
    </row>
    <row r="1062" spans="2:6" ht="15.75" customHeight="1" x14ac:dyDescent="0.25">
      <c r="B1062" t="str">
        <v>CapitalDEX</v>
      </c>
      <c r="C1062" t="str">
        <v>Dexs</v>
      </c>
      <c r="D1062" t="str">
        <v>CGT</v>
      </c>
      <c r="E1062">
        <v>1411.1452449673077</v>
      </c>
      <c r="F1062">
        <v>3986332.4732219689</v>
      </c>
    </row>
    <row r="1063" spans="2:6" ht="15.75" customHeight="1" x14ac:dyDescent="0.25">
      <c r="B1063" t="str">
        <v>Capricorn</v>
      </c>
      <c r="C1063" t="str">
        <v>Dexs</v>
      </c>
      <c r="D1063" t="str">
        <v>-</v>
      </c>
      <c r="E1063">
        <v>1424850.664165867</v>
      </c>
      <c r="F1063">
        <v>0</v>
      </c>
    </row>
    <row r="1064" spans="2:6" ht="15.75" customHeight="1" x14ac:dyDescent="0.25">
      <c r="B1064" t="str">
        <v>Capricorn Finance</v>
      </c>
      <c r="C1064" t="str">
        <v>Dexs</v>
      </c>
      <c r="D1064" t="str">
        <v>CORN</v>
      </c>
      <c r="E1064">
        <v>0</v>
      </c>
      <c r="F1064">
        <v>0</v>
      </c>
    </row>
    <row r="1065" spans="2:6" ht="15.75" customHeight="1" x14ac:dyDescent="0.25">
      <c r="B1065" t="str">
        <v>Capx AI</v>
      </c>
      <c r="C1065" t="str">
        <v>AI Agents</v>
      </c>
      <c r="D1065" t="str">
        <v>CAPX</v>
      </c>
      <c r="E1065">
        <v>2163545.0621628757</v>
      </c>
      <c r="F1065">
        <v>22245858.895000096</v>
      </c>
    </row>
    <row r="1066" spans="2:6" ht="15.75" customHeight="1" x14ac:dyDescent="0.25">
      <c r="B1066" t="str">
        <v>Capy Finance</v>
      </c>
      <c r="C1066" t="str">
        <v>Farm</v>
      </c>
      <c r="D1066" t="str">
        <v>-</v>
      </c>
      <c r="E1066">
        <v>1645.8149076290354</v>
      </c>
      <c r="F1066">
        <v>0</v>
      </c>
    </row>
    <row r="1067" spans="2:6" ht="15.75" customHeight="1" x14ac:dyDescent="0.25">
      <c r="B1067" t="str">
        <v>Capybara Dexs</v>
      </c>
      <c r="C1067" t="str">
        <v>Dexs</v>
      </c>
      <c r="D1067" t="str">
        <v>-</v>
      </c>
      <c r="E1067">
        <v>465164.56276177918</v>
      </c>
      <c r="F1067">
        <v>0</v>
      </c>
    </row>
    <row r="1068" spans="2:6" ht="15.75" customHeight="1" x14ac:dyDescent="0.25">
      <c r="B1068" t="str">
        <v>Capybara Perps</v>
      </c>
      <c r="C1068" t="str">
        <v>Derivatives</v>
      </c>
      <c r="D1068" t="str">
        <v>-</v>
      </c>
      <c r="E1068">
        <v>26166.389849000923</v>
      </c>
      <c r="F1068">
        <v>0</v>
      </c>
    </row>
    <row r="1069" spans="2:6" ht="15.75" customHeight="1" x14ac:dyDescent="0.25">
      <c r="B1069" t="str">
        <v>Capyfi</v>
      </c>
      <c r="C1069" t="str">
        <v>Lending</v>
      </c>
      <c r="D1069" t="str">
        <v>-</v>
      </c>
      <c r="E1069">
        <v>100239473.04931939</v>
      </c>
      <c r="F1069">
        <v>0</v>
      </c>
    </row>
    <row r="1070" spans="2:6" ht="15.75" customHeight="1" x14ac:dyDescent="0.25">
      <c r="B1070" t="str">
        <v>Carbon Defi</v>
      </c>
      <c r="C1070" t="str">
        <v>Dexs</v>
      </c>
      <c r="D1070" t="str">
        <v>-</v>
      </c>
      <c r="E1070">
        <v>4505713.5394729711</v>
      </c>
      <c r="F1070">
        <v>0</v>
      </c>
    </row>
    <row r="1071" spans="2:6" ht="15.75" customHeight="1" x14ac:dyDescent="0.25">
      <c r="B1071" t="str">
        <v>Carbon Finance</v>
      </c>
      <c r="C1071" t="str">
        <v>Farm</v>
      </c>
      <c r="D1071" t="str">
        <v>CARBON</v>
      </c>
      <c r="E1071">
        <v>5777.8942356851949</v>
      </c>
      <c r="F1071">
        <v>0</v>
      </c>
    </row>
    <row r="1072" spans="2:6" ht="15.75" customHeight="1" x14ac:dyDescent="0.25">
      <c r="B1072" t="str">
        <v>Carbon.inc</v>
      </c>
      <c r="C1072" t="str">
        <v>Derivatives</v>
      </c>
      <c r="D1072" t="str">
        <v>-</v>
      </c>
      <c r="E1072">
        <v>0</v>
      </c>
      <c r="F1072">
        <v>0</v>
      </c>
    </row>
    <row r="1073" spans="2:6" ht="15.75" customHeight="1" x14ac:dyDescent="0.25">
      <c r="B1073" t="str">
        <v>CarbonSwap</v>
      </c>
      <c r="C1073" t="str">
        <v>Dexs</v>
      </c>
      <c r="D1073" t="str">
        <v>SUSU</v>
      </c>
      <c r="E1073">
        <v>144919.66890588743</v>
      </c>
      <c r="F1073">
        <v>0</v>
      </c>
    </row>
    <row r="1074" spans="2:6" ht="15.75" customHeight="1" x14ac:dyDescent="0.25">
      <c r="B1074" t="str">
        <v>Cardstarter</v>
      </c>
      <c r="C1074" t="str">
        <v>Launchpad</v>
      </c>
      <c r="D1074" t="str">
        <v>CARDS</v>
      </c>
      <c r="E1074">
        <v>0</v>
      </c>
      <c r="F1074">
        <v>0</v>
      </c>
    </row>
    <row r="1075" spans="2:6" ht="15.75" customHeight="1" x14ac:dyDescent="0.25">
      <c r="B1075" t="str">
        <v>Caribou Finance</v>
      </c>
      <c r="C1075" t="str">
        <v>Yield</v>
      </c>
      <c r="D1075" t="str">
        <v>CARIBOU</v>
      </c>
      <c r="E1075">
        <v>6.0538610309190881</v>
      </c>
      <c r="F1075">
        <v>0</v>
      </c>
    </row>
    <row r="1076" spans="2:6" ht="15.75" customHeight="1" x14ac:dyDescent="0.25">
      <c r="B1076" t="str">
        <v>Carina</v>
      </c>
      <c r="C1076" t="str">
        <v>DEX Aggregator</v>
      </c>
      <c r="D1076" t="str">
        <v>-</v>
      </c>
      <c r="E1076">
        <v>0</v>
      </c>
      <c r="F1076">
        <v>0</v>
      </c>
    </row>
    <row r="1077" spans="2:6" ht="15.75" customHeight="1" x14ac:dyDescent="0.25">
      <c r="B1077" t="str">
        <v>Carmine Options</v>
      </c>
      <c r="C1077" t="str">
        <v>Options</v>
      </c>
      <c r="D1077" t="str">
        <v>CARM</v>
      </c>
      <c r="E1077">
        <v>145946.49506957838</v>
      </c>
      <c r="F1077">
        <v>0</v>
      </c>
    </row>
    <row r="1078" spans="2:6" ht="15.75" customHeight="1" x14ac:dyDescent="0.25">
      <c r="B1078" t="str">
        <v>Carrot Lend</v>
      </c>
      <c r="C1078" t="str">
        <v>Lending</v>
      </c>
      <c r="D1078" t="str">
        <v>CRT</v>
      </c>
      <c r="E1078">
        <v>5371695.9079841506</v>
      </c>
      <c r="F1078">
        <v>0</v>
      </c>
    </row>
    <row r="1079" spans="2:6" ht="15.75" customHeight="1" x14ac:dyDescent="0.25">
      <c r="B1079" t="str">
        <v>Carrot Liquidity</v>
      </c>
      <c r="C1079" t="str">
        <v>Yield Aggregator</v>
      </c>
      <c r="D1079" t="str">
        <v>CRT</v>
      </c>
      <c r="E1079">
        <v>21953593.648094952</v>
      </c>
      <c r="F1079">
        <v>0</v>
      </c>
    </row>
    <row r="1080" spans="2:6" ht="15.75" customHeight="1" x14ac:dyDescent="0.25">
      <c r="B1080" t="str">
        <v>Carrot Swap</v>
      </c>
      <c r="C1080" t="str">
        <v>Dexs</v>
      </c>
      <c r="D1080" t="str">
        <v>-</v>
      </c>
      <c r="E1080">
        <v>14957.397837223849</v>
      </c>
      <c r="F1080">
        <v>0</v>
      </c>
    </row>
    <row r="1081" spans="2:6" ht="15.75" customHeight="1" x14ac:dyDescent="0.25">
      <c r="B1081" t="str">
        <v>CashCow Finance</v>
      </c>
      <c r="C1081" t="str">
        <v>Lending</v>
      </c>
      <c r="D1081" t="str">
        <v>CCF</v>
      </c>
      <c r="E1081">
        <v>111365.90709087244</v>
      </c>
      <c r="F1081">
        <v>0</v>
      </c>
    </row>
    <row r="1082" spans="2:6" ht="15.75" customHeight="1" x14ac:dyDescent="0.25">
      <c r="B1082" t="str">
        <v>CashCow Protocol</v>
      </c>
      <c r="C1082" t="str">
        <v>Yield</v>
      </c>
      <c r="D1082" t="str">
        <v>MILK</v>
      </c>
      <c r="E1082">
        <v>3360.9485027665082</v>
      </c>
      <c r="F1082">
        <v>0</v>
      </c>
    </row>
    <row r="1083" spans="2:6" ht="15.75" customHeight="1" x14ac:dyDescent="0.25">
      <c r="B1083" t="str">
        <v>Cashio</v>
      </c>
      <c r="C1083" t="str">
        <v>CDP</v>
      </c>
      <c r="D1083" t="str">
        <v>CASH</v>
      </c>
      <c r="E1083">
        <v>6.6692219935373651E-2</v>
      </c>
      <c r="F1083">
        <v>0</v>
      </c>
    </row>
    <row r="1084" spans="2:6" ht="15.75" customHeight="1" x14ac:dyDescent="0.25">
      <c r="B1084" t="str">
        <v>Cashmere</v>
      </c>
      <c r="C1084" t="str">
        <v>Bridge</v>
      </c>
      <c r="D1084" t="str">
        <v>-</v>
      </c>
      <c r="E1084">
        <v>0</v>
      </c>
      <c r="F1084">
        <v>0</v>
      </c>
    </row>
    <row r="1085" spans="2:6" ht="15.75" customHeight="1" x14ac:dyDescent="0.25">
      <c r="B1085" t="str">
        <v>casinocronos</v>
      </c>
      <c r="C1085" t="str">
        <v>Dexs</v>
      </c>
      <c r="D1085" t="str">
        <v>casino</v>
      </c>
      <c r="E1085">
        <v>1826.052597450949</v>
      </c>
      <c r="F1085">
        <v>0</v>
      </c>
    </row>
    <row r="1086" spans="2:6" ht="15.75" customHeight="1" x14ac:dyDescent="0.25">
      <c r="B1086" t="str">
        <v>Cat in a Box</v>
      </c>
      <c r="C1086" t="str">
        <v>Lending</v>
      </c>
      <c r="D1086" t="str">
        <v>-</v>
      </c>
      <c r="E1086">
        <v>535446.95014033746</v>
      </c>
      <c r="F1086">
        <v>0</v>
      </c>
    </row>
    <row r="1087" spans="2:6" ht="15.75" customHeight="1" x14ac:dyDescent="0.25">
      <c r="B1087" t="str">
        <v>Catalist</v>
      </c>
      <c r="C1087" t="str">
        <v>Liquid Staking</v>
      </c>
      <c r="D1087" t="str">
        <v>-</v>
      </c>
      <c r="E1087">
        <v>80114.324752096421</v>
      </c>
      <c r="F1087">
        <v>0</v>
      </c>
    </row>
    <row r="1088" spans="2:6" ht="15.75" customHeight="1" x14ac:dyDescent="0.25">
      <c r="B1088" t="str">
        <v>Catalist DEX</v>
      </c>
      <c r="C1088" t="str">
        <v>Dexs</v>
      </c>
      <c r="D1088" t="str">
        <v>CHURU</v>
      </c>
      <c r="E1088">
        <v>4287.818011671151</v>
      </c>
      <c r="F1088">
        <v>0</v>
      </c>
    </row>
    <row r="1089" spans="2:6" ht="15.75" customHeight="1" x14ac:dyDescent="0.25">
      <c r="B1089" t="str">
        <v>Catalyst</v>
      </c>
      <c r="C1089" t="str">
        <v>Cross Chain Bridge</v>
      </c>
      <c r="D1089" t="str">
        <v>-</v>
      </c>
      <c r="E1089">
        <v>21269.468509416569</v>
      </c>
      <c r="F1089">
        <v>0</v>
      </c>
    </row>
    <row r="1090" spans="2:6" ht="15.75" customHeight="1" x14ac:dyDescent="0.25">
      <c r="B1090" t="str">
        <v>Cate Ventures</v>
      </c>
      <c r="C1090" t="str">
        <v>Farm</v>
      </c>
      <c r="D1090" t="str">
        <v>-</v>
      </c>
      <c r="E1090">
        <v>0</v>
      </c>
      <c r="F1090">
        <v>0</v>
      </c>
    </row>
    <row r="1091" spans="2:6" ht="15.75" customHeight="1" x14ac:dyDescent="0.25">
      <c r="B1091" t="str">
        <v>Catex</v>
      </c>
      <c r="C1091" t="str">
        <v>Dexs</v>
      </c>
      <c r="D1091" t="str">
        <v>-</v>
      </c>
      <c r="E1091">
        <v>119359.38196623599</v>
      </c>
      <c r="F1091">
        <v>0</v>
      </c>
    </row>
    <row r="1092" spans="2:6" ht="15.75" customHeight="1" x14ac:dyDescent="0.25">
      <c r="B1092" t="str">
        <v>CatFee</v>
      </c>
      <c r="C1092" t="str">
        <v>Developer Tools</v>
      </c>
      <c r="D1092" t="str">
        <v>-</v>
      </c>
      <c r="E1092">
        <v>0</v>
      </c>
      <c r="F1092">
        <v>0</v>
      </c>
    </row>
    <row r="1093" spans="2:6" ht="15.75" customHeight="1" x14ac:dyDescent="0.25">
      <c r="B1093" t="str">
        <v>CatFee Staking Vault</v>
      </c>
      <c r="C1093" t="str">
        <v>Staking Pool</v>
      </c>
      <c r="D1093" t="str">
        <v>-</v>
      </c>
      <c r="E1093">
        <v>16020125.864956271</v>
      </c>
      <c r="F1093">
        <v>0</v>
      </c>
    </row>
    <row r="1094" spans="2:6" ht="15.75" customHeight="1" x14ac:dyDescent="0.25">
      <c r="B1094" t="str">
        <v>CatsApes</v>
      </c>
      <c r="C1094" t="str">
        <v>Gaming</v>
      </c>
      <c r="D1094" t="str">
        <v>-</v>
      </c>
      <c r="E1094">
        <v>0</v>
      </c>
      <c r="F1094">
        <v>0</v>
      </c>
    </row>
    <row r="1095" spans="2:6" ht="15.75" customHeight="1" x14ac:dyDescent="0.25">
      <c r="B1095" t="str">
        <v>CatsLuck</v>
      </c>
      <c r="C1095" t="str">
        <v>Prediction Market</v>
      </c>
      <c r="D1095" t="str">
        <v>CLK</v>
      </c>
      <c r="E1095">
        <v>2962.048362760805</v>
      </c>
      <c r="F1095">
        <v>0</v>
      </c>
    </row>
    <row r="1096" spans="2:6" ht="15.75" customHeight="1" x14ac:dyDescent="0.25">
      <c r="B1096" t="str">
        <v>Catton</v>
      </c>
      <c r="C1096" t="str">
        <v>CDP</v>
      </c>
      <c r="D1096" t="str">
        <v>CATTON</v>
      </c>
      <c r="E1096">
        <v>3.2784489755259436</v>
      </c>
      <c r="F1096">
        <v>0</v>
      </c>
    </row>
    <row r="1097" spans="2:6" ht="15.75" customHeight="1" x14ac:dyDescent="0.25">
      <c r="B1097" t="str">
        <v>Cattos</v>
      </c>
      <c r="C1097" t="str">
        <v>Gaming</v>
      </c>
      <c r="D1097" t="str">
        <v>CATTOS</v>
      </c>
      <c r="E1097">
        <v>0</v>
      </c>
      <c r="F1097">
        <v>85782.484870261091</v>
      </c>
    </row>
    <row r="1098" spans="2:6" ht="15.75" customHeight="1" x14ac:dyDescent="0.25">
      <c r="B1098" t="str">
        <v>Cauldron</v>
      </c>
      <c r="C1098" t="str">
        <v>Dexs</v>
      </c>
      <c r="D1098" t="str">
        <v>-</v>
      </c>
      <c r="E1098">
        <v>902260.87449669279</v>
      </c>
      <c r="F1098">
        <v>0</v>
      </c>
    </row>
    <row r="1099" spans="2:6" ht="15.75" customHeight="1" x14ac:dyDescent="0.25">
      <c r="B1099" t="str">
        <v>CavalRe</v>
      </c>
      <c r="C1099" t="str">
        <v>Dexs</v>
      </c>
      <c r="D1099" t="str">
        <v>-</v>
      </c>
      <c r="E1099">
        <v>15039.009386993126</v>
      </c>
      <c r="F1099">
        <v>0</v>
      </c>
    </row>
    <row r="1100" spans="2:6" ht="15.75" customHeight="1" x14ac:dyDescent="0.25">
      <c r="B1100" t="str">
        <v>Caviar Tangible</v>
      </c>
      <c r="C1100" t="str">
        <v>Yield</v>
      </c>
      <c r="D1100" t="str">
        <v>TNGBL</v>
      </c>
      <c r="E1100">
        <v>0</v>
      </c>
      <c r="F1100">
        <v>0</v>
      </c>
    </row>
    <row r="1101" spans="2:6" ht="15.75" customHeight="1" x14ac:dyDescent="0.25">
      <c r="B1101" t="str">
        <v>Caviar V1</v>
      </c>
      <c r="C1101" t="str">
        <v>NFT Marketplace</v>
      </c>
      <c r="D1101" t="str">
        <v>-</v>
      </c>
      <c r="E1101">
        <v>76936.031418158862</v>
      </c>
      <c r="F1101">
        <v>0</v>
      </c>
    </row>
    <row r="1102" spans="2:6" ht="15.75" customHeight="1" x14ac:dyDescent="0.25">
      <c r="B1102" t="str">
        <v>Caviar V2</v>
      </c>
      <c r="C1102" t="str">
        <v>NFT Marketplace</v>
      </c>
      <c r="D1102" t="str">
        <v>-</v>
      </c>
      <c r="E1102">
        <v>8657.6841504371005</v>
      </c>
      <c r="F1102">
        <v>0</v>
      </c>
    </row>
    <row r="1103" spans="2:6" ht="15.75" customHeight="1" x14ac:dyDescent="0.25">
      <c r="B1103" t="str">
        <v>CaviarNine Agg</v>
      </c>
      <c r="C1103" t="str">
        <v>DEX Aggregator</v>
      </c>
      <c r="D1103" t="str">
        <v>FLOOP</v>
      </c>
      <c r="E1103">
        <v>0</v>
      </c>
      <c r="F1103">
        <v>0</v>
      </c>
    </row>
    <row r="1104" spans="2:6" ht="15.75" customHeight="1" x14ac:dyDescent="0.25">
      <c r="B1104" t="str">
        <v>CaviarNine HyperStake</v>
      </c>
      <c r="C1104" t="str">
        <v>Liquid Staking</v>
      </c>
      <c r="D1104" t="str">
        <v>-</v>
      </c>
      <c r="E1104">
        <v>68468.359404380404</v>
      </c>
      <c r="F1104">
        <v>0</v>
      </c>
    </row>
    <row r="1105" spans="2:6" ht="15.75" customHeight="1" x14ac:dyDescent="0.25">
      <c r="B1105" t="str">
        <v>CaviarNine LSU Pool</v>
      </c>
      <c r="C1105" t="str">
        <v>Dexs</v>
      </c>
      <c r="D1105" t="str">
        <v>FLOOP</v>
      </c>
      <c r="E1105">
        <v>535747.11846350227</v>
      </c>
      <c r="F1105">
        <v>0</v>
      </c>
    </row>
    <row r="1106" spans="2:6" ht="15.75" customHeight="1" x14ac:dyDescent="0.25">
      <c r="B1106" t="str">
        <v>CaviarNine Order Book</v>
      </c>
      <c r="C1106" t="str">
        <v>Dexs</v>
      </c>
      <c r="D1106" t="str">
        <v>FLOOP</v>
      </c>
      <c r="E1106">
        <v>44290.426365124265</v>
      </c>
      <c r="F1106">
        <v>0</v>
      </c>
    </row>
    <row r="1107" spans="2:6" ht="15.75" customHeight="1" x14ac:dyDescent="0.25">
      <c r="B1107" t="str">
        <v>CaviarNine Shape Liquidity</v>
      </c>
      <c r="C1107" t="str">
        <v>Dexs</v>
      </c>
      <c r="D1107" t="str">
        <v>FLOOP</v>
      </c>
      <c r="E1107">
        <v>548797.00271188538</v>
      </c>
      <c r="F1107">
        <v>0</v>
      </c>
    </row>
    <row r="1108" spans="2:6" ht="15.75" customHeight="1" x14ac:dyDescent="0.25">
      <c r="B1108" t="str">
        <v>CaviarNine Simple Pools</v>
      </c>
      <c r="C1108" t="str">
        <v>Dexs</v>
      </c>
      <c r="D1108" t="str">
        <v>FLOOP</v>
      </c>
      <c r="E1108">
        <v>892341.8425456374</v>
      </c>
      <c r="F1108">
        <v>0</v>
      </c>
    </row>
    <row r="1109" spans="2:6" ht="15.75" customHeight="1" x14ac:dyDescent="0.25">
      <c r="B1109" t="str">
        <v>cBridge</v>
      </c>
      <c r="C1109" t="str">
        <v>Bridge</v>
      </c>
      <c r="D1109" t="str">
        <v>CELR</v>
      </c>
      <c r="E1109">
        <v>50480652.348151237</v>
      </c>
      <c r="F1109">
        <v>24250536.675287656</v>
      </c>
    </row>
    <row r="1110" spans="2:6" ht="15.75" customHeight="1" x14ac:dyDescent="0.25">
      <c r="B1110" t="str">
        <v>Cega V1</v>
      </c>
      <c r="C1110" t="str">
        <v>Options</v>
      </c>
      <c r="D1110" t="str">
        <v>-</v>
      </c>
      <c r="E1110">
        <v>308196.66432767868</v>
      </c>
      <c r="F1110">
        <v>0</v>
      </c>
    </row>
    <row r="1111" spans="2:6" ht="15.75" customHeight="1" x14ac:dyDescent="0.25">
      <c r="B1111" t="str">
        <v>Cega V2</v>
      </c>
      <c r="C1111" t="str">
        <v>Options</v>
      </c>
      <c r="D1111" t="str">
        <v>-</v>
      </c>
      <c r="E1111">
        <v>114509.39784657367</v>
      </c>
      <c r="F1111">
        <v>0</v>
      </c>
    </row>
    <row r="1112" spans="2:6" ht="15.75" customHeight="1" x14ac:dyDescent="0.25">
      <c r="B1112" t="str">
        <v>Celeron</v>
      </c>
      <c r="C1112" t="str">
        <v>Yield Aggregator</v>
      </c>
      <c r="D1112" t="str">
        <v>CEL</v>
      </c>
      <c r="E1112">
        <v>0.76997019160031677</v>
      </c>
      <c r="F1112">
        <v>0</v>
      </c>
    </row>
    <row r="1113" spans="2:6" ht="15.75" customHeight="1" x14ac:dyDescent="0.25">
      <c r="B1113" t="str">
        <v>Celerycash</v>
      </c>
      <c r="C1113" t="str">
        <v>Services</v>
      </c>
      <c r="D1113" t="str">
        <v>CLY</v>
      </c>
      <c r="E1113">
        <v>0</v>
      </c>
      <c r="F1113">
        <v>0</v>
      </c>
    </row>
    <row r="1114" spans="2:6" ht="15.75" customHeight="1" x14ac:dyDescent="0.25">
      <c r="B1114" t="str">
        <v>Celestia</v>
      </c>
      <c r="C1114" t="str">
        <v>Canonical Bridge</v>
      </c>
      <c r="D1114" t="str">
        <v>TIA</v>
      </c>
      <c r="E1114">
        <v>0</v>
      </c>
      <c r="F1114">
        <v>469871760.14559001</v>
      </c>
    </row>
    <row r="1115" spans="2:6" ht="15.75" customHeight="1" x14ac:dyDescent="0.25">
      <c r="B1115" t="str">
        <v>Cellana Finance</v>
      </c>
      <c r="C1115" t="str">
        <v>Dexs</v>
      </c>
      <c r="D1115" t="str">
        <v>CELL</v>
      </c>
      <c r="E1115">
        <v>2105393.7666341481</v>
      </c>
      <c r="F1115">
        <v>57302.500537197826</v>
      </c>
    </row>
    <row r="1116" spans="2:6" ht="15.75" customHeight="1" x14ac:dyDescent="0.25">
      <c r="B1116" t="str">
        <v>Cells Finance</v>
      </c>
      <c r="C1116" t="str">
        <v>Yield Aggregator</v>
      </c>
      <c r="D1116" t="str">
        <v>CELLS</v>
      </c>
      <c r="E1116">
        <v>0</v>
      </c>
      <c r="F1116">
        <v>0</v>
      </c>
    </row>
    <row r="1117" spans="2:6" ht="15.75" customHeight="1" x14ac:dyDescent="0.25">
      <c r="B1117" t="str">
        <v>Cellula</v>
      </c>
      <c r="C1117" t="str">
        <v>Gaming</v>
      </c>
      <c r="D1117" t="str">
        <v>CELA</v>
      </c>
      <c r="E1117">
        <v>0</v>
      </c>
      <c r="F1117">
        <v>1497.7134972581323</v>
      </c>
    </row>
    <row r="1118" spans="2:6" ht="15.75" customHeight="1" x14ac:dyDescent="0.25">
      <c r="B1118" t="str">
        <v>Cemetery Finance</v>
      </c>
      <c r="C1118" t="str">
        <v>Farm</v>
      </c>
      <c r="D1118" t="str">
        <v>HAUNT</v>
      </c>
      <c r="E1118">
        <v>147.64948045072282</v>
      </c>
      <c r="F1118">
        <v>0</v>
      </c>
    </row>
    <row r="1119" spans="2:6" ht="15.75" customHeight="1" x14ac:dyDescent="0.25">
      <c r="B1119" t="str">
        <v>CENNZnet Bridge</v>
      </c>
      <c r="C1119" t="str">
        <v>Bridge</v>
      </c>
      <c r="D1119" t="str">
        <v>-</v>
      </c>
      <c r="E1119">
        <v>130856.90469949754</v>
      </c>
      <c r="F1119">
        <v>0</v>
      </c>
    </row>
    <row r="1120" spans="2:6" ht="15.75" customHeight="1" x14ac:dyDescent="0.25">
      <c r="B1120" t="str">
        <v>Centrifuge Protocol</v>
      </c>
      <c r="C1120" t="str">
        <v>RWA</v>
      </c>
      <c r="D1120" t="str">
        <v>CFG</v>
      </c>
      <c r="E1120">
        <v>1338348942.6515355</v>
      </c>
      <c r="F1120">
        <v>0</v>
      </c>
    </row>
    <row r="1121" spans="2:6" ht="15.75" customHeight="1" x14ac:dyDescent="0.25">
      <c r="B1121" t="str">
        <v>CerberusDAO</v>
      </c>
      <c r="C1121" t="str">
        <v>Reserve Currency</v>
      </c>
      <c r="D1121" t="str">
        <v>3DOG</v>
      </c>
      <c r="E1121">
        <v>0</v>
      </c>
      <c r="F1121">
        <v>0</v>
      </c>
    </row>
    <row r="1122" spans="2:6" ht="15.75" customHeight="1" x14ac:dyDescent="0.25">
      <c r="B1122" t="str">
        <v>Cerra</v>
      </c>
      <c r="C1122" t="str">
        <v>Lending</v>
      </c>
      <c r="D1122" t="str">
        <v>CERRA</v>
      </c>
      <c r="E1122">
        <v>697.17368322991535</v>
      </c>
      <c r="F1122">
        <v>0</v>
      </c>
    </row>
    <row r="1123" spans="2:6" ht="15.75" customHeight="1" x14ac:dyDescent="0.25">
      <c r="B1123" t="str">
        <v>Cesta Finance</v>
      </c>
      <c r="C1123" t="str">
        <v>Reserve Currency</v>
      </c>
      <c r="D1123" t="str">
        <v>-</v>
      </c>
      <c r="E1123">
        <v>0</v>
      </c>
      <c r="F1123">
        <v>0</v>
      </c>
    </row>
    <row r="1124" spans="2:6" ht="15.75" customHeight="1" x14ac:dyDescent="0.25">
      <c r="B1124" t="str">
        <v>Ceto Swap</v>
      </c>
      <c r="C1124" t="str">
        <v>Dexs</v>
      </c>
      <c r="D1124" t="str">
        <v>CETO</v>
      </c>
      <c r="E1124">
        <v>9615.5402458541921</v>
      </c>
      <c r="F1124">
        <v>0</v>
      </c>
    </row>
    <row r="1125" spans="2:6" ht="15.75" customHeight="1" x14ac:dyDescent="0.25">
      <c r="B1125" t="str">
        <v>Cetus Aggregator</v>
      </c>
      <c r="C1125" t="str">
        <v>DEX Aggregator</v>
      </c>
      <c r="D1125" t="str">
        <v>CETUS</v>
      </c>
      <c r="E1125">
        <v>0</v>
      </c>
      <c r="F1125">
        <v>0</v>
      </c>
    </row>
    <row r="1126" spans="2:6" ht="15.75" customHeight="1" x14ac:dyDescent="0.25">
      <c r="B1126" t="str">
        <v>Cetus CLMM</v>
      </c>
      <c r="C1126" t="str">
        <v>Dexs</v>
      </c>
      <c r="D1126" t="str">
        <v>CETUS</v>
      </c>
      <c r="E1126">
        <v>50226783.283379667</v>
      </c>
      <c r="F1126">
        <v>0</v>
      </c>
    </row>
    <row r="1127" spans="2:6" ht="15.75" customHeight="1" x14ac:dyDescent="0.25">
      <c r="B1127" t="str">
        <v>Cetus DLMM</v>
      </c>
      <c r="C1127" t="str">
        <v>Dexs</v>
      </c>
      <c r="D1127" t="str">
        <v>CETUS</v>
      </c>
      <c r="E1127">
        <v>454483.97958598559</v>
      </c>
      <c r="F1127">
        <v>0</v>
      </c>
    </row>
    <row r="1128" spans="2:6" ht="15.75" customHeight="1" x14ac:dyDescent="0.25">
      <c r="B1128" t="str">
        <v>CexDex</v>
      </c>
      <c r="C1128" t="str">
        <v>Yield</v>
      </c>
      <c r="D1128" t="str">
        <v>-</v>
      </c>
      <c r="E1128">
        <v>0</v>
      </c>
      <c r="F1128">
        <v>0</v>
      </c>
    </row>
    <row r="1129" spans="2:6" ht="15.75" customHeight="1" x14ac:dyDescent="0.25">
      <c r="B1129" t="str">
        <v>CGO Finance</v>
      </c>
      <c r="C1129" t="str">
        <v>Yield Aggregator</v>
      </c>
      <c r="D1129" t="str">
        <v>CGO</v>
      </c>
      <c r="E1129">
        <v>1719031.7906653539</v>
      </c>
      <c r="F1129">
        <v>0</v>
      </c>
    </row>
    <row r="1130" spans="2:6" ht="15.75" customHeight="1" x14ac:dyDescent="0.25">
      <c r="B1130" t="str">
        <v>CGX Finance</v>
      </c>
      <c r="C1130" t="str">
        <v>Dexs</v>
      </c>
      <c r="D1130" t="str">
        <v>CGX</v>
      </c>
      <c r="E1130">
        <v>47609.261501180619</v>
      </c>
      <c r="F1130">
        <v>0</v>
      </c>
    </row>
    <row r="1131" spans="2:6" ht="15.75" customHeight="1" x14ac:dyDescent="0.25">
      <c r="B1131" t="str">
        <v>Chad Finance</v>
      </c>
      <c r="C1131" t="str">
        <v>Yield</v>
      </c>
      <c r="D1131" t="str">
        <v>CHAD</v>
      </c>
      <c r="E1131">
        <v>1.6896529607779631</v>
      </c>
      <c r="F1131">
        <v>0</v>
      </c>
    </row>
    <row r="1132" spans="2:6" ht="15.75" customHeight="1" x14ac:dyDescent="0.25">
      <c r="B1132" t="str">
        <v>ChadFinance</v>
      </c>
      <c r="C1132" t="str">
        <v>Dexs</v>
      </c>
      <c r="D1132" t="str">
        <v>CHAD</v>
      </c>
      <c r="E1132">
        <v>137.24815918173886</v>
      </c>
      <c r="F1132">
        <v>0</v>
      </c>
    </row>
    <row r="1133" spans="2:6" ht="15.75" customHeight="1" x14ac:dyDescent="0.25">
      <c r="B1133" t="str">
        <v>Chain Fusion</v>
      </c>
      <c r="C1133" t="str">
        <v>Decentralized BTC</v>
      </c>
      <c r="D1133" t="str">
        <v>-</v>
      </c>
      <c r="E1133">
        <v>39171326.755332507</v>
      </c>
      <c r="F1133">
        <v>0</v>
      </c>
    </row>
    <row r="1134" spans="2:6" ht="15.75" customHeight="1" x14ac:dyDescent="0.25">
      <c r="B1134" t="str">
        <v>Chainchat</v>
      </c>
      <c r="C1134" t="str">
        <v>SoFi</v>
      </c>
      <c r="D1134" t="str">
        <v>-</v>
      </c>
      <c r="E1134">
        <v>26574.042274854379</v>
      </c>
      <c r="F1134">
        <v>0</v>
      </c>
    </row>
    <row r="1135" spans="2:6" ht="15.75" customHeight="1" x14ac:dyDescent="0.25">
      <c r="B1135" t="str">
        <v>Chainflip</v>
      </c>
      <c r="C1135" t="str">
        <v>Dexs</v>
      </c>
      <c r="D1135" t="str">
        <v>FLIP</v>
      </c>
      <c r="E1135">
        <v>12370529.071260944</v>
      </c>
      <c r="F1135">
        <v>26579519.317468483</v>
      </c>
    </row>
    <row r="1136" spans="2:6" ht="15.75" customHeight="1" x14ac:dyDescent="0.25">
      <c r="B1136" t="str">
        <v>Chainge Finance</v>
      </c>
      <c r="C1136" t="str">
        <v>Dexs</v>
      </c>
      <c r="D1136" t="str">
        <v>CHNG</v>
      </c>
      <c r="E1136">
        <v>15604086.521678671</v>
      </c>
      <c r="F1136">
        <v>246484.9095241781</v>
      </c>
    </row>
    <row r="1137" spans="2:6" ht="15.75" customHeight="1" x14ac:dyDescent="0.25">
      <c r="B1137" t="str">
        <v>ChainGPT</v>
      </c>
      <c r="C1137" t="str">
        <v>Launchpad</v>
      </c>
      <c r="D1137" t="str">
        <v>CGPT</v>
      </c>
      <c r="E1137">
        <v>38901.574489554958</v>
      </c>
      <c r="F1137">
        <v>29469375.357056655</v>
      </c>
    </row>
    <row r="1138" spans="2:6" ht="15.75" customHeight="1" x14ac:dyDescent="0.25">
      <c r="B1138" t="str">
        <v>Chainlink CCIP</v>
      </c>
      <c r="C1138" t="str">
        <v>Bridge</v>
      </c>
      <c r="D1138" t="str">
        <v>LINK</v>
      </c>
      <c r="E1138">
        <v>0</v>
      </c>
      <c r="F1138">
        <v>0</v>
      </c>
    </row>
    <row r="1139" spans="2:6" ht="15.75" customHeight="1" x14ac:dyDescent="0.25">
      <c r="B1139" t="str">
        <v>Chainlink Keepers</v>
      </c>
      <c r="C1139" t="str">
        <v>Oracle</v>
      </c>
      <c r="D1139" t="str">
        <v>LINK</v>
      </c>
      <c r="E1139">
        <v>0</v>
      </c>
      <c r="F1139">
        <v>0</v>
      </c>
    </row>
    <row r="1140" spans="2:6" ht="15.75" customHeight="1" x14ac:dyDescent="0.25">
      <c r="B1140" t="str">
        <v>Chainlink Requests</v>
      </c>
      <c r="C1140" t="str">
        <v>Oracle</v>
      </c>
      <c r="D1140" t="str">
        <v>LINK</v>
      </c>
      <c r="E1140">
        <v>0</v>
      </c>
      <c r="F1140">
        <v>0</v>
      </c>
    </row>
    <row r="1141" spans="2:6" ht="15.75" customHeight="1" x14ac:dyDescent="0.25">
      <c r="B1141" t="str">
        <v>Chainlink Staking</v>
      </c>
      <c r="C1141" t="str">
        <v>Staking Pool</v>
      </c>
      <c r="D1141" t="str">
        <v>LINK</v>
      </c>
      <c r="E1141">
        <v>0</v>
      </c>
      <c r="F1141">
        <v>0</v>
      </c>
    </row>
    <row r="1142" spans="2:6" ht="15.75" customHeight="1" x14ac:dyDescent="0.25">
      <c r="B1142" t="str">
        <v>Chainlink VRF V1</v>
      </c>
      <c r="C1142" t="str">
        <v>Oracle</v>
      </c>
      <c r="D1142" t="str">
        <v>LINK</v>
      </c>
      <c r="E1142">
        <v>0</v>
      </c>
      <c r="F1142">
        <v>0</v>
      </c>
    </row>
    <row r="1143" spans="2:6" ht="15.75" customHeight="1" x14ac:dyDescent="0.25">
      <c r="B1143" t="str">
        <v>Chainlink VRF V2</v>
      </c>
      <c r="C1143" t="str">
        <v>Oracle</v>
      </c>
      <c r="D1143" t="str">
        <v>LINK</v>
      </c>
      <c r="E1143">
        <v>0</v>
      </c>
      <c r="F1143">
        <v>0</v>
      </c>
    </row>
    <row r="1144" spans="2:6" ht="15.75" customHeight="1" x14ac:dyDescent="0.25">
      <c r="B1144" t="str">
        <v>Chainlist</v>
      </c>
      <c r="C1144" t="str">
        <v>Developer Tools</v>
      </c>
      <c r="D1144" t="str">
        <v>-</v>
      </c>
      <c r="E1144">
        <v>0</v>
      </c>
      <c r="F1144">
        <v>0</v>
      </c>
    </row>
    <row r="1145" spans="2:6" ht="15.75" customHeight="1" x14ac:dyDescent="0.25">
      <c r="B1145" t="str">
        <v>ChainPort</v>
      </c>
      <c r="C1145" t="str">
        <v>Bridge</v>
      </c>
      <c r="D1145" t="str">
        <v>PORTX</v>
      </c>
      <c r="E1145">
        <v>1884564.4554284841</v>
      </c>
      <c r="F1145">
        <v>88023.077065059857</v>
      </c>
    </row>
    <row r="1146" spans="2:6" ht="15.75" customHeight="1" x14ac:dyDescent="0.25">
      <c r="B1146" t="str">
        <v>Chainspot</v>
      </c>
      <c r="C1146" t="str">
        <v>DEX Aggregator</v>
      </c>
      <c r="D1146" t="str">
        <v>-</v>
      </c>
      <c r="E1146">
        <v>0</v>
      </c>
      <c r="F1146">
        <v>0</v>
      </c>
    </row>
    <row r="1147" spans="2:6" ht="15.75" customHeight="1" x14ac:dyDescent="0.25">
      <c r="B1147" t="str">
        <v>ChainTools</v>
      </c>
      <c r="C1147" t="str">
        <v>Yield</v>
      </c>
      <c r="D1147" t="str">
        <v>CTLS</v>
      </c>
      <c r="E1147">
        <v>7.1305736716865444E-3</v>
      </c>
      <c r="F1147">
        <v>11625.961333877187</v>
      </c>
    </row>
    <row r="1148" spans="2:6" ht="15.75" customHeight="1" x14ac:dyDescent="0.25">
      <c r="B1148" t="str">
        <v>Chakra</v>
      </c>
      <c r="C1148" t="str">
        <v>Restaked BTC</v>
      </c>
      <c r="D1148" t="str">
        <v>-</v>
      </c>
      <c r="E1148">
        <v>4646700.4398305751</v>
      </c>
      <c r="F1148">
        <v>0</v>
      </c>
    </row>
    <row r="1149" spans="2:6" ht="15.75" customHeight="1" x14ac:dyDescent="0.25">
      <c r="B1149" t="str">
        <v>ChampagneSwap</v>
      </c>
      <c r="C1149" t="str">
        <v>Dexs</v>
      </c>
      <c r="D1149" t="str">
        <v>CHAM</v>
      </c>
      <c r="E1149">
        <v>900.67717213449623</v>
      </c>
      <c r="F1149">
        <v>0</v>
      </c>
    </row>
    <row r="1150" spans="2:6" ht="15.75" customHeight="1" x14ac:dyDescent="0.25">
      <c r="B1150" t="str">
        <v>Champion Finance</v>
      </c>
      <c r="C1150" t="str">
        <v>Algo-Stables</v>
      </c>
      <c r="D1150" t="str">
        <v>AVIC</v>
      </c>
      <c r="E1150">
        <v>0</v>
      </c>
      <c r="F1150">
        <v>0</v>
      </c>
    </row>
    <row r="1151" spans="2:6" ht="15.75" customHeight="1" x14ac:dyDescent="0.25">
      <c r="B1151" t="str">
        <v>Changex</v>
      </c>
      <c r="C1151" t="str">
        <v>Yield</v>
      </c>
      <c r="D1151" t="str">
        <v>CHANGE</v>
      </c>
      <c r="E1151">
        <v>0</v>
      </c>
      <c r="F1151">
        <v>282202.94181464554</v>
      </c>
    </row>
    <row r="1152" spans="2:6" ht="15.75" customHeight="1" x14ac:dyDescent="0.25">
      <c r="B1152" t="str">
        <v>Channels Finance</v>
      </c>
      <c r="C1152" t="str">
        <v>Lending</v>
      </c>
      <c r="D1152" t="str">
        <v>CAN</v>
      </c>
      <c r="E1152">
        <v>14149.936317063137</v>
      </c>
      <c r="F1152">
        <v>289858.99657824339</v>
      </c>
    </row>
    <row r="1153" spans="2:6" ht="15.75" customHeight="1" x14ac:dyDescent="0.25">
      <c r="B1153" t="str">
        <v>Chaotic Finance</v>
      </c>
      <c r="C1153" t="str">
        <v>Derivatives</v>
      </c>
      <c r="D1153" t="str">
        <v>CHAOS</v>
      </c>
      <c r="E1153">
        <v>0</v>
      </c>
      <c r="F1153">
        <v>0</v>
      </c>
    </row>
    <row r="1154" spans="2:6" ht="15.75" customHeight="1" x14ac:dyDescent="0.25">
      <c r="B1154" t="str">
        <v>ChargeDeFi</v>
      </c>
      <c r="C1154" t="str">
        <v>Algo-Stables</v>
      </c>
      <c r="D1154" t="str">
        <v>CHARGE</v>
      </c>
      <c r="E1154">
        <v>0</v>
      </c>
      <c r="F1154">
        <v>0</v>
      </c>
    </row>
    <row r="1155" spans="2:6" ht="15.75" customHeight="1" x14ac:dyDescent="0.25">
      <c r="B1155" t="str">
        <v>Charm Finance V1</v>
      </c>
      <c r="C1155" t="str">
        <v>Liquidity manager</v>
      </c>
      <c r="D1155" t="str">
        <v>-</v>
      </c>
      <c r="E1155">
        <v>383997.2643512169</v>
      </c>
      <c r="F1155">
        <v>0</v>
      </c>
    </row>
    <row r="1156" spans="2:6" ht="15.75" customHeight="1" x14ac:dyDescent="0.25">
      <c r="B1156" t="str">
        <v>Charm Finance V2</v>
      </c>
      <c r="C1156" t="str">
        <v>Liquidity manager</v>
      </c>
      <c r="D1156" t="str">
        <v>-</v>
      </c>
      <c r="E1156">
        <v>5097404.1161482427</v>
      </c>
      <c r="F1156">
        <v>0</v>
      </c>
    </row>
    <row r="1157" spans="2:6" ht="15.75" customHeight="1" x14ac:dyDescent="0.25">
      <c r="B1157" t="str">
        <v>Chat3</v>
      </c>
      <c r="C1157" t="str">
        <v>SoFi</v>
      </c>
      <c r="D1157" t="str">
        <v>-</v>
      </c>
      <c r="E1157">
        <v>11650.32328922231</v>
      </c>
      <c r="F1157">
        <v>0</v>
      </c>
    </row>
    <row r="1158" spans="2:6" ht="15.75" customHeight="1" x14ac:dyDescent="0.25">
      <c r="B1158" t="str">
        <v>CHATEAU</v>
      </c>
      <c r="C1158" t="str">
        <v>RWA</v>
      </c>
      <c r="D1158" t="str">
        <v>-</v>
      </c>
      <c r="E1158">
        <v>1150428.2634438602</v>
      </c>
      <c r="F1158">
        <v>0</v>
      </c>
    </row>
    <row r="1159" spans="2:6" ht="15.75" customHeight="1" x14ac:dyDescent="0.25">
      <c r="B1159" t="str">
        <v>Chatter Shield</v>
      </c>
      <c r="C1159" t="str">
        <v>Developer tools</v>
      </c>
      <c r="D1159" t="str">
        <v>SHIELD</v>
      </c>
      <c r="E1159">
        <v>0</v>
      </c>
      <c r="F1159">
        <v>0</v>
      </c>
    </row>
    <row r="1160" spans="2:6" ht="15.75" customHeight="1" x14ac:dyDescent="0.25">
      <c r="B1160" t="str">
        <v>CheapGM</v>
      </c>
      <c r="C1160" t="str">
        <v>Payments</v>
      </c>
      <c r="D1160" t="str">
        <v>-</v>
      </c>
      <c r="E1160">
        <v>0</v>
      </c>
      <c r="F1160">
        <v>0</v>
      </c>
    </row>
    <row r="1161" spans="2:6" ht="15.75" customHeight="1" x14ac:dyDescent="0.25">
      <c r="B1161" t="str">
        <v>Chedda Finance</v>
      </c>
      <c r="C1161" t="str">
        <v>Lending</v>
      </c>
      <c r="D1161" t="str">
        <v>-</v>
      </c>
      <c r="E1161">
        <v>881.41732979312928</v>
      </c>
      <c r="F1161">
        <v>0</v>
      </c>
    </row>
    <row r="1162" spans="2:6" ht="15.75" customHeight="1" x14ac:dyDescent="0.25">
      <c r="B1162" t="str">
        <v>Chee Finance</v>
      </c>
      <c r="C1162" t="str">
        <v>Lending</v>
      </c>
      <c r="D1162" t="str">
        <v>-</v>
      </c>
      <c r="E1162">
        <v>9072.1939682524062</v>
      </c>
      <c r="F1162">
        <v>0</v>
      </c>
    </row>
    <row r="1163" spans="2:6" ht="15.75" customHeight="1" x14ac:dyDescent="0.25">
      <c r="B1163" t="str">
        <v>Cheelee</v>
      </c>
      <c r="C1163" t="str">
        <v>Farm</v>
      </c>
      <c r="D1163" t="str">
        <v>CHEEL</v>
      </c>
      <c r="E1163">
        <v>0</v>
      </c>
      <c r="F1163">
        <v>0</v>
      </c>
    </row>
    <row r="1164" spans="2:6" ht="15.75" customHeight="1" x14ac:dyDescent="0.25">
      <c r="B1164" t="str">
        <v>CheeseDAO</v>
      </c>
      <c r="C1164" t="str">
        <v>Reserve Currency</v>
      </c>
      <c r="D1164" t="str">
        <v>CHEEZ</v>
      </c>
      <c r="E1164">
        <v>0</v>
      </c>
      <c r="F1164">
        <v>0</v>
      </c>
    </row>
    <row r="1165" spans="2:6" ht="15.75" customHeight="1" x14ac:dyDescent="0.25">
      <c r="B1165" t="str">
        <v>CheesePad</v>
      </c>
      <c r="C1165" t="str">
        <v>Launchpad</v>
      </c>
      <c r="D1165" t="str">
        <v>-</v>
      </c>
      <c r="E1165">
        <v>0</v>
      </c>
      <c r="F1165">
        <v>0</v>
      </c>
    </row>
    <row r="1166" spans="2:6" ht="15.75" customHeight="1" x14ac:dyDescent="0.25">
      <c r="B1166" t="str">
        <v>CherryLend</v>
      </c>
      <c r="C1166" t="str">
        <v>Lending</v>
      </c>
      <c r="D1166" t="str">
        <v>CHRY</v>
      </c>
      <c r="E1166">
        <v>16609.661184518925</v>
      </c>
      <c r="F1166">
        <v>0</v>
      </c>
    </row>
    <row r="1167" spans="2:6" ht="15.75" customHeight="1" x14ac:dyDescent="0.25">
      <c r="B1167" t="str">
        <v>CherrySwap</v>
      </c>
      <c r="C1167" t="str">
        <v>Dexs</v>
      </c>
      <c r="D1167" t="str">
        <v>CHE</v>
      </c>
      <c r="E1167">
        <v>645697.16760136758</v>
      </c>
      <c r="F1167">
        <v>212082.33148212972</v>
      </c>
    </row>
    <row r="1168" spans="2:6" ht="15.75" customHeight="1" x14ac:dyDescent="0.25">
      <c r="B1168" t="str">
        <v>Chest Finance</v>
      </c>
      <c r="C1168" t="str">
        <v>Options Vault</v>
      </c>
      <c r="D1168" t="str">
        <v>-</v>
      </c>
      <c r="E1168">
        <v>1788878.7131648595</v>
      </c>
      <c r="F1168">
        <v>0</v>
      </c>
    </row>
    <row r="1169" spans="2:6" ht="15.75" customHeight="1" x14ac:dyDescent="0.25">
      <c r="B1169" t="str">
        <v>ChewySwap</v>
      </c>
      <c r="C1169" t="str">
        <v>Dexs</v>
      </c>
      <c r="D1169" t="str">
        <v>CHEWY</v>
      </c>
      <c r="E1169">
        <v>115873.12773101911</v>
      </c>
      <c r="F1169">
        <v>0</v>
      </c>
    </row>
    <row r="1170" spans="2:6" ht="15.75" customHeight="1" x14ac:dyDescent="0.25">
      <c r="B1170" t="str">
        <v>CHFRY Finance</v>
      </c>
      <c r="C1170" t="str">
        <v>Lending</v>
      </c>
      <c r="D1170" t="str">
        <v>CHEESE</v>
      </c>
      <c r="E1170">
        <v>18685.20461795236</v>
      </c>
      <c r="F1170">
        <v>0</v>
      </c>
    </row>
    <row r="1171" spans="2:6" ht="15.75" customHeight="1" x14ac:dyDescent="0.25">
      <c r="B1171" t="str">
        <v>Chi Protocol</v>
      </c>
      <c r="C1171" t="str">
        <v>Partially Algorithmic Stablecoin</v>
      </c>
      <c r="D1171" t="str">
        <v>CHI</v>
      </c>
      <c r="E1171">
        <v>14735.921771966558</v>
      </c>
      <c r="F1171">
        <v>4358.6168496001392</v>
      </c>
    </row>
    <row r="1172" spans="2:6" ht="15.75" customHeight="1" x14ac:dyDescent="0.25">
      <c r="B1172" t="str">
        <v>ChickenDefi</v>
      </c>
      <c r="C1172" t="str">
        <v>Dexs</v>
      </c>
      <c r="D1172" t="str">
        <v>-</v>
      </c>
      <c r="E1172">
        <v>1.3799819876235979E-3</v>
      </c>
      <c r="F1172">
        <v>0</v>
      </c>
    </row>
    <row r="1173" spans="2:6" ht="15.75" customHeight="1" x14ac:dyDescent="0.25">
      <c r="B1173" t="str">
        <v>ChickenSwap</v>
      </c>
      <c r="C1173" t="str">
        <v>Dexs</v>
      </c>
      <c r="D1173" t="str">
        <v>KFC</v>
      </c>
      <c r="E1173">
        <v>152235.10733435382</v>
      </c>
      <c r="F1173">
        <v>0</v>
      </c>
    </row>
    <row r="1174" spans="2:6" ht="15.75" customHeight="1" x14ac:dyDescent="0.25">
      <c r="B1174" t="str">
        <v>Chikn Farm</v>
      </c>
      <c r="C1174" t="str">
        <v>Services</v>
      </c>
      <c r="D1174" t="str">
        <v>EGG</v>
      </c>
      <c r="E1174">
        <v>0</v>
      </c>
      <c r="F1174">
        <v>0</v>
      </c>
    </row>
    <row r="1175" spans="2:6" ht="15.75" customHeight="1" x14ac:dyDescent="0.25">
      <c r="B1175" t="str">
        <v>Chiliswap</v>
      </c>
      <c r="C1175" t="str">
        <v>Dexs</v>
      </c>
      <c r="D1175" t="str">
        <v>-</v>
      </c>
      <c r="E1175">
        <v>884.83635156300829</v>
      </c>
      <c r="F1175">
        <v>0</v>
      </c>
    </row>
    <row r="1176" spans="2:6" ht="15.75" customHeight="1" x14ac:dyDescent="0.25">
      <c r="B1176" t="str">
        <v>ChilizSwap</v>
      </c>
      <c r="C1176" t="str">
        <v>Dexs</v>
      </c>
      <c r="D1176" t="str">
        <v>-</v>
      </c>
      <c r="E1176">
        <v>279.72646390394743</v>
      </c>
      <c r="F1176">
        <v>0</v>
      </c>
    </row>
    <row r="1177" spans="2:6" ht="15.75" customHeight="1" x14ac:dyDescent="0.25">
      <c r="B1177" t="str">
        <v>Chimeradex Lend</v>
      </c>
      <c r="C1177" t="str">
        <v>Lending</v>
      </c>
      <c r="D1177" t="str">
        <v>-</v>
      </c>
      <c r="E1177">
        <v>0</v>
      </c>
      <c r="F1177">
        <v>0</v>
      </c>
    </row>
    <row r="1178" spans="2:6" ht="15.75" customHeight="1" x14ac:dyDescent="0.25">
      <c r="B1178" t="str">
        <v>Chimeradex Swap</v>
      </c>
      <c r="C1178" t="str">
        <v>Dexs</v>
      </c>
      <c r="D1178" t="str">
        <v>-</v>
      </c>
      <c r="E1178">
        <v>2.4765696628245357</v>
      </c>
      <c r="F1178">
        <v>0</v>
      </c>
    </row>
    <row r="1179" spans="2:6" ht="15.75" customHeight="1" x14ac:dyDescent="0.25">
      <c r="B1179" t="str">
        <v>ChimpX AI</v>
      </c>
      <c r="C1179" t="str">
        <v>Dexs</v>
      </c>
      <c r="D1179" t="str">
        <v>-</v>
      </c>
      <c r="E1179">
        <v>157113.66496609006</v>
      </c>
      <c r="F1179">
        <v>0</v>
      </c>
    </row>
    <row r="1180" spans="2:6" ht="15.75" customHeight="1" x14ac:dyDescent="0.25">
      <c r="B1180" t="str">
        <v>Chips</v>
      </c>
      <c r="C1180" t="str">
        <v>RWA</v>
      </c>
      <c r="D1180" t="str">
        <v>-</v>
      </c>
      <c r="E1180">
        <v>0</v>
      </c>
      <c r="F1180">
        <v>0</v>
      </c>
    </row>
    <row r="1181" spans="2:6" ht="15.75" customHeight="1" x14ac:dyDescent="0.25">
      <c r="B1181" t="str">
        <v>ChirpFinance</v>
      </c>
      <c r="C1181" t="str">
        <v>Farm</v>
      </c>
      <c r="D1181" t="str">
        <v>CHIRP</v>
      </c>
      <c r="E1181">
        <v>2793.2647032311952</v>
      </c>
      <c r="F1181">
        <v>0</v>
      </c>
    </row>
    <row r="1182" spans="2:6" ht="15.75" customHeight="1" x14ac:dyDescent="0.25">
      <c r="B1182" t="str">
        <v>ChocoBase</v>
      </c>
      <c r="C1182" t="str">
        <v>Farm</v>
      </c>
      <c r="D1182" t="str">
        <v>Choco</v>
      </c>
      <c r="E1182">
        <v>60.307177465893282</v>
      </c>
      <c r="F1182">
        <v>0</v>
      </c>
    </row>
    <row r="1183" spans="2:6" ht="15.75" customHeight="1" x14ac:dyDescent="0.25">
      <c r="B1183" t="str">
        <v>Chocodoge</v>
      </c>
      <c r="C1183" t="str">
        <v>Algo-Stables</v>
      </c>
      <c r="D1183" t="str">
        <v>USCD</v>
      </c>
      <c r="E1183">
        <v>2177.5290909118135</v>
      </c>
      <c r="F1183">
        <v>0</v>
      </c>
    </row>
    <row r="1184" spans="2:6" ht="15.75" customHeight="1" x14ac:dyDescent="0.25">
      <c r="B1184" t="str">
        <v>Choice Exchange</v>
      </c>
      <c r="C1184" t="str">
        <v>Dexs</v>
      </c>
      <c r="D1184" t="str">
        <v>-</v>
      </c>
      <c r="E1184">
        <v>284758.1788644566</v>
      </c>
      <c r="F1184">
        <v>0</v>
      </c>
    </row>
    <row r="1185" spans="2:6" ht="15.75" customHeight="1" x14ac:dyDescent="0.25">
      <c r="B1185" t="str">
        <v>CHOPCORP</v>
      </c>
      <c r="C1185" t="str">
        <v>Gamified Mining</v>
      </c>
      <c r="D1185" t="str">
        <v>LOG</v>
      </c>
      <c r="E1185">
        <v>3884.1547903938954</v>
      </c>
      <c r="F1185">
        <v>0</v>
      </c>
    </row>
    <row r="1186" spans="2:6" ht="15.75" customHeight="1" x14ac:dyDescent="0.25">
      <c r="B1186" t="str">
        <v>Chromatic Protocol</v>
      </c>
      <c r="C1186" t="str">
        <v>Derivatives</v>
      </c>
      <c r="D1186" t="str">
        <v>-</v>
      </c>
      <c r="E1186">
        <v>3440.9771776282773</v>
      </c>
      <c r="F1186">
        <v>0</v>
      </c>
    </row>
    <row r="1187" spans="2:6" ht="15.75" customHeight="1" x14ac:dyDescent="0.25">
      <c r="B1187" t="str">
        <v>Chronicle</v>
      </c>
      <c r="C1187" t="str">
        <v>Services</v>
      </c>
      <c r="D1187" t="str">
        <v>XLN</v>
      </c>
      <c r="E1187">
        <v>0</v>
      </c>
      <c r="F1187">
        <v>63103.601048952805</v>
      </c>
    </row>
    <row r="1188" spans="2:6" ht="15.75" customHeight="1" x14ac:dyDescent="0.25">
      <c r="B1188" t="str">
        <v>Chronos V1</v>
      </c>
      <c r="C1188" t="str">
        <v>Dexs</v>
      </c>
      <c r="D1188" t="str">
        <v>CHR</v>
      </c>
      <c r="E1188">
        <v>98539.476954919635</v>
      </c>
      <c r="F1188">
        <v>0</v>
      </c>
    </row>
    <row r="1189" spans="2:6" ht="15.75" customHeight="1" x14ac:dyDescent="0.25">
      <c r="B1189" t="str">
        <v>Chronos V2</v>
      </c>
      <c r="C1189" t="str">
        <v>Dexs</v>
      </c>
      <c r="D1189" t="str">
        <v>CHR</v>
      </c>
      <c r="E1189">
        <v>274.0097088744219</v>
      </c>
      <c r="F1189">
        <v>0</v>
      </c>
    </row>
    <row r="1190" spans="2:6" ht="15.75" customHeight="1" x14ac:dyDescent="0.25">
      <c r="B1190" t="str">
        <v>CIAN Automation</v>
      </c>
      <c r="C1190" t="str">
        <v>Yield</v>
      </c>
      <c r="D1190" t="str">
        <v>-</v>
      </c>
      <c r="E1190">
        <v>1657807.8081038867</v>
      </c>
      <c r="F1190">
        <v>0</v>
      </c>
    </row>
    <row r="1191" spans="2:6" ht="15.75" customHeight="1" x14ac:dyDescent="0.25">
      <c r="B1191" t="str">
        <v>CIAN Curating</v>
      </c>
      <c r="C1191" t="str">
        <v>Risk Curators</v>
      </c>
      <c r="D1191" t="str">
        <v>-</v>
      </c>
      <c r="E1191">
        <v>58.014145663375018</v>
      </c>
      <c r="F1191">
        <v>0</v>
      </c>
    </row>
    <row r="1192" spans="2:6" ht="15.75" customHeight="1" x14ac:dyDescent="0.25">
      <c r="B1192" t="str">
        <v>CIAN Yield Layer</v>
      </c>
      <c r="C1192" t="str">
        <v>Yield Aggregator</v>
      </c>
      <c r="D1192" t="str">
        <v>-</v>
      </c>
      <c r="E1192">
        <v>563516527.47944164</v>
      </c>
      <c r="F1192">
        <v>0</v>
      </c>
    </row>
    <row r="1193" spans="2:6" ht="15.75" customHeight="1" x14ac:dyDescent="0.25">
      <c r="B1193" t="str">
        <v>Ciento Exchange</v>
      </c>
      <c r="C1193" t="str">
        <v>Dexs</v>
      </c>
      <c r="D1193" t="str">
        <v>-</v>
      </c>
      <c r="E1193">
        <v>3233.1821407097468</v>
      </c>
      <c r="F1193">
        <v>0</v>
      </c>
    </row>
    <row r="1194" spans="2:6" ht="15.75" customHeight="1" x14ac:dyDescent="0.25">
      <c r="B1194" t="str">
        <v>cipher.rip</v>
      </c>
      <c r="C1194" t="str">
        <v>SoFi</v>
      </c>
      <c r="D1194" t="str">
        <v>-</v>
      </c>
      <c r="E1194">
        <v>61668.392682843099</v>
      </c>
      <c r="F1194">
        <v>0</v>
      </c>
    </row>
    <row r="1195" spans="2:6" ht="15.75" customHeight="1" x14ac:dyDescent="0.25">
      <c r="B1195" t="str">
        <v>Circle</v>
      </c>
      <c r="C1195" t="str">
        <v>Stablecoin Issuer</v>
      </c>
      <c r="D1195" t="str">
        <v>-</v>
      </c>
      <c r="E1195">
        <v>0</v>
      </c>
      <c r="F1195">
        <v>0</v>
      </c>
    </row>
    <row r="1196" spans="2:6" ht="15.75" customHeight="1" x14ac:dyDescent="0.25">
      <c r="B1196" t="str">
        <v>Circle USYC</v>
      </c>
      <c r="C1196" t="str">
        <v>RWA</v>
      </c>
      <c r="D1196" t="str">
        <v>-</v>
      </c>
      <c r="E1196">
        <v>1521186015.4288101</v>
      </c>
      <c r="F1196">
        <v>0</v>
      </c>
    </row>
    <row r="1197" spans="2:6" ht="15.75" customHeight="1" x14ac:dyDescent="0.25">
      <c r="B1197" t="str">
        <v>CirclePacific</v>
      </c>
      <c r="C1197" t="str">
        <v>Dexs</v>
      </c>
      <c r="D1197" t="str">
        <v>CIRCLE</v>
      </c>
      <c r="E1197">
        <v>9.0232520351572632</v>
      </c>
      <c r="F1197">
        <v>0</v>
      </c>
    </row>
    <row r="1198" spans="2:6" ht="15.75" customHeight="1" x14ac:dyDescent="0.25">
      <c r="B1198" t="str">
        <v>Circuit Protocol</v>
      </c>
      <c r="C1198" t="str">
        <v>Yield Aggregator</v>
      </c>
      <c r="D1198" t="str">
        <v>-</v>
      </c>
      <c r="E1198">
        <v>94717.609156287435</v>
      </c>
      <c r="F1198">
        <v>0</v>
      </c>
    </row>
    <row r="1199" spans="2:6" ht="15.75" customHeight="1" x14ac:dyDescent="0.25">
      <c r="B1199" t="str">
        <v>CitaDAO</v>
      </c>
      <c r="C1199" t="str">
        <v>RWA</v>
      </c>
      <c r="D1199" t="str">
        <v>KNIGHT</v>
      </c>
      <c r="E1199">
        <v>0</v>
      </c>
      <c r="F1199">
        <v>1227474.9483737841</v>
      </c>
    </row>
    <row r="1200" spans="2:6" ht="15.75" customHeight="1" x14ac:dyDescent="0.25">
      <c r="B1200" t="str">
        <v>Citadel Vaults</v>
      </c>
      <c r="C1200" t="str">
        <v>Yield</v>
      </c>
      <c r="D1200" t="str">
        <v>-</v>
      </c>
      <c r="E1200">
        <v>563052.68588802125</v>
      </c>
      <c r="F1200">
        <v>0</v>
      </c>
    </row>
    <row r="1201" spans="2:6" ht="15.75" customHeight="1" x14ac:dyDescent="0.25">
      <c r="B1201" t="str">
        <v>CitadelSwap</v>
      </c>
      <c r="C1201" t="str">
        <v>Dexs</v>
      </c>
      <c r="D1201" t="str">
        <v>FORT</v>
      </c>
      <c r="E1201">
        <v>5636.6038435353885</v>
      </c>
      <c r="F1201">
        <v>0</v>
      </c>
    </row>
    <row r="1202" spans="2:6" ht="15.75" customHeight="1" x14ac:dyDescent="0.25">
      <c r="B1202" t="str">
        <v>Citrex Markets</v>
      </c>
      <c r="C1202" t="str">
        <v>Derivatives</v>
      </c>
      <c r="D1202" t="str">
        <v>-</v>
      </c>
      <c r="E1202">
        <v>1893.0168216434322</v>
      </c>
      <c r="F1202">
        <v>0</v>
      </c>
    </row>
    <row r="1203" spans="2:6" ht="15.75" customHeight="1" x14ac:dyDescent="0.25">
      <c r="B1203" t="str">
        <v>Citrus</v>
      </c>
      <c r="C1203" t="str">
        <v>NFT Lending</v>
      </c>
      <c r="D1203" t="str">
        <v>FOXY</v>
      </c>
      <c r="E1203">
        <v>205684.68277197407</v>
      </c>
      <c r="F1203">
        <v>0</v>
      </c>
    </row>
    <row r="1204" spans="2:6" ht="15.75" customHeight="1" x14ac:dyDescent="0.25">
      <c r="B1204" t="str">
        <v>City</v>
      </c>
      <c r="C1204" t="str">
        <v>SoFi</v>
      </c>
      <c r="D1204" t="str">
        <v>-</v>
      </c>
      <c r="E1204">
        <v>0</v>
      </c>
      <c r="F1204">
        <v>0</v>
      </c>
    </row>
    <row r="1205" spans="2:6" ht="15.75" customHeight="1" x14ac:dyDescent="0.25">
      <c r="B1205" t="str">
        <v>CityCoins</v>
      </c>
      <c r="C1205" t="str">
        <v>Yield</v>
      </c>
      <c r="D1205" t="str">
        <v>-</v>
      </c>
      <c r="E1205">
        <v>4863684.4551841216</v>
      </c>
      <c r="F1205">
        <v>0</v>
      </c>
    </row>
    <row r="1206" spans="2:6" ht="15.75" customHeight="1" x14ac:dyDescent="0.25">
      <c r="B1206" t="str">
        <v>CivFund</v>
      </c>
      <c r="C1206" t="str">
        <v>Yield</v>
      </c>
      <c r="D1206" t="str">
        <v>CIV</v>
      </c>
      <c r="E1206">
        <v>0</v>
      </c>
      <c r="F1206">
        <v>288453.22375939996</v>
      </c>
    </row>
    <row r="1207" spans="2:6" ht="15.75" customHeight="1" x14ac:dyDescent="0.25">
      <c r="B1207" t="str">
        <v>Civitia Game</v>
      </c>
      <c r="C1207" t="str">
        <v>Gaming</v>
      </c>
      <c r="D1207" t="str">
        <v>-</v>
      </c>
      <c r="E1207">
        <v>57570.618495929783</v>
      </c>
      <c r="F1207">
        <v>0</v>
      </c>
    </row>
    <row r="1208" spans="2:6" ht="15.75" customHeight="1" x14ac:dyDescent="0.25">
      <c r="B1208" t="str">
        <v>ClaimSwap V1</v>
      </c>
      <c r="C1208" t="str">
        <v>Dexs</v>
      </c>
      <c r="D1208" t="str">
        <v>CLA</v>
      </c>
      <c r="E1208">
        <v>70666.34663723252</v>
      </c>
      <c r="F1208">
        <v>0</v>
      </c>
    </row>
    <row r="1209" spans="2:6" ht="15.75" customHeight="1" x14ac:dyDescent="0.25">
      <c r="B1209" t="str">
        <v>ClaimSwap V2</v>
      </c>
      <c r="C1209" t="str">
        <v>Dexs</v>
      </c>
      <c r="D1209" t="str">
        <v>CLA</v>
      </c>
      <c r="E1209">
        <v>16780.068533081991</v>
      </c>
      <c r="F1209">
        <v>0</v>
      </c>
    </row>
    <row r="1210" spans="2:6" ht="15.75" customHeight="1" x14ac:dyDescent="0.25">
      <c r="B1210" t="str">
        <v>CLAMM</v>
      </c>
      <c r="C1210" t="str">
        <v>Dexs</v>
      </c>
      <c r="D1210" t="str">
        <v>-</v>
      </c>
      <c r="E1210">
        <v>2053.911087936754</v>
      </c>
      <c r="F1210">
        <v>0</v>
      </c>
    </row>
    <row r="1211" spans="2:6" ht="15.75" customHeight="1" x14ac:dyDescent="0.25">
      <c r="B1211" t="str">
        <v>clanker</v>
      </c>
      <c r="C1211" t="str">
        <v>Launchpad</v>
      </c>
      <c r="D1211" t="str">
        <v>-</v>
      </c>
      <c r="E1211">
        <v>0</v>
      </c>
      <c r="F1211">
        <v>0</v>
      </c>
    </row>
    <row r="1212" spans="2:6" ht="15.75" customHeight="1" x14ac:dyDescent="0.25">
      <c r="B1212" t="str">
        <v>Clarity</v>
      </c>
      <c r="C1212" t="str">
        <v>DAO Service Provider</v>
      </c>
      <c r="D1212" t="str">
        <v>CLARITY</v>
      </c>
      <c r="E1212">
        <v>817833.82016690564</v>
      </c>
      <c r="F1212">
        <v>636803.49543315126</v>
      </c>
    </row>
    <row r="1213" spans="2:6" ht="15.75" customHeight="1" x14ac:dyDescent="0.25">
      <c r="B1213" t="str">
        <v>Clave</v>
      </c>
      <c r="C1213" t="str">
        <v>Liquid Staking</v>
      </c>
      <c r="D1213" t="str">
        <v>-</v>
      </c>
      <c r="E1213">
        <v>21125.948810358808</v>
      </c>
      <c r="F1213">
        <v>0</v>
      </c>
    </row>
    <row r="1214" spans="2:6" ht="15.75" customHeight="1" x14ac:dyDescent="0.25">
      <c r="B1214" t="str">
        <v>ClayStack ETH</v>
      </c>
      <c r="C1214" t="str">
        <v>Liquid Restaking</v>
      </c>
      <c r="D1214" t="str">
        <v>-</v>
      </c>
      <c r="E1214">
        <v>2501309.1150519033</v>
      </c>
      <c r="F1214">
        <v>0</v>
      </c>
    </row>
    <row r="1215" spans="2:6" ht="15.75" customHeight="1" x14ac:dyDescent="0.25">
      <c r="B1215" t="str">
        <v>ClayStack Matic</v>
      </c>
      <c r="C1215" t="str">
        <v>Liquid Staking</v>
      </c>
      <c r="D1215" t="str">
        <v>-</v>
      </c>
      <c r="E1215">
        <v>52798.534569076895</v>
      </c>
      <c r="F1215">
        <v>0</v>
      </c>
    </row>
    <row r="1216" spans="2:6" ht="15.75" customHeight="1" x14ac:dyDescent="0.25">
      <c r="B1216" t="str">
        <v>ClaySwap</v>
      </c>
      <c r="C1216" t="str">
        <v>Farm</v>
      </c>
      <c r="D1216" t="str">
        <v>CLAY</v>
      </c>
      <c r="E1216">
        <v>2098.7608156355795</v>
      </c>
      <c r="F1216">
        <v>0</v>
      </c>
    </row>
    <row r="1217" spans="2:6" ht="15.75" customHeight="1" x14ac:dyDescent="0.25">
      <c r="B1217" t="str">
        <v>Clearpool Lending</v>
      </c>
      <c r="C1217" t="str">
        <v>Uncollateralized Lending</v>
      </c>
      <c r="D1217" t="str">
        <v>CPOOL</v>
      </c>
      <c r="E1217">
        <v>835775.78233861749</v>
      </c>
      <c r="F1217">
        <v>0</v>
      </c>
    </row>
    <row r="1218" spans="2:6" ht="15.75" customHeight="1" x14ac:dyDescent="0.25">
      <c r="B1218" t="str">
        <v>Clearpool TPOOL</v>
      </c>
      <c r="C1218" t="str">
        <v>RWA</v>
      </c>
      <c r="D1218" t="str">
        <v>CPOOL</v>
      </c>
      <c r="E1218">
        <v>48234152.887406074</v>
      </c>
      <c r="F1218">
        <v>0</v>
      </c>
    </row>
    <row r="1219" spans="2:6" ht="15.75" customHeight="1" x14ac:dyDescent="0.25">
      <c r="B1219" t="str">
        <v>Clearstar</v>
      </c>
      <c r="C1219" t="str">
        <v>Risk Curators</v>
      </c>
      <c r="D1219" t="str">
        <v>-</v>
      </c>
      <c r="E1219">
        <v>45855816.61988005</v>
      </c>
      <c r="F1219">
        <v>0</v>
      </c>
    </row>
    <row r="1220" spans="2:6" ht="15.75" customHeight="1" x14ac:dyDescent="0.25">
      <c r="B1220" t="str">
        <v>Cleopatra CL</v>
      </c>
      <c r="C1220" t="str">
        <v>Dexs</v>
      </c>
      <c r="D1220" t="str">
        <v>CLEO</v>
      </c>
      <c r="E1220">
        <v>22734.890885034547</v>
      </c>
      <c r="F1220">
        <v>0</v>
      </c>
    </row>
    <row r="1221" spans="2:6" ht="15.75" customHeight="1" x14ac:dyDescent="0.25">
      <c r="B1221" t="str">
        <v>Cleopatra DAO</v>
      </c>
      <c r="C1221" t="str">
        <v>Yield Aggregator</v>
      </c>
      <c r="D1221" t="str">
        <v>CAT</v>
      </c>
      <c r="E1221">
        <v>0</v>
      </c>
      <c r="F1221">
        <v>0</v>
      </c>
    </row>
    <row r="1222" spans="2:6" ht="15.75" customHeight="1" x14ac:dyDescent="0.25">
      <c r="B1222" t="str">
        <v>Cleopatra Legacy</v>
      </c>
      <c r="C1222" t="str">
        <v>Dexs</v>
      </c>
      <c r="D1222" t="str">
        <v>CLEO</v>
      </c>
      <c r="E1222">
        <v>5261.8864633265184</v>
      </c>
      <c r="F1222">
        <v>0</v>
      </c>
    </row>
    <row r="1223" spans="2:6" ht="15.75" customHeight="1" x14ac:dyDescent="0.25">
      <c r="B1223" t="str">
        <v>CLever</v>
      </c>
      <c r="C1223" t="str">
        <v>Yield</v>
      </c>
      <c r="D1223" t="str">
        <v>CLEV</v>
      </c>
      <c r="E1223">
        <v>7218739.1142013185</v>
      </c>
      <c r="F1223">
        <v>574341.01970549196</v>
      </c>
    </row>
    <row r="1224" spans="2:6" ht="15.75" customHeight="1" x14ac:dyDescent="0.25">
      <c r="B1224" t="str">
        <v>Clever Protocol</v>
      </c>
      <c r="C1224" t="str">
        <v>Dexs</v>
      </c>
      <c r="D1224" t="str">
        <v>CLEVER</v>
      </c>
      <c r="E1224">
        <v>28581.483492207866</v>
      </c>
      <c r="F1224">
        <v>0</v>
      </c>
    </row>
    <row r="1225" spans="2:6" ht="15.75" customHeight="1" x14ac:dyDescent="0.25">
      <c r="B1225" t="str">
        <v>Clink</v>
      </c>
      <c r="C1225" t="str">
        <v>SoFi</v>
      </c>
      <c r="D1225" t="str">
        <v>-</v>
      </c>
      <c r="E1225">
        <v>441.05773267402583</v>
      </c>
      <c r="F1225">
        <v>0</v>
      </c>
    </row>
    <row r="1226" spans="2:6" ht="15.75" customHeight="1" x14ac:dyDescent="0.25">
      <c r="B1226" t="str">
        <v>Clip Finance</v>
      </c>
      <c r="C1226" t="str">
        <v>Liquidity manager</v>
      </c>
      <c r="D1226" t="str">
        <v>-</v>
      </c>
      <c r="E1226">
        <v>104569.674905473</v>
      </c>
      <c r="F1226">
        <v>0</v>
      </c>
    </row>
    <row r="1227" spans="2:6" ht="15.75" customHeight="1" x14ac:dyDescent="0.25">
      <c r="B1227" t="str">
        <v>Clipper</v>
      </c>
      <c r="C1227" t="str">
        <v>Dexs</v>
      </c>
      <c r="D1227" t="str">
        <v>SAIL</v>
      </c>
      <c r="E1227">
        <v>1083058.7549838086</v>
      </c>
      <c r="F1227">
        <v>24103.712208854606</v>
      </c>
    </row>
    <row r="1228" spans="2:6" ht="15.75" customHeight="1" x14ac:dyDescent="0.25">
      <c r="B1228" t="str">
        <v>Clober Liquidity Vault</v>
      </c>
      <c r="C1228" t="str">
        <v>Dexs</v>
      </c>
      <c r="D1228" t="str">
        <v>-</v>
      </c>
      <c r="E1228">
        <v>271786.854844357</v>
      </c>
      <c r="F1228">
        <v>0</v>
      </c>
    </row>
    <row r="1229" spans="2:6" ht="15.75" customHeight="1" x14ac:dyDescent="0.25">
      <c r="B1229" t="str">
        <v>Clober Perps</v>
      </c>
      <c r="C1229" t="str">
        <v>Interface</v>
      </c>
      <c r="D1229" t="str">
        <v>-</v>
      </c>
      <c r="E1229">
        <v>0</v>
      </c>
      <c r="F1229">
        <v>0</v>
      </c>
    </row>
    <row r="1230" spans="2:6" ht="15.75" customHeight="1" x14ac:dyDescent="0.25">
      <c r="B1230" t="str">
        <v>Clober V1</v>
      </c>
      <c r="C1230" t="str">
        <v>Dexs</v>
      </c>
      <c r="D1230" t="str">
        <v>-</v>
      </c>
      <c r="E1230">
        <v>3818.4443248991884</v>
      </c>
      <c r="F1230">
        <v>0</v>
      </c>
    </row>
    <row r="1231" spans="2:6" ht="15.75" customHeight="1" x14ac:dyDescent="0.25">
      <c r="B1231" t="str">
        <v>Clober V2</v>
      </c>
      <c r="C1231" t="str">
        <v>Dexs</v>
      </c>
      <c r="D1231" t="str">
        <v>-</v>
      </c>
      <c r="E1231">
        <v>29142.37457105791</v>
      </c>
      <c r="F1231">
        <v>0</v>
      </c>
    </row>
    <row r="1232" spans="2:6" ht="15.75" customHeight="1" x14ac:dyDescent="0.25">
      <c r="B1232" t="str">
        <v>Clone Protocol</v>
      </c>
      <c r="C1232" t="str">
        <v>Dexs</v>
      </c>
      <c r="D1232" t="str">
        <v>-</v>
      </c>
      <c r="E1232">
        <v>0</v>
      </c>
      <c r="F1232">
        <v>0</v>
      </c>
    </row>
    <row r="1233" spans="2:6" ht="15.75" customHeight="1" x14ac:dyDescent="0.25">
      <c r="B1233" t="str">
        <v>Clovis</v>
      </c>
      <c r="C1233" t="str">
        <v>Yield Aggregator</v>
      </c>
      <c r="D1233" t="str">
        <v>-</v>
      </c>
      <c r="E1233">
        <v>781734.18789073138</v>
      </c>
      <c r="F1233">
        <v>0</v>
      </c>
    </row>
    <row r="1234" spans="2:6" ht="15.75" customHeight="1" x14ac:dyDescent="0.25">
      <c r="B1234" t="str">
        <v>Club BTCFi</v>
      </c>
      <c r="C1234" t="str">
        <v>Bridge</v>
      </c>
      <c r="D1234" t="str">
        <v>-</v>
      </c>
      <c r="E1234">
        <v>0</v>
      </c>
      <c r="F1234">
        <v>0</v>
      </c>
    </row>
    <row r="1235" spans="2:6" ht="15.75" customHeight="1" x14ac:dyDescent="0.25">
      <c r="B1235" t="str">
        <v>Club Farm</v>
      </c>
      <c r="C1235" t="str">
        <v>Yield</v>
      </c>
      <c r="D1235" t="str">
        <v>-</v>
      </c>
      <c r="E1235">
        <v>0</v>
      </c>
      <c r="F1235">
        <v>0</v>
      </c>
    </row>
    <row r="1236" spans="2:6" ht="15.75" customHeight="1" x14ac:dyDescent="0.25">
      <c r="B1236" t="str">
        <v>Club MusangKing</v>
      </c>
      <c r="C1236" t="str">
        <v>Farm</v>
      </c>
      <c r="D1236" t="str">
        <v>-</v>
      </c>
      <c r="E1236">
        <v>0</v>
      </c>
      <c r="F1236">
        <v>0</v>
      </c>
    </row>
    <row r="1237" spans="2:6" ht="15.75" customHeight="1" x14ac:dyDescent="0.25">
      <c r="B1237" t="str">
        <v>Club Quanto</v>
      </c>
      <c r="C1237" t="str">
        <v>Derivatives</v>
      </c>
      <c r="D1237" t="str">
        <v>-</v>
      </c>
      <c r="E1237">
        <v>3.7734409851994625E-9</v>
      </c>
      <c r="F1237">
        <v>0</v>
      </c>
    </row>
    <row r="1238" spans="2:6" ht="15.75" customHeight="1" x14ac:dyDescent="0.25">
      <c r="B1238" t="str">
        <v>Club Stablecoin</v>
      </c>
      <c r="C1238" t="str">
        <v>CDP</v>
      </c>
      <c r="D1238" t="str">
        <v>-</v>
      </c>
      <c r="E1238">
        <v>0</v>
      </c>
      <c r="F1238">
        <v>0</v>
      </c>
    </row>
    <row r="1239" spans="2:6" ht="15.75" customHeight="1" x14ac:dyDescent="0.25">
      <c r="B1239" t="str">
        <v>Clusters</v>
      </c>
      <c r="C1239" t="str">
        <v>Domains</v>
      </c>
      <c r="D1239" t="str">
        <v>-</v>
      </c>
      <c r="E1239">
        <v>0</v>
      </c>
      <c r="F1239">
        <v>0</v>
      </c>
    </row>
    <row r="1240" spans="2:6" ht="15.75" customHeight="1" x14ac:dyDescent="0.25">
      <c r="B1240" t="str">
        <v>Clutch Markets</v>
      </c>
      <c r="C1240" t="str">
        <v>Prediction Market</v>
      </c>
      <c r="D1240" t="str">
        <v>CLUTCH</v>
      </c>
      <c r="E1240">
        <v>406560.97251728986</v>
      </c>
      <c r="F1240">
        <v>0</v>
      </c>
    </row>
    <row r="1241" spans="2:6" ht="15.75" customHeight="1" x14ac:dyDescent="0.25">
      <c r="B1241" t="str">
        <v>CMswap</v>
      </c>
      <c r="C1241" t="str">
        <v>Dexs</v>
      </c>
      <c r="D1241" t="str">
        <v>-</v>
      </c>
      <c r="E1241">
        <v>52849.790297800049</v>
      </c>
      <c r="F1241">
        <v>0</v>
      </c>
    </row>
    <row r="1242" spans="2:6" ht="15.75" customHeight="1" x14ac:dyDescent="0.25">
      <c r="B1242" t="str">
        <v>CobaltX</v>
      </c>
      <c r="C1242" t="str">
        <v>Dexs</v>
      </c>
      <c r="D1242" t="str">
        <v>-</v>
      </c>
      <c r="E1242">
        <v>48921.561610623176</v>
      </c>
      <c r="F1242">
        <v>0</v>
      </c>
    </row>
    <row r="1243" spans="2:6" ht="15.75" customHeight="1" x14ac:dyDescent="0.25">
      <c r="B1243" t="str">
        <v>CobraSwap</v>
      </c>
      <c r="C1243" t="str">
        <v>Dexs</v>
      </c>
      <c r="D1243" t="str">
        <v>COBRA</v>
      </c>
      <c r="E1243">
        <v>51353.646617220693</v>
      </c>
      <c r="F1243">
        <v>0</v>
      </c>
    </row>
    <row r="1244" spans="2:6" ht="15.75" customHeight="1" x14ac:dyDescent="0.25">
      <c r="B1244" t="str">
        <v>CoChilli</v>
      </c>
      <c r="C1244" t="str">
        <v>Prediction Market</v>
      </c>
      <c r="D1244" t="str">
        <v>-</v>
      </c>
      <c r="E1244">
        <v>0</v>
      </c>
      <c r="F1244">
        <v>0</v>
      </c>
    </row>
    <row r="1245" spans="2:6" ht="15.75" customHeight="1" x14ac:dyDescent="0.25">
      <c r="B1245" t="str">
        <v>CockFights Game</v>
      </c>
      <c r="C1245" t="str">
        <v>Gaming</v>
      </c>
      <c r="D1245" t="str">
        <v>BCFT</v>
      </c>
      <c r="E1245">
        <v>135.00577619792736</v>
      </c>
      <c r="F1245">
        <v>0</v>
      </c>
    </row>
    <row r="1246" spans="2:6" ht="15.75" customHeight="1" x14ac:dyDescent="0.25">
      <c r="B1246" t="str">
        <v>Code 7 Finance</v>
      </c>
      <c r="C1246" t="str">
        <v>Algo-Stables</v>
      </c>
      <c r="D1246" t="str">
        <v>CODE7</v>
      </c>
      <c r="E1246">
        <v>0</v>
      </c>
      <c r="F1246">
        <v>0</v>
      </c>
    </row>
    <row r="1247" spans="2:6" ht="15.75" customHeight="1" x14ac:dyDescent="0.25">
      <c r="B1247" t="str">
        <v>Coffee Dex</v>
      </c>
      <c r="C1247" t="str">
        <v>Dexs</v>
      </c>
      <c r="D1247" t="str">
        <v>-</v>
      </c>
      <c r="E1247">
        <v>10087.612305723796</v>
      </c>
      <c r="F1247">
        <v>0</v>
      </c>
    </row>
    <row r="1248" spans="2:6" ht="15.75" customHeight="1" x14ac:dyDescent="0.25">
      <c r="B1248" t="str">
        <v>Coffer City</v>
      </c>
      <c r="C1248" t="str">
        <v>Services</v>
      </c>
      <c r="D1248" t="str">
        <v>-</v>
      </c>
      <c r="E1248">
        <v>10.961913144179602</v>
      </c>
      <c r="F1248">
        <v>0</v>
      </c>
    </row>
    <row r="1249" spans="2:6" ht="15.75" customHeight="1" x14ac:dyDescent="0.25">
      <c r="B1249" t="str">
        <v>Coffer Network</v>
      </c>
      <c r="C1249" t="str">
        <v>Bridge</v>
      </c>
      <c r="D1249" t="str">
        <v>-</v>
      </c>
      <c r="E1249">
        <v>12591312.253473159</v>
      </c>
      <c r="F1249">
        <v>0</v>
      </c>
    </row>
    <row r="1250" spans="2:6" ht="15.75" customHeight="1" x14ac:dyDescent="0.25">
      <c r="B1250" t="str">
        <v>Coffin Finance</v>
      </c>
      <c r="C1250" t="str">
        <v>Algo-Stables</v>
      </c>
      <c r="D1250" t="str">
        <v>COFFIN</v>
      </c>
      <c r="E1250">
        <v>102.01520500809659</v>
      </c>
      <c r="F1250">
        <v>0</v>
      </c>
    </row>
    <row r="1251" spans="2:6" ht="15.75" customHeight="1" x14ac:dyDescent="0.25">
      <c r="B1251" t="str">
        <v>Coffin.Meme</v>
      </c>
      <c r="C1251" t="str">
        <v>Derivatives</v>
      </c>
      <c r="D1251" t="str">
        <v>-</v>
      </c>
      <c r="E1251">
        <v>58471.249199062207</v>
      </c>
      <c r="F1251">
        <v>0</v>
      </c>
    </row>
    <row r="1252" spans="2:6" ht="15.75" customHeight="1" x14ac:dyDescent="0.25">
      <c r="B1252" t="str">
        <v>CoFiX</v>
      </c>
      <c r="C1252" t="str">
        <v>Dexs</v>
      </c>
      <c r="D1252" t="str">
        <v>COFI</v>
      </c>
      <c r="E1252">
        <v>35288.363792427968</v>
      </c>
      <c r="F1252">
        <v>0</v>
      </c>
    </row>
    <row r="1253" spans="2:6" ht="15.75" customHeight="1" x14ac:dyDescent="0.25">
      <c r="B1253" t="str">
        <v>Cog</v>
      </c>
      <c r="C1253" t="str">
        <v>Lending</v>
      </c>
      <c r="D1253" t="str">
        <v>-</v>
      </c>
      <c r="E1253">
        <v>231653.84546091373</v>
      </c>
      <c r="F1253">
        <v>0</v>
      </c>
    </row>
    <row r="1254" spans="2:6" ht="15.75" customHeight="1" x14ac:dyDescent="0.25">
      <c r="B1254" t="str">
        <v>Coin98</v>
      </c>
      <c r="C1254" t="str">
        <v>Farm</v>
      </c>
      <c r="D1254" t="str">
        <v>C98</v>
      </c>
      <c r="E1254">
        <v>0</v>
      </c>
      <c r="F1254">
        <v>25010996.490118779</v>
      </c>
    </row>
    <row r="1255" spans="2:6" ht="15.75" customHeight="1" x14ac:dyDescent="0.25">
      <c r="B1255" t="str">
        <v>Coinbase Bridge</v>
      </c>
      <c r="C1255" t="str">
        <v>Bridge</v>
      </c>
      <c r="D1255" t="str">
        <v>-</v>
      </c>
      <c r="E1255">
        <v>5947804335.6272736</v>
      </c>
      <c r="F1255">
        <v>0</v>
      </c>
    </row>
    <row r="1256" spans="2:6" ht="15.75" customHeight="1" x14ac:dyDescent="0.25">
      <c r="B1256" t="str">
        <v>Coinbase Commerce</v>
      </c>
      <c r="C1256" t="str">
        <v>Payments</v>
      </c>
      <c r="D1256" t="str">
        <v>-</v>
      </c>
      <c r="E1256">
        <v>0</v>
      </c>
      <c r="F1256">
        <v>0</v>
      </c>
    </row>
    <row r="1257" spans="2:6" ht="15.75" customHeight="1" x14ac:dyDescent="0.25">
      <c r="B1257" t="str">
        <v>Coinbase Wrapped Staked ETH</v>
      </c>
      <c r="C1257" t="str">
        <v>Liquid Staking</v>
      </c>
      <c r="D1257" t="str">
        <v>-</v>
      </c>
      <c r="E1257">
        <v>404555799.87404931</v>
      </c>
      <c r="F1257">
        <v>0</v>
      </c>
    </row>
    <row r="1258" spans="2:6" ht="15.75" customHeight="1" x14ac:dyDescent="0.25">
      <c r="B1258" t="str">
        <v>CoinCollect</v>
      </c>
      <c r="C1258" t="str">
        <v>Dexs</v>
      </c>
      <c r="D1258" t="str">
        <v>COLLECT</v>
      </c>
      <c r="E1258">
        <v>8105.8328833883552</v>
      </c>
      <c r="F1258">
        <v>0</v>
      </c>
    </row>
    <row r="1259" spans="2:6" ht="15.75" customHeight="1" x14ac:dyDescent="0.25">
      <c r="B1259" t="str">
        <v>CoinDrip</v>
      </c>
      <c r="C1259" t="str">
        <v>Payments</v>
      </c>
      <c r="D1259" t="str">
        <v>-</v>
      </c>
      <c r="E1259">
        <v>47.118971361638572</v>
      </c>
      <c r="F1259">
        <v>0</v>
      </c>
    </row>
    <row r="1260" spans="2:6" ht="15.75" customHeight="1" x14ac:dyDescent="0.25">
      <c r="B1260" t="str">
        <v>CoinFLEX</v>
      </c>
      <c r="C1260" t="str">
        <v>Yield</v>
      </c>
      <c r="D1260" t="str">
        <v>FLEX</v>
      </c>
      <c r="E1260">
        <v>0</v>
      </c>
      <c r="F1260">
        <v>0</v>
      </c>
    </row>
    <row r="1261" spans="2:6" ht="15.75" customHeight="1" x14ac:dyDescent="0.25">
      <c r="B1261" t="str">
        <v>Coinhain</v>
      </c>
      <c r="C1261" t="str">
        <v>Dexs</v>
      </c>
      <c r="D1261" t="str">
        <v>-</v>
      </c>
      <c r="E1261">
        <v>996.5944393401121</v>
      </c>
      <c r="F1261">
        <v>0</v>
      </c>
    </row>
    <row r="1262" spans="2:6" ht="15.75" customHeight="1" x14ac:dyDescent="0.25">
      <c r="B1262" t="str">
        <v>Coinscope</v>
      </c>
      <c r="C1262" t="str">
        <v>Token Locker</v>
      </c>
      <c r="D1262" t="str">
        <v>COINSCOPE</v>
      </c>
      <c r="E1262">
        <v>19964.508499954714</v>
      </c>
      <c r="F1262">
        <v>0</v>
      </c>
    </row>
    <row r="1263" spans="2:6" ht="15.75" customHeight="1" x14ac:dyDescent="0.25">
      <c r="B1263" t="str">
        <v>Coinswap Space</v>
      </c>
      <c r="C1263" t="str">
        <v>Dexs</v>
      </c>
      <c r="D1263" t="str">
        <v>CSS</v>
      </c>
      <c r="E1263">
        <v>329125.64224864484</v>
      </c>
      <c r="F1263">
        <v>0</v>
      </c>
    </row>
    <row r="1264" spans="2:6" ht="15.75" customHeight="1" x14ac:dyDescent="0.25">
      <c r="B1264" t="str">
        <v>Coinwind</v>
      </c>
      <c r="C1264" t="str">
        <v>Yield</v>
      </c>
      <c r="D1264" t="str">
        <v>COW</v>
      </c>
      <c r="E1264">
        <v>0</v>
      </c>
      <c r="F1264">
        <v>0</v>
      </c>
    </row>
    <row r="1265" spans="2:6" ht="15.75" customHeight="1" x14ac:dyDescent="0.25">
      <c r="B1265" t="str">
        <v>ColaFactory</v>
      </c>
      <c r="C1265" t="str">
        <v>Farm</v>
      </c>
      <c r="D1265" t="str">
        <v>COLA</v>
      </c>
      <c r="E1265">
        <v>39.988848114962643</v>
      </c>
      <c r="F1265">
        <v>0</v>
      </c>
    </row>
    <row r="1266" spans="2:6" ht="15.75" customHeight="1" x14ac:dyDescent="0.25">
      <c r="B1266" t="str">
        <v>Colend Protocol</v>
      </c>
      <c r="C1266" t="str">
        <v>Lending</v>
      </c>
      <c r="D1266" t="str">
        <v>-</v>
      </c>
      <c r="E1266">
        <v>27943944.496523738</v>
      </c>
      <c r="F1266">
        <v>0</v>
      </c>
    </row>
    <row r="1267" spans="2:6" ht="15.75" customHeight="1" x14ac:dyDescent="0.25">
      <c r="B1267" t="str">
        <v>Collectif DAO</v>
      </c>
      <c r="C1267" t="str">
        <v>Liquid Staking</v>
      </c>
      <c r="D1267" t="str">
        <v>-</v>
      </c>
      <c r="E1267">
        <v>7392.2562770601371</v>
      </c>
      <c r="F1267">
        <v>0</v>
      </c>
    </row>
    <row r="1268" spans="2:6" ht="15.75" customHeight="1" x14ac:dyDescent="0.25">
      <c r="B1268" t="str">
        <v>Collection.xyz</v>
      </c>
      <c r="C1268" t="str">
        <v>NFT Marketplace</v>
      </c>
      <c r="D1268" t="str">
        <v>-</v>
      </c>
      <c r="E1268">
        <v>1226.0072729657979</v>
      </c>
      <c r="F1268">
        <v>0</v>
      </c>
    </row>
    <row r="1269" spans="2:6" ht="15.75" customHeight="1" x14ac:dyDescent="0.25">
      <c r="B1269" t="str">
        <v>Collector Crypt</v>
      </c>
      <c r="C1269" t="str">
        <v>Physical TCG</v>
      </c>
      <c r="D1269" t="str">
        <v>-</v>
      </c>
      <c r="E1269">
        <v>0</v>
      </c>
      <c r="F1269">
        <v>0</v>
      </c>
    </row>
    <row r="1270" spans="2:6" ht="15.75" customHeight="1" x14ac:dyDescent="0.25">
      <c r="B1270" t="str">
        <v>Collex</v>
      </c>
      <c r="C1270" t="str">
        <v>Physical TCG</v>
      </c>
      <c r="D1270" t="str">
        <v>-</v>
      </c>
      <c r="E1270">
        <v>24175.279398803719</v>
      </c>
      <c r="F1270">
        <v>0</v>
      </c>
    </row>
    <row r="1271" spans="2:6" ht="15.75" customHeight="1" x14ac:dyDescent="0.25">
      <c r="B1271" t="str">
        <v>Colony</v>
      </c>
      <c r="C1271" t="str">
        <v>Yield</v>
      </c>
      <c r="D1271" t="str">
        <v>CLY</v>
      </c>
      <c r="E1271">
        <v>338648.6913678929</v>
      </c>
      <c r="F1271">
        <v>3279513.790039998</v>
      </c>
    </row>
    <row r="1272" spans="2:6" ht="15.75" customHeight="1" x14ac:dyDescent="0.25">
      <c r="B1272" t="str">
        <v>ColorPool</v>
      </c>
      <c r="C1272" t="str">
        <v>Dexs</v>
      </c>
      <c r="D1272" t="str">
        <v>COLOR</v>
      </c>
      <c r="E1272">
        <v>450603.1792905723</v>
      </c>
      <c r="F1272">
        <v>0</v>
      </c>
    </row>
    <row r="1273" spans="2:6" ht="15.75" customHeight="1" x14ac:dyDescent="0.25">
      <c r="B1273" t="str">
        <v>Colors</v>
      </c>
      <c r="C1273" t="str">
        <v>Farm</v>
      </c>
      <c r="D1273" t="str">
        <v>-</v>
      </c>
      <c r="E1273">
        <v>2.9396929037683468</v>
      </c>
      <c r="F1273">
        <v>0</v>
      </c>
    </row>
    <row r="1274" spans="2:6" ht="15.75" customHeight="1" x14ac:dyDescent="0.25">
      <c r="B1274" t="str">
        <v>Colt</v>
      </c>
      <c r="C1274" t="str">
        <v>Partially Algorithmic Stablecoin</v>
      </c>
      <c r="D1274" t="str">
        <v>-</v>
      </c>
      <c r="E1274">
        <v>5809554.0316211237</v>
      </c>
      <c r="F1274">
        <v>0</v>
      </c>
    </row>
    <row r="1275" spans="2:6" ht="15.75" customHeight="1" x14ac:dyDescent="0.25">
      <c r="B1275" t="str">
        <v>Comb Financial</v>
      </c>
      <c r="C1275" t="str">
        <v>Yield</v>
      </c>
      <c r="D1275" t="str">
        <v>COMB</v>
      </c>
      <c r="E1275">
        <v>8209.6540191586992</v>
      </c>
      <c r="F1275">
        <v>225300.31451505952</v>
      </c>
    </row>
    <row r="1276" spans="2:6" ht="15.75" customHeight="1" x14ac:dyDescent="0.25">
      <c r="B1276" t="str">
        <v>Comet Finance</v>
      </c>
      <c r="C1276" t="str">
        <v>Algo-Stables</v>
      </c>
      <c r="D1276" t="str">
        <v>COMET</v>
      </c>
      <c r="E1276">
        <v>0</v>
      </c>
      <c r="F1276">
        <v>0</v>
      </c>
    </row>
    <row r="1277" spans="2:6" ht="15.75" customHeight="1" x14ac:dyDescent="0.25">
      <c r="B1277" t="str">
        <v>Cometa</v>
      </c>
      <c r="C1277" t="str">
        <v>Yield</v>
      </c>
      <c r="D1277" t="str">
        <v>META</v>
      </c>
      <c r="E1277">
        <v>1675662.9574494809</v>
      </c>
      <c r="F1277">
        <v>0</v>
      </c>
    </row>
    <row r="1278" spans="2:6" ht="15.75" customHeight="1" x14ac:dyDescent="0.25">
      <c r="B1278" t="str">
        <v>Cometh</v>
      </c>
      <c r="C1278" t="str">
        <v>Dexs</v>
      </c>
      <c r="D1278" t="str">
        <v>MUST</v>
      </c>
      <c r="E1278">
        <v>50063.434898574313</v>
      </c>
      <c r="F1278">
        <v>53828.447179033945</v>
      </c>
    </row>
    <row r="1279" spans="2:6" ht="15.75" customHeight="1" x14ac:dyDescent="0.25">
      <c r="B1279" t="str">
        <v>Comfy Money</v>
      </c>
      <c r="C1279" t="str">
        <v>Algo-Stables</v>
      </c>
      <c r="D1279" t="str">
        <v>COMFY</v>
      </c>
      <c r="E1279">
        <v>0</v>
      </c>
      <c r="F1279">
        <v>23801.826770790398</v>
      </c>
    </row>
    <row r="1280" spans="2:6" ht="15.75" customHeight="1" x14ac:dyDescent="0.25">
      <c r="B1280" t="str">
        <v>ComfySwap</v>
      </c>
      <c r="C1280" t="str">
        <v>Dexs</v>
      </c>
      <c r="D1280" t="str">
        <v>-</v>
      </c>
      <c r="E1280">
        <v>1779.4308682001163</v>
      </c>
      <c r="F1280">
        <v>0</v>
      </c>
    </row>
    <row r="1281" spans="2:6" ht="15.75" customHeight="1" x14ac:dyDescent="0.25">
      <c r="B1281" t="str">
        <v>Commodo</v>
      </c>
      <c r="C1281" t="str">
        <v>Lending</v>
      </c>
      <c r="D1281" t="str">
        <v>-</v>
      </c>
      <c r="E1281">
        <v>4956.7883177395233</v>
      </c>
      <c r="F1281">
        <v>0</v>
      </c>
    </row>
    <row r="1282" spans="2:6" ht="15.75" customHeight="1" x14ac:dyDescent="0.25">
      <c r="B1282" t="str">
        <v>Common</v>
      </c>
      <c r="C1282" t="str">
        <v>Privacy</v>
      </c>
      <c r="D1282" t="str">
        <v>-</v>
      </c>
      <c r="E1282">
        <v>1995.5066621838221</v>
      </c>
      <c r="F1282">
        <v>0</v>
      </c>
    </row>
    <row r="1283" spans="2:6" ht="15.75" customHeight="1" x14ac:dyDescent="0.25">
      <c r="B1283" t="str">
        <v>Common Wealth</v>
      </c>
      <c r="C1283" t="str">
        <v>Launchpad</v>
      </c>
      <c r="D1283" t="str">
        <v>WLTH</v>
      </c>
      <c r="E1283">
        <v>0</v>
      </c>
      <c r="F1283">
        <v>3229321.9662619564</v>
      </c>
    </row>
    <row r="1284" spans="2:6" ht="15.75" customHeight="1" x14ac:dyDescent="0.25">
      <c r="B1284" t="str">
        <v>CommuDAO GameSwap</v>
      </c>
      <c r="C1284" t="str">
        <v>Dexs</v>
      </c>
      <c r="D1284" t="str">
        <v>-</v>
      </c>
      <c r="E1284">
        <v>463.04493668907378</v>
      </c>
      <c r="F1284">
        <v>0</v>
      </c>
    </row>
    <row r="1285" spans="2:6" ht="15.75" customHeight="1" x14ac:dyDescent="0.25">
      <c r="B1285" t="str">
        <v>CompliFi</v>
      </c>
      <c r="C1285" t="str">
        <v>Derivatives</v>
      </c>
      <c r="D1285" t="str">
        <v>COMFI</v>
      </c>
      <c r="E1285">
        <v>37536.088813055867</v>
      </c>
      <c r="F1285">
        <v>14929.102357063908</v>
      </c>
    </row>
    <row r="1286" spans="2:6" ht="15.75" customHeight="1" x14ac:dyDescent="0.25">
      <c r="B1286" t="str">
        <v>Complus Network</v>
      </c>
      <c r="C1286" t="str">
        <v>Dexs</v>
      </c>
      <c r="D1286" t="str">
        <v>COM</v>
      </c>
      <c r="E1286">
        <v>83733.638447157457</v>
      </c>
      <c r="F1286">
        <v>0</v>
      </c>
    </row>
    <row r="1287" spans="2:6" ht="15.75" customHeight="1" x14ac:dyDescent="0.25">
      <c r="B1287" t="str">
        <v>Component</v>
      </c>
      <c r="C1287" t="str">
        <v>Dexs</v>
      </c>
      <c r="D1287" t="str">
        <v>CMP</v>
      </c>
      <c r="E1287">
        <v>161516.8481909598</v>
      </c>
      <c r="F1287">
        <v>49164.147355320471</v>
      </c>
    </row>
    <row r="1288" spans="2:6" ht="15.75" customHeight="1" x14ac:dyDescent="0.25">
      <c r="B1288" t="str">
        <v>Component Swap</v>
      </c>
      <c r="C1288" t="str">
        <v>Dexs</v>
      </c>
      <c r="D1288" t="str">
        <v>-</v>
      </c>
      <c r="E1288">
        <v>0</v>
      </c>
      <c r="F1288">
        <v>0</v>
      </c>
    </row>
    <row r="1289" spans="2:6" ht="15.75" customHeight="1" x14ac:dyDescent="0.25">
      <c r="B1289" t="str">
        <v>Composable Finance</v>
      </c>
      <c r="C1289" t="str">
        <v>Cross Chain Bridge</v>
      </c>
      <c r="D1289" t="str">
        <v>LAYR</v>
      </c>
      <c r="E1289">
        <v>16736.585646555144</v>
      </c>
      <c r="F1289">
        <v>0</v>
      </c>
    </row>
    <row r="1290" spans="2:6" ht="15.75" customHeight="1" x14ac:dyDescent="0.25">
      <c r="B1290" t="str">
        <v>Compound Blue</v>
      </c>
      <c r="C1290" t="str">
        <v>Lending</v>
      </c>
      <c r="D1290" t="str">
        <v>-</v>
      </c>
      <c r="E1290">
        <v>274044.76704396209</v>
      </c>
      <c r="F1290">
        <v>0</v>
      </c>
    </row>
    <row r="1291" spans="2:6" ht="15.75" customHeight="1" x14ac:dyDescent="0.25">
      <c r="B1291" t="str">
        <v>Compound V1</v>
      </c>
      <c r="C1291" t="str">
        <v>Lending</v>
      </c>
      <c r="D1291" t="str">
        <v>COMP</v>
      </c>
      <c r="E1291">
        <v>4079606.0492758048</v>
      </c>
      <c r="F1291">
        <v>0</v>
      </c>
    </row>
    <row r="1292" spans="2:6" ht="15.75" customHeight="1" x14ac:dyDescent="0.25">
      <c r="B1292" t="str">
        <v>Compound V2</v>
      </c>
      <c r="C1292" t="str">
        <v>Lending</v>
      </c>
      <c r="D1292" t="str">
        <v>COMP</v>
      </c>
      <c r="E1292">
        <v>254358223.52562892</v>
      </c>
      <c r="F1292">
        <v>0</v>
      </c>
    </row>
    <row r="1293" spans="2:6" ht="15.75" customHeight="1" x14ac:dyDescent="0.25">
      <c r="B1293" t="str">
        <v>Compound V3</v>
      </c>
      <c r="C1293" t="str">
        <v>Lending</v>
      </c>
      <c r="D1293" t="str">
        <v>COMP</v>
      </c>
      <c r="E1293">
        <v>1693249997.0255811</v>
      </c>
      <c r="F1293">
        <v>0</v>
      </c>
    </row>
    <row r="1294" spans="2:6" ht="15.75" customHeight="1" x14ac:dyDescent="0.25">
      <c r="B1294" t="str">
        <v>Compx CDP</v>
      </c>
      <c r="C1294" t="str">
        <v>CDP</v>
      </c>
      <c r="D1294" t="str">
        <v>-</v>
      </c>
      <c r="E1294">
        <v>2090459.5207532803</v>
      </c>
      <c r="F1294">
        <v>0</v>
      </c>
    </row>
    <row r="1295" spans="2:6" ht="15.75" customHeight="1" x14ac:dyDescent="0.25">
      <c r="B1295" t="str">
        <v>Compx Streaming</v>
      </c>
      <c r="C1295" t="str">
        <v>Payments</v>
      </c>
      <c r="D1295" t="str">
        <v>-</v>
      </c>
      <c r="E1295">
        <v>40.203669183029881</v>
      </c>
      <c r="F1295">
        <v>0</v>
      </c>
    </row>
    <row r="1296" spans="2:6" ht="15.75" customHeight="1" x14ac:dyDescent="0.25">
      <c r="B1296" t="str">
        <v>Compx Yield</v>
      </c>
      <c r="C1296" t="str">
        <v>Yield</v>
      </c>
      <c r="D1296" t="str">
        <v>-</v>
      </c>
      <c r="E1296">
        <v>26501.748000000007</v>
      </c>
      <c r="F1296">
        <v>0</v>
      </c>
    </row>
    <row r="1297" spans="2:6" ht="15.75" customHeight="1" x14ac:dyDescent="0.25">
      <c r="B1297" t="str">
        <v>ComTech Gold</v>
      </c>
      <c r="C1297" t="str">
        <v>RWA</v>
      </c>
      <c r="D1297" t="str">
        <v>-</v>
      </c>
      <c r="E1297">
        <v>15447148.565017441</v>
      </c>
      <c r="F1297">
        <v>0</v>
      </c>
    </row>
    <row r="1298" spans="2:6" ht="15.75" customHeight="1" x14ac:dyDescent="0.25">
      <c r="B1298" t="str">
        <v>Concave</v>
      </c>
      <c r="C1298" t="str">
        <v>Services</v>
      </c>
      <c r="D1298" t="str">
        <v>CNV</v>
      </c>
      <c r="E1298">
        <v>816.89612681868277</v>
      </c>
      <c r="F1298">
        <v>0</v>
      </c>
    </row>
    <row r="1299" spans="2:6" ht="15.75" customHeight="1" x14ac:dyDescent="0.25">
      <c r="B1299" t="str">
        <v>Concentrator</v>
      </c>
      <c r="C1299" t="str">
        <v>Yield</v>
      </c>
      <c r="D1299" t="str">
        <v>CTR</v>
      </c>
      <c r="E1299">
        <v>56806475.007099025</v>
      </c>
      <c r="F1299">
        <v>303822.35224212572</v>
      </c>
    </row>
    <row r="1300" spans="2:6" ht="15.75" customHeight="1" x14ac:dyDescent="0.25">
      <c r="B1300" t="str">
        <v>Concordex</v>
      </c>
      <c r="C1300" t="str">
        <v>Dexs</v>
      </c>
      <c r="D1300" t="str">
        <v>-</v>
      </c>
      <c r="E1300">
        <v>1454.9542121835188</v>
      </c>
      <c r="F1300">
        <v>0</v>
      </c>
    </row>
    <row r="1301" spans="2:6" ht="15.75" customHeight="1" x14ac:dyDescent="0.25">
      <c r="B1301" t="str">
        <v>Concrete</v>
      </c>
      <c r="C1301" t="str">
        <v>Onchain Capital Allocator</v>
      </c>
      <c r="D1301" t="str">
        <v>-</v>
      </c>
      <c r="E1301">
        <v>1008129413.3318532</v>
      </c>
      <c r="F1301">
        <v>0</v>
      </c>
    </row>
    <row r="1302" spans="2:6" ht="15.75" customHeight="1" x14ac:dyDescent="0.25">
      <c r="B1302" t="str">
        <v>Cone</v>
      </c>
      <c r="C1302" t="str">
        <v>Dexs</v>
      </c>
      <c r="D1302" t="str">
        <v>CONE</v>
      </c>
      <c r="E1302">
        <v>25429.664675010248</v>
      </c>
      <c r="F1302">
        <v>0</v>
      </c>
    </row>
    <row r="1303" spans="2:6" ht="15.75" customHeight="1" x14ac:dyDescent="0.25">
      <c r="B1303" t="str">
        <v>Conic Finance</v>
      </c>
      <c r="C1303" t="str">
        <v>Yield</v>
      </c>
      <c r="D1303" t="str">
        <v>CNC</v>
      </c>
      <c r="E1303">
        <v>106561.94131642595</v>
      </c>
      <c r="F1303">
        <v>12549.683467374643</v>
      </c>
    </row>
    <row r="1304" spans="2:6" ht="15.75" customHeight="1" x14ac:dyDescent="0.25">
      <c r="B1304" t="str">
        <v>Connext</v>
      </c>
      <c r="C1304" t="str">
        <v>Bridge</v>
      </c>
      <c r="D1304" t="str">
        <v>NEXT</v>
      </c>
      <c r="E1304">
        <v>326517233.8432945</v>
      </c>
      <c r="F1304">
        <v>0</v>
      </c>
    </row>
    <row r="1305" spans="2:6" ht="15.75" customHeight="1" x14ac:dyDescent="0.25">
      <c r="B1305" t="str">
        <v>Consensus Liquidity DEX</v>
      </c>
      <c r="C1305" t="str">
        <v>Dexs</v>
      </c>
      <c r="D1305" t="str">
        <v>-</v>
      </c>
      <c r="E1305">
        <v>1268542.180448167</v>
      </c>
      <c r="F1305">
        <v>0</v>
      </c>
    </row>
    <row r="1306" spans="2:6" ht="15.75" customHeight="1" x14ac:dyDescent="0.25">
      <c r="B1306" t="str">
        <v>Contango V1</v>
      </c>
      <c r="C1306" t="str">
        <v>Derivatives</v>
      </c>
      <c r="D1306" t="str">
        <v>TANGO</v>
      </c>
      <c r="E1306">
        <v>361202.80245497171</v>
      </c>
      <c r="F1306">
        <v>0</v>
      </c>
    </row>
    <row r="1307" spans="2:6" ht="15.75" customHeight="1" x14ac:dyDescent="0.25">
      <c r="B1307" t="str">
        <v>Contango V2</v>
      </c>
      <c r="C1307" t="str">
        <v>Derivatives</v>
      </c>
      <c r="D1307" t="str">
        <v>TANGO</v>
      </c>
      <c r="E1307">
        <v>15848577.373605926</v>
      </c>
      <c r="F1307">
        <v>0</v>
      </c>
    </row>
    <row r="1308" spans="2:6" ht="15.75" customHeight="1" x14ac:dyDescent="0.25">
      <c r="B1308" t="str">
        <v>Contrax Finance</v>
      </c>
      <c r="C1308" t="str">
        <v>Yield</v>
      </c>
      <c r="D1308" t="str">
        <v>-</v>
      </c>
      <c r="E1308">
        <v>1215.048916025225</v>
      </c>
      <c r="F1308">
        <v>0</v>
      </c>
    </row>
    <row r="1309" spans="2:6" ht="15.75" customHeight="1" x14ac:dyDescent="0.25">
      <c r="B1309" t="str">
        <v>Convergence</v>
      </c>
      <c r="C1309" t="str">
        <v>Dexs</v>
      </c>
      <c r="D1309" t="str">
        <v>CONV</v>
      </c>
      <c r="E1309">
        <v>438817.94037786388</v>
      </c>
      <c r="F1309">
        <v>9645.1170632554331</v>
      </c>
    </row>
    <row r="1310" spans="2:6" ht="15.75" customHeight="1" x14ac:dyDescent="0.25">
      <c r="B1310" t="str">
        <v>Convergence Fi</v>
      </c>
      <c r="C1310" t="str">
        <v>Yield</v>
      </c>
      <c r="D1310" t="str">
        <v>-</v>
      </c>
      <c r="E1310">
        <v>1439054.839898386</v>
      </c>
      <c r="F1310">
        <v>0</v>
      </c>
    </row>
    <row r="1311" spans="2:6" ht="15.75" customHeight="1" x14ac:dyDescent="0.25">
      <c r="B1311" t="str">
        <v>Convex Finance</v>
      </c>
      <c r="C1311" t="str">
        <v>Yield</v>
      </c>
      <c r="D1311" t="str">
        <v>CVX</v>
      </c>
      <c r="E1311">
        <v>974543104.96281981</v>
      </c>
      <c r="F1311">
        <v>178165034.14020228</v>
      </c>
    </row>
    <row r="1312" spans="2:6" ht="15.75" customHeight="1" x14ac:dyDescent="0.25">
      <c r="B1312" t="str">
        <v>Conveyor</v>
      </c>
      <c r="C1312" t="str">
        <v>DEX Aggregator</v>
      </c>
      <c r="D1312" t="str">
        <v>-</v>
      </c>
      <c r="E1312">
        <v>0</v>
      </c>
      <c r="F1312">
        <v>0</v>
      </c>
    </row>
    <row r="1313" spans="2:6" ht="15.75" customHeight="1" x14ac:dyDescent="0.25">
      <c r="B1313" t="str">
        <v>Cook Finance</v>
      </c>
      <c r="C1313" t="str">
        <v>Indexes</v>
      </c>
      <c r="D1313" t="str">
        <v>COOK</v>
      </c>
      <c r="E1313">
        <v>173125.96292247484</v>
      </c>
      <c r="F1313">
        <v>162663.66667139329</v>
      </c>
    </row>
    <row r="1314" spans="2:6" ht="15.75" customHeight="1" x14ac:dyDescent="0.25">
      <c r="B1314" t="str">
        <v>Cookie DAO</v>
      </c>
      <c r="C1314" t="str">
        <v>AI Agents</v>
      </c>
      <c r="D1314" t="str">
        <v>COOKIE</v>
      </c>
      <c r="E1314">
        <v>0</v>
      </c>
      <c r="F1314">
        <v>27519555.298352364</v>
      </c>
    </row>
    <row r="1315" spans="2:6" ht="15.75" customHeight="1" x14ac:dyDescent="0.25">
      <c r="B1315" t="str">
        <v>CookieBase Dex</v>
      </c>
      <c r="C1315" t="str">
        <v>Dexs</v>
      </c>
      <c r="D1315" t="str">
        <v>Cookie</v>
      </c>
      <c r="E1315">
        <v>7.8713276766621293E-2</v>
      </c>
      <c r="F1315">
        <v>0</v>
      </c>
    </row>
    <row r="1316" spans="2:6" ht="15.75" customHeight="1" x14ac:dyDescent="0.25">
      <c r="B1316" t="str">
        <v>CookieBase Farm</v>
      </c>
      <c r="C1316" t="str">
        <v>Farm</v>
      </c>
      <c r="D1316" t="str">
        <v>Cookie</v>
      </c>
      <c r="E1316">
        <v>115457.23245035883</v>
      </c>
      <c r="F1316">
        <v>0</v>
      </c>
    </row>
    <row r="1317" spans="2:6" ht="15.75" customHeight="1" x14ac:dyDescent="0.25">
      <c r="B1317" t="str">
        <v>Copra Finance</v>
      </c>
      <c r="C1317" t="str">
        <v>Lending</v>
      </c>
      <c r="D1317" t="str">
        <v>-</v>
      </c>
      <c r="E1317">
        <v>19397.979019914404</v>
      </c>
      <c r="F1317">
        <v>0</v>
      </c>
    </row>
    <row r="1318" spans="2:6" ht="15.75" customHeight="1" x14ac:dyDescent="0.25">
      <c r="B1318" t="str">
        <v>Copump</v>
      </c>
      <c r="C1318" t="str">
        <v>Launchpad</v>
      </c>
      <c r="D1318" t="str">
        <v>-</v>
      </c>
      <c r="E1318">
        <v>3135.0668505304911</v>
      </c>
      <c r="F1318">
        <v>0</v>
      </c>
    </row>
    <row r="1319" spans="2:6" ht="15.75" customHeight="1" x14ac:dyDescent="0.25">
      <c r="B1319" t="str">
        <v>Core Bitcoin Bridge</v>
      </c>
      <c r="C1319" t="str">
        <v>Bridge</v>
      </c>
      <c r="D1319" t="str">
        <v>-</v>
      </c>
      <c r="E1319">
        <v>361973800.55921054</v>
      </c>
      <c r="F1319">
        <v>0</v>
      </c>
    </row>
    <row r="1320" spans="2:6" ht="15.75" customHeight="1" x14ac:dyDescent="0.25">
      <c r="B1320" t="str">
        <v>CORE Bridge</v>
      </c>
      <c r="C1320" t="str">
        <v>Canonical Bridge</v>
      </c>
      <c r="D1320" t="str">
        <v>CORE</v>
      </c>
      <c r="E1320">
        <v>2950648.4971405366</v>
      </c>
      <c r="F1320">
        <v>125921246.97759545</v>
      </c>
    </row>
    <row r="1321" spans="2:6" ht="15.75" customHeight="1" x14ac:dyDescent="0.25">
      <c r="B1321" t="str">
        <v>Core Earn</v>
      </c>
      <c r="C1321" t="str">
        <v>Liquid Staking</v>
      </c>
      <c r="D1321" t="str">
        <v>-</v>
      </c>
      <c r="E1321">
        <v>1869923.9208774713</v>
      </c>
      <c r="F1321">
        <v>0</v>
      </c>
    </row>
    <row r="1322" spans="2:6" ht="15.75" customHeight="1" x14ac:dyDescent="0.25">
      <c r="B1322" t="str">
        <v>Core Markets</v>
      </c>
      <c r="C1322" t="str">
        <v>Derivatives</v>
      </c>
      <c r="D1322" t="str">
        <v>CORE</v>
      </c>
      <c r="E1322">
        <v>263941.78180343646</v>
      </c>
      <c r="F1322">
        <v>0</v>
      </c>
    </row>
    <row r="1323" spans="2:6" ht="15.75" customHeight="1" x14ac:dyDescent="0.25">
      <c r="B1323" t="str">
        <v>Corepilot</v>
      </c>
      <c r="C1323" t="str">
        <v>Liquid Staking</v>
      </c>
      <c r="D1323" t="str">
        <v>-</v>
      </c>
      <c r="E1323">
        <v>28.039346929010069</v>
      </c>
      <c r="F1323">
        <v>0</v>
      </c>
    </row>
    <row r="1324" spans="2:6" ht="15.75" customHeight="1" x14ac:dyDescent="0.25">
      <c r="B1324" t="str">
        <v>Corepound</v>
      </c>
      <c r="C1324" t="str">
        <v>Yield</v>
      </c>
      <c r="D1324" t="str">
        <v>CORP</v>
      </c>
      <c r="E1324">
        <v>5669.8943029976681</v>
      </c>
      <c r="F1324">
        <v>0</v>
      </c>
    </row>
    <row r="1325" spans="2:6" ht="15.75" customHeight="1" x14ac:dyDescent="0.25">
      <c r="B1325" t="str">
        <v>CoreSwap</v>
      </c>
      <c r="C1325" t="str">
        <v>Dexs</v>
      </c>
      <c r="D1325" t="str">
        <v>cSWAP</v>
      </c>
      <c r="E1325">
        <v>105.50340359613845</v>
      </c>
      <c r="F1325">
        <v>0</v>
      </c>
    </row>
    <row r="1326" spans="2:6" ht="15.75" customHeight="1" x14ac:dyDescent="0.25">
      <c r="B1326" t="str">
        <v>COREx Network</v>
      </c>
      <c r="C1326" t="str">
        <v>Dexs</v>
      </c>
      <c r="D1326" t="str">
        <v>-</v>
      </c>
      <c r="E1326">
        <v>20169.501202010131</v>
      </c>
      <c r="F1326">
        <v>0</v>
      </c>
    </row>
    <row r="1327" spans="2:6" ht="15.75" customHeight="1" x14ac:dyDescent="0.25">
      <c r="B1327" t="str">
        <v>Corgi Finance</v>
      </c>
      <c r="C1327" t="str">
        <v>Yield Aggregator</v>
      </c>
      <c r="D1327" t="str">
        <v>COG</v>
      </c>
      <c r="E1327">
        <v>0</v>
      </c>
      <c r="F1327">
        <v>0</v>
      </c>
    </row>
    <row r="1328" spans="2:6" ht="15.75" customHeight="1" x14ac:dyDescent="0.25">
      <c r="B1328" t="str">
        <v>CorgiSwap</v>
      </c>
      <c r="C1328" t="str">
        <v>Dexs</v>
      </c>
      <c r="D1328" t="str">
        <v>CORIS</v>
      </c>
      <c r="E1328">
        <v>2604.0586741325133</v>
      </c>
      <c r="F1328">
        <v>0</v>
      </c>
    </row>
    <row r="1329" spans="2:6" ht="15.75" customHeight="1" x14ac:dyDescent="0.25">
      <c r="B1329" t="str">
        <v>Cork V1</v>
      </c>
      <c r="C1329" t="str">
        <v>Insurance</v>
      </c>
      <c r="D1329" t="str">
        <v>-</v>
      </c>
      <c r="E1329">
        <v>6780.6851079647831</v>
      </c>
      <c r="F1329">
        <v>0</v>
      </c>
    </row>
    <row r="1330" spans="2:6" ht="15.75" customHeight="1" x14ac:dyDescent="0.25">
      <c r="B1330" t="str">
        <v>Corn Kernels</v>
      </c>
      <c r="C1330" t="str">
        <v>Farm</v>
      </c>
      <c r="D1330" t="str">
        <v>-</v>
      </c>
      <c r="E1330">
        <v>470173.61849364691</v>
      </c>
      <c r="F1330">
        <v>0</v>
      </c>
    </row>
    <row r="1331" spans="2:6" ht="15.75" customHeight="1" x14ac:dyDescent="0.25">
      <c r="B1331" t="str">
        <v>CortexDAO</v>
      </c>
      <c r="C1331" t="str">
        <v>Indexes</v>
      </c>
      <c r="D1331" t="str">
        <v>CXD</v>
      </c>
      <c r="E1331">
        <v>0</v>
      </c>
      <c r="F1331">
        <v>1370349.6201380643</v>
      </c>
    </row>
    <row r="1332" spans="2:6" ht="15.75" customHeight="1" x14ac:dyDescent="0.25">
      <c r="B1332" t="str">
        <v>Coslend</v>
      </c>
      <c r="C1332" t="str">
        <v>Lending</v>
      </c>
      <c r="D1332" t="str">
        <v>-</v>
      </c>
      <c r="E1332">
        <v>28736.498030963794</v>
      </c>
      <c r="F1332">
        <v>0</v>
      </c>
    </row>
    <row r="1333" spans="2:6" ht="15.75" customHeight="1" x14ac:dyDescent="0.25">
      <c r="B1333" t="str">
        <v>COTI Treasury</v>
      </c>
      <c r="C1333" t="str">
        <v>Yield</v>
      </c>
      <c r="D1333" t="str">
        <v>-</v>
      </c>
      <c r="E1333">
        <v>0</v>
      </c>
      <c r="F1333">
        <v>0</v>
      </c>
    </row>
    <row r="1334" spans="2:6" ht="15.75" customHeight="1" x14ac:dyDescent="0.25">
      <c r="B1334" t="str">
        <v>CougarSwap</v>
      </c>
      <c r="C1334" t="str">
        <v>Yield</v>
      </c>
      <c r="D1334" t="str">
        <v>CGS</v>
      </c>
      <c r="E1334">
        <v>59077.467755156875</v>
      </c>
      <c r="F1334">
        <v>0</v>
      </c>
    </row>
    <row r="1335" spans="2:6" ht="15.75" customHeight="1" x14ac:dyDescent="0.25">
      <c r="B1335" t="str">
        <v>Counterstake</v>
      </c>
      <c r="C1335" t="str">
        <v>Cross Chain Bridge</v>
      </c>
      <c r="D1335" t="str">
        <v>-</v>
      </c>
      <c r="E1335">
        <v>417238.41589086619</v>
      </c>
      <c r="F1335">
        <v>0</v>
      </c>
    </row>
    <row r="1336" spans="2:6" ht="15.75" customHeight="1" x14ac:dyDescent="0.25">
      <c r="B1336" t="str">
        <v>Coup Farm</v>
      </c>
      <c r="C1336" t="str">
        <v>Yield</v>
      </c>
      <c r="D1336" t="str">
        <v>COUP</v>
      </c>
      <c r="E1336">
        <v>15.354151882321446</v>
      </c>
      <c r="F1336">
        <v>0</v>
      </c>
    </row>
    <row r="1337" spans="2:6" ht="15.75" customHeight="1" x14ac:dyDescent="0.25">
      <c r="B1337" t="str">
        <v>Coupon Finance</v>
      </c>
      <c r="C1337" t="str">
        <v>Lending</v>
      </c>
      <c r="D1337" t="str">
        <v>-</v>
      </c>
      <c r="E1337">
        <v>23237.314374714195</v>
      </c>
      <c r="F1337">
        <v>0</v>
      </c>
    </row>
    <row r="1338" spans="2:6" ht="15.75" customHeight="1" x14ac:dyDescent="0.25">
      <c r="B1338" t="str">
        <v>Courtyard</v>
      </c>
      <c r="C1338" t="str">
        <v>Physical TCG</v>
      </c>
      <c r="D1338" t="str">
        <v>-</v>
      </c>
      <c r="E1338">
        <v>0</v>
      </c>
      <c r="F1338">
        <v>0</v>
      </c>
    </row>
    <row r="1339" spans="2:6" ht="15.75" customHeight="1" x14ac:dyDescent="0.25">
      <c r="B1339" t="str">
        <v>Cove Boosties</v>
      </c>
      <c r="C1339" t="str">
        <v>Yield Aggregator</v>
      </c>
      <c r="D1339" t="str">
        <v>COVE</v>
      </c>
      <c r="E1339">
        <v>758850.95552372339</v>
      </c>
      <c r="F1339">
        <v>0</v>
      </c>
    </row>
    <row r="1340" spans="2:6" ht="15.75" customHeight="1" x14ac:dyDescent="0.25">
      <c r="B1340" t="str">
        <v>Cove Protocol</v>
      </c>
      <c r="C1340" t="str">
        <v>Yield</v>
      </c>
      <c r="D1340" t="str">
        <v>COVE</v>
      </c>
      <c r="E1340">
        <v>1094720.939963965</v>
      </c>
      <c r="F1340">
        <v>0</v>
      </c>
    </row>
    <row r="1341" spans="2:6" ht="15.75" customHeight="1" x14ac:dyDescent="0.25">
      <c r="B1341" t="str">
        <v>Cover Protocol</v>
      </c>
      <c r="C1341" t="str">
        <v>Insurance</v>
      </c>
      <c r="D1341" t="str">
        <v>COVER</v>
      </c>
      <c r="E1341">
        <v>810689.12409196608</v>
      </c>
      <c r="F1341">
        <v>44127.917522363699</v>
      </c>
    </row>
    <row r="1342" spans="2:6" ht="15.75" customHeight="1" x14ac:dyDescent="0.25">
      <c r="B1342" t="str">
        <v>Covo V1</v>
      </c>
      <c r="C1342" t="str">
        <v>Derivatives</v>
      </c>
      <c r="D1342" t="str">
        <v>COVO</v>
      </c>
      <c r="E1342">
        <v>1.0876123190559637</v>
      </c>
      <c r="F1342">
        <v>0</v>
      </c>
    </row>
    <row r="1343" spans="2:6" ht="15.75" customHeight="1" x14ac:dyDescent="0.25">
      <c r="B1343" t="str">
        <v>Covo V2</v>
      </c>
      <c r="C1343" t="str">
        <v>Derivatives</v>
      </c>
      <c r="D1343" t="str">
        <v>COVO</v>
      </c>
      <c r="E1343">
        <v>556.7653611023386</v>
      </c>
      <c r="F1343">
        <v>0</v>
      </c>
    </row>
    <row r="1344" spans="2:6" ht="15.75" customHeight="1" x14ac:dyDescent="0.25">
      <c r="B1344" t="str">
        <v>Cowaii Cash</v>
      </c>
      <c r="C1344" t="str">
        <v>Algo-Stables</v>
      </c>
      <c r="D1344" t="str">
        <v>COWAII</v>
      </c>
      <c r="E1344">
        <v>0</v>
      </c>
      <c r="F1344">
        <v>0</v>
      </c>
    </row>
    <row r="1345" spans="2:6" ht="15.75" customHeight="1" x14ac:dyDescent="0.25">
      <c r="B1345" t="str">
        <v>CoWSwap</v>
      </c>
      <c r="C1345" t="str">
        <v>DEX Aggregator</v>
      </c>
      <c r="D1345" t="str">
        <v>COW</v>
      </c>
      <c r="E1345">
        <v>0</v>
      </c>
      <c r="F1345">
        <v>126575987.10780625</v>
      </c>
    </row>
    <row r="1346" spans="2:6" ht="15.75" customHeight="1" x14ac:dyDescent="0.25">
      <c r="B1346" t="str">
        <v>Cozy V1</v>
      </c>
      <c r="C1346" t="str">
        <v>Insurance</v>
      </c>
      <c r="D1346" t="str">
        <v>-</v>
      </c>
      <c r="E1346">
        <v>88223.195902491105</v>
      </c>
      <c r="F1346">
        <v>0</v>
      </c>
    </row>
    <row r="1347" spans="2:6" ht="15.75" customHeight="1" x14ac:dyDescent="0.25">
      <c r="B1347" t="str">
        <v>Cozy V2</v>
      </c>
      <c r="C1347" t="str">
        <v>Insurance</v>
      </c>
      <c r="D1347" t="str">
        <v>-</v>
      </c>
      <c r="E1347">
        <v>270835.79515985301</v>
      </c>
      <c r="F1347">
        <v>0</v>
      </c>
    </row>
    <row r="1348" spans="2:6" ht="15.75" customHeight="1" x14ac:dyDescent="0.25">
      <c r="B1348" t="str">
        <v>Crabada</v>
      </c>
      <c r="C1348" t="str">
        <v>Gaming</v>
      </c>
      <c r="D1348" t="str">
        <v>CRA</v>
      </c>
      <c r="E1348">
        <v>0</v>
      </c>
      <c r="F1348">
        <v>52525.201838760309</v>
      </c>
    </row>
    <row r="1349" spans="2:6" ht="15.75" customHeight="1" x14ac:dyDescent="0.25">
      <c r="B1349" t="str">
        <v>Crack And Stack</v>
      </c>
      <c r="C1349" t="str">
        <v>Gaming</v>
      </c>
      <c r="D1349" t="str">
        <v>-</v>
      </c>
      <c r="E1349">
        <v>1.7910499987489237</v>
      </c>
      <c r="F1349">
        <v>0</v>
      </c>
    </row>
    <row r="1350" spans="2:6" ht="15.75" customHeight="1" x14ac:dyDescent="0.25">
      <c r="B1350" t="str">
        <v>Crafting Finance</v>
      </c>
      <c r="C1350" t="str">
        <v>Synthetics</v>
      </c>
      <c r="D1350" t="str">
        <v>CRF</v>
      </c>
      <c r="E1350">
        <v>10100.582361231751</v>
      </c>
      <c r="F1350">
        <v>0</v>
      </c>
    </row>
    <row r="1351" spans="2:6" ht="15.75" customHeight="1" x14ac:dyDescent="0.25">
      <c r="B1351" t="str">
        <v>Cranium Exchange</v>
      </c>
      <c r="C1351" t="str">
        <v>Derivatives</v>
      </c>
      <c r="D1351" t="str">
        <v>SKULL</v>
      </c>
      <c r="E1351">
        <v>0.25901733187387488</v>
      </c>
      <c r="F1351">
        <v>0</v>
      </c>
    </row>
    <row r="1352" spans="2:6" ht="15.75" customHeight="1" x14ac:dyDescent="0.25">
      <c r="B1352" t="str">
        <v>CREAM Lending</v>
      </c>
      <c r="C1352" t="str">
        <v>Lending</v>
      </c>
      <c r="D1352" t="str">
        <v>CREAM</v>
      </c>
      <c r="E1352">
        <v>432045.65826486802</v>
      </c>
      <c r="F1352">
        <v>1465755.7890259232</v>
      </c>
    </row>
    <row r="1353" spans="2:6" ht="15.75" customHeight="1" x14ac:dyDescent="0.25">
      <c r="B1353" t="str">
        <v>Creampan Finance</v>
      </c>
      <c r="C1353" t="str">
        <v>Liquid Staking</v>
      </c>
      <c r="D1353" t="str">
        <v>PAN</v>
      </c>
      <c r="E1353">
        <v>29937.006175137587</v>
      </c>
      <c r="F1353">
        <v>0</v>
      </c>
    </row>
    <row r="1354" spans="2:6" ht="15.75" customHeight="1" x14ac:dyDescent="0.25">
      <c r="B1354" t="str">
        <v>CreamSwap</v>
      </c>
      <c r="C1354" t="str">
        <v>Dexs</v>
      </c>
      <c r="D1354" t="str">
        <v>CREAM</v>
      </c>
      <c r="E1354">
        <v>96513.577295680094</v>
      </c>
      <c r="F1354">
        <v>0</v>
      </c>
    </row>
    <row r="1355" spans="2:6" ht="15.75" customHeight="1" x14ac:dyDescent="0.25">
      <c r="B1355" t="str">
        <v>CreateDAO</v>
      </c>
      <c r="C1355" t="str">
        <v>DAO Service Provider</v>
      </c>
      <c r="D1355" t="str">
        <v>-</v>
      </c>
      <c r="E1355">
        <v>1.4019197008426882</v>
      </c>
      <c r="F1355">
        <v>0</v>
      </c>
    </row>
    <row r="1356" spans="2:6" ht="15.75" customHeight="1" x14ac:dyDescent="0.25">
      <c r="B1356" t="str">
        <v>CreateMyToken</v>
      </c>
      <c r="C1356" t="str">
        <v>Launchpad</v>
      </c>
      <c r="D1356" t="str">
        <v>-</v>
      </c>
      <c r="E1356">
        <v>41767.04189579557</v>
      </c>
      <c r="F1356">
        <v>0</v>
      </c>
    </row>
    <row r="1357" spans="2:6" ht="15.75" customHeight="1" x14ac:dyDescent="0.25">
      <c r="B1357" t="str">
        <v>Creator Bid</v>
      </c>
      <c r="C1357" t="str">
        <v>AI Agents</v>
      </c>
      <c r="D1357" t="str">
        <v>-</v>
      </c>
      <c r="E1357">
        <v>0</v>
      </c>
      <c r="F1357">
        <v>0</v>
      </c>
    </row>
    <row r="1358" spans="2:6" ht="15.75" customHeight="1" x14ac:dyDescent="0.25">
      <c r="B1358" t="str">
        <v>Credbull</v>
      </c>
      <c r="C1358" t="str">
        <v>Farm</v>
      </c>
      <c r="D1358" t="str">
        <v>CBL</v>
      </c>
      <c r="E1358">
        <v>378.16615075385693</v>
      </c>
      <c r="F1358">
        <v>11887.246462064695</v>
      </c>
    </row>
    <row r="1359" spans="2:6" ht="15.75" customHeight="1" x14ac:dyDescent="0.25">
      <c r="B1359" t="str">
        <v>Credible Finance</v>
      </c>
      <c r="C1359" t="str">
        <v>RWA Lending</v>
      </c>
      <c r="D1359" t="str">
        <v>-</v>
      </c>
      <c r="E1359">
        <v>9.9990859565259049E-3</v>
      </c>
      <c r="F1359">
        <v>0</v>
      </c>
    </row>
    <row r="1360" spans="2:6" ht="15.75" customHeight="1" x14ac:dyDescent="0.25">
      <c r="B1360" t="str">
        <v>Credit</v>
      </c>
      <c r="C1360" t="str">
        <v>Lending</v>
      </c>
      <c r="D1360" t="str">
        <v>-</v>
      </c>
      <c r="E1360">
        <v>3999777.2593191518</v>
      </c>
      <c r="F1360">
        <v>0</v>
      </c>
    </row>
    <row r="1361" spans="2:6" ht="15.75" customHeight="1" x14ac:dyDescent="0.25">
      <c r="B1361" t="str">
        <v>Credit Coop</v>
      </c>
      <c r="C1361" t="str">
        <v>RWA Lending</v>
      </c>
      <c r="D1361" t="str">
        <v>-</v>
      </c>
      <c r="E1361">
        <v>6846718.6921267603</v>
      </c>
      <c r="F1361">
        <v>0</v>
      </c>
    </row>
    <row r="1362" spans="2:6" ht="15.75" customHeight="1" x14ac:dyDescent="0.25">
      <c r="B1362" t="str">
        <v>Credit Guild</v>
      </c>
      <c r="C1362" t="str">
        <v>Lending</v>
      </c>
      <c r="D1362" t="str">
        <v>-</v>
      </c>
      <c r="E1362">
        <v>46964.845648416209</v>
      </c>
      <c r="F1362">
        <v>0</v>
      </c>
    </row>
    <row r="1363" spans="2:6" ht="15.75" customHeight="1" x14ac:dyDescent="0.25">
      <c r="B1363" t="str">
        <v>Creditum</v>
      </c>
      <c r="C1363" t="str">
        <v>Algo-Stables</v>
      </c>
      <c r="D1363" t="str">
        <v>CREDIT</v>
      </c>
      <c r="E1363">
        <v>52.285598507855347</v>
      </c>
      <c r="F1363">
        <v>0</v>
      </c>
    </row>
    <row r="1364" spans="2:6" ht="15.75" customHeight="1" x14ac:dyDescent="0.25">
      <c r="B1364" t="str">
        <v>Credix</v>
      </c>
      <c r="C1364" t="str">
        <v>RWA Lending</v>
      </c>
      <c r="D1364" t="str">
        <v>-</v>
      </c>
      <c r="E1364">
        <v>0.99981652958585443</v>
      </c>
      <c r="F1364">
        <v>0</v>
      </c>
    </row>
    <row r="1365" spans="2:6" ht="15.75" customHeight="1" x14ac:dyDescent="0.25">
      <c r="B1365" t="str">
        <v>Crema Finance</v>
      </c>
      <c r="C1365" t="str">
        <v>Dexs</v>
      </c>
      <c r="D1365" t="str">
        <v>-</v>
      </c>
      <c r="E1365">
        <v>154087.17726811441</v>
      </c>
      <c r="F1365">
        <v>0</v>
      </c>
    </row>
    <row r="1366" spans="2:6" ht="15.75" customHeight="1" x14ac:dyDescent="0.25">
      <c r="B1366" t="str">
        <v>Creo Engine</v>
      </c>
      <c r="C1366" t="str">
        <v>Gaming</v>
      </c>
      <c r="D1366" t="str">
        <v>CREO</v>
      </c>
      <c r="E1366">
        <v>0</v>
      </c>
      <c r="F1366">
        <v>1108422.7774895669</v>
      </c>
    </row>
    <row r="1367" spans="2:6" ht="15.75" customHeight="1" x14ac:dyDescent="0.25">
      <c r="B1367" t="str">
        <v>Crescent Dex</v>
      </c>
      <c r="C1367" t="str">
        <v>Dexs</v>
      </c>
      <c r="D1367" t="str">
        <v>-</v>
      </c>
      <c r="E1367">
        <v>55579.772139054447</v>
      </c>
      <c r="F1367">
        <v>0</v>
      </c>
    </row>
    <row r="1368" spans="2:6" ht="15.75" customHeight="1" x14ac:dyDescent="0.25">
      <c r="B1368" t="str">
        <v>CrescentSwap</v>
      </c>
      <c r="C1368" t="str">
        <v>Dexs</v>
      </c>
      <c r="D1368" t="str">
        <v>MNLT</v>
      </c>
      <c r="E1368">
        <v>1103.5805126688383</v>
      </c>
      <c r="F1368">
        <v>0</v>
      </c>
    </row>
    <row r="1369" spans="2:6" ht="15.75" customHeight="1" x14ac:dyDescent="0.25">
      <c r="B1369" t="str">
        <v>CRETH2</v>
      </c>
      <c r="C1369" t="str">
        <v>Liquid Staking</v>
      </c>
      <c r="D1369" t="str">
        <v>CREAM</v>
      </c>
      <c r="E1369">
        <v>2124995.2146481173</v>
      </c>
      <c r="F1369">
        <v>2368443.5547073879</v>
      </c>
    </row>
    <row r="1370" spans="2:6" ht="15.75" customHeight="1" x14ac:dyDescent="0.25">
      <c r="B1370" t="str">
        <v>CRIPTO NO PIX</v>
      </c>
      <c r="C1370" t="str">
        <v>CeDeFi</v>
      </c>
      <c r="D1370" t="str">
        <v>NIX</v>
      </c>
      <c r="E1370">
        <v>0</v>
      </c>
      <c r="F1370">
        <v>0</v>
      </c>
    </row>
    <row r="1371" spans="2:6" ht="15.75" customHeight="1" x14ac:dyDescent="0.25">
      <c r="B1371" t="str">
        <v>Cro.ag</v>
      </c>
      <c r="C1371" t="str">
        <v>DEX Aggregator</v>
      </c>
      <c r="D1371" t="str">
        <v>-</v>
      </c>
      <c r="E1371">
        <v>0</v>
      </c>
      <c r="F1371">
        <v>0</v>
      </c>
    </row>
    <row r="1372" spans="2:6" ht="15.75" customHeight="1" x14ac:dyDescent="0.25">
      <c r="B1372" t="str">
        <v>Croblanc</v>
      </c>
      <c r="C1372" t="str">
        <v>Yield</v>
      </c>
      <c r="D1372" t="str">
        <v>CROBLANC</v>
      </c>
      <c r="E1372">
        <v>15914.50968259394</v>
      </c>
      <c r="F1372">
        <v>0</v>
      </c>
    </row>
    <row r="1373" spans="2:6" ht="15.75" customHeight="1" x14ac:dyDescent="0.25">
      <c r="B1373" t="str">
        <v>Crocodile Finance</v>
      </c>
      <c r="C1373" t="str">
        <v>Algo-Stables</v>
      </c>
      <c r="D1373" t="str">
        <v>CROC</v>
      </c>
      <c r="E1373">
        <v>4.8783532169164676</v>
      </c>
      <c r="F1373">
        <v>0</v>
      </c>
    </row>
    <row r="1374" spans="2:6" ht="15.75" customHeight="1" x14ac:dyDescent="0.25">
      <c r="B1374" t="str">
        <v>Crodex</v>
      </c>
      <c r="C1374" t="str">
        <v>Dexs</v>
      </c>
      <c r="D1374" t="str">
        <v>CRX</v>
      </c>
      <c r="E1374">
        <v>220858.91085927261</v>
      </c>
      <c r="F1374">
        <v>20791.860309209271</v>
      </c>
    </row>
    <row r="1375" spans="2:6" ht="15.75" customHeight="1" x14ac:dyDescent="0.25">
      <c r="B1375" t="str">
        <v>Croissant Games</v>
      </c>
      <c r="C1375" t="str">
        <v>Luck Games</v>
      </c>
      <c r="D1375" t="str">
        <v>CROISSANT</v>
      </c>
      <c r="E1375">
        <v>0</v>
      </c>
      <c r="F1375">
        <v>0</v>
      </c>
    </row>
    <row r="1376" spans="2:6" ht="15.75" customHeight="1" x14ac:dyDescent="0.25">
      <c r="B1376" t="str">
        <v>CroLend Finance</v>
      </c>
      <c r="C1376" t="str">
        <v>Lending</v>
      </c>
      <c r="D1376" t="str">
        <v>CRD</v>
      </c>
      <c r="E1376">
        <v>0</v>
      </c>
      <c r="F1376">
        <v>0</v>
      </c>
    </row>
    <row r="1377" spans="2:6" ht="15.75" customHeight="1" x14ac:dyDescent="0.25">
      <c r="B1377" t="str">
        <v>Cron Finance</v>
      </c>
      <c r="C1377" t="str">
        <v>Dexs</v>
      </c>
      <c r="D1377" t="str">
        <v>-</v>
      </c>
      <c r="E1377">
        <v>0</v>
      </c>
      <c r="F1377">
        <v>0</v>
      </c>
    </row>
    <row r="1378" spans="2:6" ht="15.75" customHeight="1" x14ac:dyDescent="0.25">
      <c r="B1378" t="str">
        <v>CronaSwap</v>
      </c>
      <c r="C1378" t="str">
        <v>Dexs</v>
      </c>
      <c r="D1378" t="str">
        <v>CRONA</v>
      </c>
      <c r="E1378">
        <v>522100.66315360001</v>
      </c>
      <c r="F1378">
        <v>0</v>
      </c>
    </row>
    <row r="1379" spans="2:6" ht="15.75" customHeight="1" x14ac:dyDescent="0.25">
      <c r="B1379" t="str">
        <v>cronews</v>
      </c>
      <c r="C1379" t="str">
        <v>SoFi</v>
      </c>
      <c r="D1379" t="str">
        <v>-</v>
      </c>
      <c r="E1379">
        <v>19.772511860665119</v>
      </c>
      <c r="F1379">
        <v>0</v>
      </c>
    </row>
    <row r="1380" spans="2:6" ht="15.75" customHeight="1" x14ac:dyDescent="0.25">
      <c r="B1380" t="str">
        <v>Cronofi Finance</v>
      </c>
      <c r="C1380" t="str">
        <v>Yield</v>
      </c>
      <c r="D1380" t="str">
        <v>CRONO</v>
      </c>
      <c r="E1380">
        <v>1625.9287996770813</v>
      </c>
      <c r="F1380">
        <v>0</v>
      </c>
    </row>
    <row r="1381" spans="2:6" ht="15.75" customHeight="1" x14ac:dyDescent="0.25">
      <c r="B1381" t="str">
        <v>Cronos Bet</v>
      </c>
      <c r="C1381" t="str">
        <v>Luck Games</v>
      </c>
      <c r="D1381" t="str">
        <v>CBET</v>
      </c>
      <c r="E1381">
        <v>1820.1712222601959</v>
      </c>
      <c r="F1381">
        <v>0</v>
      </c>
    </row>
    <row r="1382" spans="2:6" ht="15.75" customHeight="1" x14ac:dyDescent="0.25">
      <c r="B1382" t="str">
        <v>Cronos zkEVM Bridge</v>
      </c>
      <c r="C1382" t="str">
        <v>Canonical Bridge</v>
      </c>
      <c r="D1382" t="str">
        <v>-</v>
      </c>
      <c r="E1382">
        <v>32957667.464772791</v>
      </c>
      <c r="F1382">
        <v>0</v>
      </c>
    </row>
    <row r="1383" spans="2:6" ht="15.75" customHeight="1" x14ac:dyDescent="0.25">
      <c r="B1383" t="str">
        <v>Cronus Finance</v>
      </c>
      <c r="C1383" t="str">
        <v>Dexs</v>
      </c>
      <c r="D1383" t="str">
        <v>CRN</v>
      </c>
      <c r="E1383">
        <v>6595.1797649015016</v>
      </c>
      <c r="F1383">
        <v>0</v>
      </c>
    </row>
    <row r="1384" spans="2:6" ht="15.75" customHeight="1" x14ac:dyDescent="0.25">
      <c r="B1384" t="str">
        <v>Cropper AMM</v>
      </c>
      <c r="C1384" t="str">
        <v>Dexs</v>
      </c>
      <c r="D1384" t="str">
        <v>CRP</v>
      </c>
      <c r="E1384">
        <v>136892.21945625084</v>
      </c>
      <c r="F1384">
        <v>0</v>
      </c>
    </row>
    <row r="1385" spans="2:6" ht="15.75" customHeight="1" x14ac:dyDescent="0.25">
      <c r="B1385" t="str">
        <v>Cropper CLMM</v>
      </c>
      <c r="C1385" t="str">
        <v>Dexs</v>
      </c>
      <c r="D1385" t="str">
        <v>CRP</v>
      </c>
      <c r="E1385">
        <v>3530.607987410679</v>
      </c>
      <c r="F1385">
        <v>0</v>
      </c>
    </row>
    <row r="1386" spans="2:6" ht="15.75" customHeight="1" x14ac:dyDescent="0.25">
      <c r="B1386" t="str">
        <v>CROSS Rewards</v>
      </c>
      <c r="C1386" t="str">
        <v>Farm</v>
      </c>
      <c r="D1386" t="str">
        <v>-</v>
      </c>
      <c r="E1386">
        <v>0</v>
      </c>
      <c r="F1386">
        <v>0</v>
      </c>
    </row>
    <row r="1387" spans="2:6" ht="15.75" customHeight="1" x14ac:dyDescent="0.25">
      <c r="B1387" t="str">
        <v>CrossChain Bridge</v>
      </c>
      <c r="C1387" t="str">
        <v>Cross Chain Bridge</v>
      </c>
      <c r="D1387" t="str">
        <v>BRIDGE</v>
      </c>
      <c r="E1387">
        <v>135741.71456997137</v>
      </c>
      <c r="F1387">
        <v>0</v>
      </c>
    </row>
    <row r="1388" spans="2:6" ht="15.75" customHeight="1" x14ac:dyDescent="0.25">
      <c r="B1388" t="str">
        <v>CrossCurve</v>
      </c>
      <c r="C1388" t="str">
        <v>Cross Chain Bridge</v>
      </c>
      <c r="D1388" t="str">
        <v>EYWA</v>
      </c>
      <c r="E1388">
        <v>3702995.3819184373</v>
      </c>
      <c r="F1388">
        <v>686190.63322000974</v>
      </c>
    </row>
    <row r="1389" spans="2:6" ht="15.75" customHeight="1" x14ac:dyDescent="0.25">
      <c r="B1389" t="str">
        <v>CroSwap</v>
      </c>
      <c r="C1389" t="str">
        <v>Dexs</v>
      </c>
      <c r="D1389" t="str">
        <v>CROS</v>
      </c>
      <c r="E1389">
        <v>9073.2518046051282</v>
      </c>
      <c r="F1389">
        <v>0</v>
      </c>
    </row>
    <row r="1390" spans="2:6" ht="15.75" customHeight="1" x14ac:dyDescent="0.25">
      <c r="B1390" t="str">
        <v>Crouton Finance</v>
      </c>
      <c r="C1390" t="str">
        <v>Dexs</v>
      </c>
      <c r="D1390" t="str">
        <v>-</v>
      </c>
      <c r="E1390">
        <v>1648.541724234</v>
      </c>
      <c r="F1390">
        <v>0</v>
      </c>
    </row>
    <row r="1391" spans="2:6" ht="15.75" customHeight="1" x14ac:dyDescent="0.25">
      <c r="B1391" t="str">
        <v>CroVegas</v>
      </c>
      <c r="C1391" t="str">
        <v>Luck Games</v>
      </c>
      <c r="D1391" t="str">
        <v>-</v>
      </c>
      <c r="E1391">
        <v>146.53416583801953</v>
      </c>
      <c r="F1391">
        <v>0</v>
      </c>
    </row>
    <row r="1392" spans="2:6" ht="15.75" customHeight="1" x14ac:dyDescent="0.25">
      <c r="B1392" t="str">
        <v>Crow Finance</v>
      </c>
      <c r="C1392" t="str">
        <v>Dexs</v>
      </c>
      <c r="D1392" t="str">
        <v>CROW</v>
      </c>
      <c r="E1392">
        <v>142795.90009047487</v>
      </c>
      <c r="F1392">
        <v>0</v>
      </c>
    </row>
    <row r="1393" spans="2:6" ht="15.75" customHeight="1" x14ac:dyDescent="0.25">
      <c r="B1393" t="str">
        <v>CrowdSwap</v>
      </c>
      <c r="C1393" t="str">
        <v>Dexs</v>
      </c>
      <c r="D1393" t="str">
        <v>CROWD</v>
      </c>
      <c r="E1393">
        <v>49762.12891809368</v>
      </c>
      <c r="F1393">
        <v>318830.23670357146</v>
      </c>
    </row>
    <row r="1394" spans="2:6" ht="15.75" customHeight="1" x14ac:dyDescent="0.25">
      <c r="B1394" t="str">
        <v>Crown Finance</v>
      </c>
      <c r="C1394" t="str">
        <v>Yield Aggregator</v>
      </c>
      <c r="D1394" t="str">
        <v>CRN</v>
      </c>
      <c r="E1394">
        <v>0</v>
      </c>
      <c r="F1394">
        <v>0</v>
      </c>
    </row>
    <row r="1395" spans="2:6" ht="15.75" customHeight="1" x14ac:dyDescent="0.25">
      <c r="B1395" t="str">
        <v>Crunchy</v>
      </c>
      <c r="C1395" t="str">
        <v>Yield Aggregator</v>
      </c>
      <c r="D1395" t="str">
        <v>crDAO</v>
      </c>
      <c r="E1395">
        <v>118029.67666821658</v>
      </c>
      <c r="F1395">
        <v>0</v>
      </c>
    </row>
    <row r="1396" spans="2:6" ht="15.75" customHeight="1" x14ac:dyDescent="0.25">
      <c r="B1396" t="str">
        <v>Crunchy Liquid Staking</v>
      </c>
      <c r="C1396" t="str">
        <v>Liquid Staking</v>
      </c>
      <c r="D1396" t="str">
        <v>crDAO</v>
      </c>
      <c r="E1396">
        <v>0</v>
      </c>
      <c r="F1396">
        <v>0</v>
      </c>
    </row>
    <row r="1397" spans="2:6" ht="15.75" customHeight="1" x14ac:dyDescent="0.25">
      <c r="B1397" t="str">
        <v>Crust V1</v>
      </c>
      <c r="C1397" t="str">
        <v>Dexs</v>
      </c>
      <c r="D1397" t="str">
        <v>-</v>
      </c>
      <c r="E1397">
        <v>498.23004492922655</v>
      </c>
      <c r="F1397">
        <v>0</v>
      </c>
    </row>
    <row r="1398" spans="2:6" ht="15.75" customHeight="1" x14ac:dyDescent="0.25">
      <c r="B1398" t="str">
        <v>Crust V2</v>
      </c>
      <c r="C1398" t="str">
        <v>Dexs</v>
      </c>
      <c r="D1398" t="str">
        <v>-</v>
      </c>
      <c r="E1398">
        <v>637.32853546065144</v>
      </c>
      <c r="F1398">
        <v>0</v>
      </c>
    </row>
    <row r="1399" spans="2:6" ht="15.75" customHeight="1" x14ac:dyDescent="0.25">
      <c r="B1399" t="str">
        <v>crvUSD</v>
      </c>
      <c r="C1399" t="str">
        <v>CDP</v>
      </c>
      <c r="D1399" t="str">
        <v>CRV</v>
      </c>
      <c r="E1399">
        <v>157844977.25010896</v>
      </c>
      <c r="F1399">
        <v>0</v>
      </c>
    </row>
    <row r="1400" spans="2:6" ht="15.75" customHeight="1" x14ac:dyDescent="0.25">
      <c r="B1400" t="str">
        <v>CryptEx Locker</v>
      </c>
      <c r="C1400" t="str">
        <v>Token Locker</v>
      </c>
      <c r="D1400" t="str">
        <v>CRX</v>
      </c>
      <c r="E1400">
        <v>0</v>
      </c>
      <c r="F1400">
        <v>207654.29971635411</v>
      </c>
    </row>
    <row r="1401" spans="2:6" ht="15.75" customHeight="1" x14ac:dyDescent="0.25">
      <c r="B1401" t="str">
        <v>Cryptex Pi</v>
      </c>
      <c r="C1401" t="str">
        <v>Derivatives</v>
      </c>
      <c r="D1401" t="str">
        <v>CTX</v>
      </c>
      <c r="E1401">
        <v>95346.623683055877</v>
      </c>
      <c r="F1401">
        <v>0</v>
      </c>
    </row>
    <row r="1402" spans="2:6" ht="15.75" customHeight="1" x14ac:dyDescent="0.25">
      <c r="B1402" t="str">
        <v>Cryptex V1</v>
      </c>
      <c r="C1402" t="str">
        <v>Indexes</v>
      </c>
      <c r="D1402" t="str">
        <v>CTX</v>
      </c>
      <c r="E1402">
        <v>516173.53980538715</v>
      </c>
      <c r="F1402">
        <v>0</v>
      </c>
    </row>
    <row r="1403" spans="2:6" ht="15.75" customHeight="1" x14ac:dyDescent="0.25">
      <c r="B1403" t="str">
        <v>Cryptex V2</v>
      </c>
      <c r="C1403" t="str">
        <v>Derivatives</v>
      </c>
      <c r="D1403" t="str">
        <v>CTX</v>
      </c>
      <c r="E1403">
        <v>15670.612083224818</v>
      </c>
      <c r="F1403">
        <v>0</v>
      </c>
    </row>
    <row r="1404" spans="2:6" ht="15.75" customHeight="1" x14ac:dyDescent="0.25">
      <c r="B1404" t="str">
        <v>Crypto Lottery</v>
      </c>
      <c r="C1404" t="str">
        <v>Luck Games</v>
      </c>
      <c r="D1404" t="str">
        <v>CL</v>
      </c>
      <c r="E1404">
        <v>10.569773320622629</v>
      </c>
      <c r="F1404">
        <v>0</v>
      </c>
    </row>
    <row r="1405" spans="2:6" ht="15.75" customHeight="1" x14ac:dyDescent="0.25">
      <c r="B1405" t="str">
        <v>Crypto Valleys</v>
      </c>
      <c r="C1405" t="str">
        <v>Gaming</v>
      </c>
      <c r="D1405" t="str">
        <v>-</v>
      </c>
      <c r="E1405">
        <v>0</v>
      </c>
      <c r="F1405">
        <v>0</v>
      </c>
    </row>
    <row r="1406" spans="2:6" ht="15.75" customHeight="1" x14ac:dyDescent="0.25">
      <c r="B1406" t="str">
        <v>Crypto.com Liquid Staking</v>
      </c>
      <c r="C1406" t="str">
        <v>Liquid Staking</v>
      </c>
      <c r="D1406" t="str">
        <v>-</v>
      </c>
      <c r="E1406">
        <v>121903542.98147978</v>
      </c>
      <c r="F1406">
        <v>0</v>
      </c>
    </row>
    <row r="1407" spans="2:6" ht="15.75" customHeight="1" x14ac:dyDescent="0.25">
      <c r="B1407" t="str">
        <v>CryptoBlades</v>
      </c>
      <c r="C1407" t="str">
        <v>Gaming</v>
      </c>
      <c r="D1407" t="str">
        <v>SKILL</v>
      </c>
      <c r="E1407">
        <v>0</v>
      </c>
      <c r="F1407">
        <v>62663.029378755164</v>
      </c>
    </row>
    <row r="1408" spans="2:6" ht="15.75" customHeight="1" x14ac:dyDescent="0.25">
      <c r="B1408" t="str">
        <v>CryptoDickbutts</v>
      </c>
      <c r="C1408" t="str">
        <v>Services</v>
      </c>
      <c r="D1408" t="str">
        <v>-</v>
      </c>
      <c r="E1408">
        <v>0</v>
      </c>
      <c r="F1408">
        <v>0</v>
      </c>
    </row>
    <row r="1409" spans="2:6" ht="15.75" customHeight="1" x14ac:dyDescent="0.25">
      <c r="B1409" t="str">
        <v>Cryptoo Tech</v>
      </c>
      <c r="C1409" t="str">
        <v>SoFi</v>
      </c>
      <c r="D1409" t="str">
        <v>-</v>
      </c>
      <c r="E1409">
        <v>46.548461693015518</v>
      </c>
      <c r="F1409">
        <v>0</v>
      </c>
    </row>
    <row r="1410" spans="2:6" ht="15.75" customHeight="1" x14ac:dyDescent="0.25">
      <c r="B1410" t="str">
        <v>CryptoSwap</v>
      </c>
      <c r="C1410" t="str">
        <v>Dexs</v>
      </c>
      <c r="D1410" t="str">
        <v>CST</v>
      </c>
      <c r="E1410">
        <v>2839.3098517756948</v>
      </c>
      <c r="F1410">
        <v>0</v>
      </c>
    </row>
    <row r="1411" spans="2:6" ht="15.75" customHeight="1" x14ac:dyDescent="0.25">
      <c r="B1411" t="str">
        <v>CryptoYieldFocus</v>
      </c>
      <c r="C1411" t="str">
        <v>Farm</v>
      </c>
      <c r="D1411" t="str">
        <v>CYF</v>
      </c>
      <c r="E1411">
        <v>3377.7539347178354</v>
      </c>
      <c r="F1411">
        <v>0</v>
      </c>
    </row>
    <row r="1412" spans="2:6" ht="15.75" customHeight="1" x14ac:dyDescent="0.25">
      <c r="B1412" t="str">
        <v>Crystal Exchange</v>
      </c>
      <c r="C1412" t="str">
        <v>Dexs</v>
      </c>
      <c r="D1412" t="str">
        <v>-</v>
      </c>
      <c r="E1412">
        <v>0</v>
      </c>
      <c r="F1412">
        <v>0</v>
      </c>
    </row>
    <row r="1413" spans="2:6" ht="15.75" customHeight="1" x14ac:dyDescent="0.25">
      <c r="B1413" t="str">
        <v>Crystalvale</v>
      </c>
      <c r="C1413" t="str">
        <v>Dexs</v>
      </c>
      <c r="D1413" t="str">
        <v>CRYSTAL</v>
      </c>
      <c r="E1413">
        <v>1333016.483277732</v>
      </c>
      <c r="F1413">
        <v>659474.22865222744</v>
      </c>
    </row>
    <row r="1414" spans="2:6" ht="15.75" customHeight="1" x14ac:dyDescent="0.25">
      <c r="B1414" t="str">
        <v>Crystl Finance</v>
      </c>
      <c r="C1414" t="str">
        <v>Yield</v>
      </c>
      <c r="D1414" t="str">
        <v>CRYSTL</v>
      </c>
      <c r="E1414">
        <v>296803.94415113697</v>
      </c>
      <c r="F1414">
        <v>2218.1306028950776</v>
      </c>
    </row>
    <row r="1415" spans="2:6" ht="15.75" customHeight="1" x14ac:dyDescent="0.25">
      <c r="B1415" t="str">
        <v>cSigma Finance</v>
      </c>
      <c r="C1415" t="str">
        <v>RWA Lending</v>
      </c>
      <c r="D1415" t="str">
        <v>SIGMA</v>
      </c>
      <c r="E1415">
        <v>11910520.436338784</v>
      </c>
      <c r="F1415">
        <v>0</v>
      </c>
    </row>
    <row r="1416" spans="2:6" ht="15.75" customHeight="1" x14ac:dyDescent="0.25">
      <c r="B1416" t="str">
        <v>CSIX</v>
      </c>
      <c r="C1416" t="str">
        <v>Security Extension</v>
      </c>
      <c r="D1416" t="str">
        <v>CSIX</v>
      </c>
      <c r="E1416">
        <v>0</v>
      </c>
      <c r="F1416">
        <v>936602.18811520038</v>
      </c>
    </row>
    <row r="1417" spans="2:6" ht="15.75" customHeight="1" x14ac:dyDescent="0.25">
      <c r="B1417" t="str">
        <v>CSRfi</v>
      </c>
      <c r="C1417" t="str">
        <v>Yield</v>
      </c>
      <c r="D1417" t="str">
        <v>-</v>
      </c>
      <c r="E1417">
        <v>8.7581207691006036</v>
      </c>
      <c r="F1417">
        <v>0</v>
      </c>
    </row>
    <row r="1418" spans="2:6" ht="15.75" customHeight="1" x14ac:dyDescent="0.25">
      <c r="B1418" t="str">
        <v>cSwap</v>
      </c>
      <c r="C1418" t="str">
        <v>Dexs</v>
      </c>
      <c r="D1418" t="str">
        <v>-</v>
      </c>
      <c r="E1418">
        <v>10691.212669678389</v>
      </c>
      <c r="F1418">
        <v>0</v>
      </c>
    </row>
    <row r="1419" spans="2:6" ht="15.75" customHeight="1" x14ac:dyDescent="0.25">
      <c r="B1419" t="str">
        <v>CSWAP DEX</v>
      </c>
      <c r="C1419" t="str">
        <v>Dexs</v>
      </c>
      <c r="D1419" t="str">
        <v>CSWAP</v>
      </c>
      <c r="E1419">
        <v>866371.63941172673</v>
      </c>
      <c r="F1419">
        <v>0</v>
      </c>
    </row>
    <row r="1420" spans="2:6" ht="15.75" customHeight="1" x14ac:dyDescent="0.25">
      <c r="B1420" t="str">
        <v>ctez</v>
      </c>
      <c r="C1420" t="str">
        <v>Dexs</v>
      </c>
      <c r="D1420" t="str">
        <v>CTEZ</v>
      </c>
      <c r="E1420">
        <v>229818.77657709713</v>
      </c>
      <c r="F1420">
        <v>0</v>
      </c>
    </row>
    <row r="1421" spans="2:6" ht="15.75" customHeight="1" x14ac:dyDescent="0.25">
      <c r="B1421" t="str">
        <v>Cthulhu.Finance</v>
      </c>
      <c r="C1421" t="str">
        <v>Yield Aggregator</v>
      </c>
      <c r="D1421" t="str">
        <v>CTH</v>
      </c>
      <c r="E1421">
        <v>5.8817742882036811E-2</v>
      </c>
      <c r="F1421">
        <v>0</v>
      </c>
    </row>
    <row r="1422" spans="2:6" ht="15.75" customHeight="1" x14ac:dyDescent="0.25">
      <c r="B1422" t="str">
        <v>CuanSwap</v>
      </c>
      <c r="C1422" t="str">
        <v>Dexs</v>
      </c>
      <c r="D1422" t="str">
        <v>CUAN</v>
      </c>
      <c r="E1422">
        <v>13.853445162299971</v>
      </c>
      <c r="F1422">
        <v>0</v>
      </c>
    </row>
    <row r="1423" spans="2:6" ht="15.75" customHeight="1" x14ac:dyDescent="0.25">
      <c r="B1423" t="str">
        <v>Cub Finance</v>
      </c>
      <c r="C1423" t="str">
        <v>Farm</v>
      </c>
      <c r="D1423" t="str">
        <v>CUB</v>
      </c>
      <c r="E1423">
        <v>248703.58269137383</v>
      </c>
      <c r="F1423">
        <v>15265.886295027976</v>
      </c>
    </row>
    <row r="1424" spans="2:6" ht="15.75" customHeight="1" x14ac:dyDescent="0.25">
      <c r="B1424" t="str">
        <v>CUBISwap</v>
      </c>
      <c r="C1424" t="str">
        <v>Dexs</v>
      </c>
      <c r="D1424" t="str">
        <v>CUBI</v>
      </c>
      <c r="E1424">
        <v>67111.647805058208</v>
      </c>
      <c r="F1424">
        <v>0</v>
      </c>
    </row>
    <row r="1425" spans="2:6" ht="15.75" customHeight="1" x14ac:dyDescent="0.25">
      <c r="B1425" t="str">
        <v>Cubo</v>
      </c>
      <c r="C1425" t="str">
        <v>Yield</v>
      </c>
      <c r="D1425" t="str">
        <v>CUBO</v>
      </c>
      <c r="E1425">
        <v>0</v>
      </c>
      <c r="F1425">
        <v>0</v>
      </c>
    </row>
    <row r="1426" spans="2:6" ht="15.75" customHeight="1" x14ac:dyDescent="0.25">
      <c r="B1426" t="str">
        <v>Cupid Farm</v>
      </c>
      <c r="C1426" t="str">
        <v>Yield</v>
      </c>
      <c r="D1426" t="str">
        <v>ARROWS</v>
      </c>
      <c r="E1426">
        <v>197.68658968854004</v>
      </c>
      <c r="F1426">
        <v>0</v>
      </c>
    </row>
    <row r="1427" spans="2:6" ht="15.75" customHeight="1" x14ac:dyDescent="0.25">
      <c r="B1427" t="str">
        <v>CurrentX</v>
      </c>
      <c r="C1427" t="str">
        <v>Dexs</v>
      </c>
      <c r="D1427" t="str">
        <v>CRX</v>
      </c>
      <c r="E1427">
        <v>30.535195396659311</v>
      </c>
      <c r="F1427">
        <v>0</v>
      </c>
    </row>
    <row r="1428" spans="2:6" ht="15.75" customHeight="1" x14ac:dyDescent="0.25">
      <c r="B1428" t="str">
        <v>Curvance</v>
      </c>
      <c r="C1428" t="str">
        <v>Lending</v>
      </c>
      <c r="D1428" t="str">
        <v>-</v>
      </c>
      <c r="E1428">
        <v>41258870.099279851</v>
      </c>
      <c r="F1428">
        <v>0</v>
      </c>
    </row>
    <row r="1429" spans="2:6" ht="15.75" customHeight="1" x14ac:dyDescent="0.25">
      <c r="B1429" t="str">
        <v>Curve DEX</v>
      </c>
      <c r="C1429" t="str">
        <v>Dexs</v>
      </c>
      <c r="D1429" t="str">
        <v>CRV</v>
      </c>
      <c r="E1429">
        <v>2164644708.489346</v>
      </c>
      <c r="F1429">
        <v>0</v>
      </c>
    </row>
    <row r="1430" spans="2:6" ht="15.75" customHeight="1" x14ac:dyDescent="0.25">
      <c r="B1430" t="str">
        <v>Curve LlamaLend</v>
      </c>
      <c r="C1430" t="str">
        <v>Lending</v>
      </c>
      <c r="D1430" t="str">
        <v>CRV</v>
      </c>
      <c r="E1430">
        <v>94793104.172291145</v>
      </c>
      <c r="F1430">
        <v>0</v>
      </c>
    </row>
    <row r="1431" spans="2:6" ht="15.75" customHeight="1" x14ac:dyDescent="0.25">
      <c r="B1431" t="str">
        <v>Curves Protocol</v>
      </c>
      <c r="C1431" t="str">
        <v>SoFi</v>
      </c>
      <c r="D1431" t="str">
        <v>-</v>
      </c>
      <c r="E1431">
        <v>229.78854960062205</v>
      </c>
      <c r="F1431">
        <v>0</v>
      </c>
    </row>
    <row r="1432" spans="2:6" ht="15.75" customHeight="1" x14ac:dyDescent="0.25">
      <c r="B1432" t="str">
        <v>cVault Finance</v>
      </c>
      <c r="C1432" t="str">
        <v>Yield</v>
      </c>
      <c r="D1432" t="str">
        <v>CORE</v>
      </c>
      <c r="E1432">
        <v>8463933.1645853613</v>
      </c>
      <c r="F1432">
        <v>0</v>
      </c>
    </row>
    <row r="1433" spans="2:6" ht="15.75" customHeight="1" x14ac:dyDescent="0.25">
      <c r="B1433" t="str">
        <v>CVI Finance</v>
      </c>
      <c r="C1433" t="str">
        <v>Synthetics</v>
      </c>
      <c r="D1433" t="str">
        <v>GOVI</v>
      </c>
      <c r="E1433">
        <v>122294.25185348986</v>
      </c>
      <c r="F1433">
        <v>78730.765537680694</v>
      </c>
    </row>
    <row r="1434" spans="2:6" ht="15.75" customHeight="1" x14ac:dyDescent="0.25">
      <c r="B1434" t="str">
        <v>Cyber Dog</v>
      </c>
      <c r="C1434" t="str">
        <v>Yield</v>
      </c>
      <c r="D1434" t="str">
        <v>CBRDOG</v>
      </c>
      <c r="E1434">
        <v>1165.6728482671597</v>
      </c>
      <c r="F1434">
        <v>0</v>
      </c>
    </row>
    <row r="1435" spans="2:6" ht="15.75" customHeight="1" x14ac:dyDescent="0.25">
      <c r="B1435" t="str">
        <v>Cyberblast V2</v>
      </c>
      <c r="C1435" t="str">
        <v>Dexs</v>
      </c>
      <c r="D1435" t="str">
        <v>CBR</v>
      </c>
      <c r="E1435">
        <v>747.50504790662262</v>
      </c>
      <c r="F1435">
        <v>0</v>
      </c>
    </row>
    <row r="1436" spans="2:6" ht="15.75" customHeight="1" x14ac:dyDescent="0.25">
      <c r="B1436" t="str">
        <v>Cyberblast V3</v>
      </c>
      <c r="C1436" t="str">
        <v>Dexs</v>
      </c>
      <c r="D1436" t="str">
        <v>CBR</v>
      </c>
      <c r="E1436">
        <v>8241.954002460332</v>
      </c>
      <c r="F1436">
        <v>0</v>
      </c>
    </row>
    <row r="1437" spans="2:6" ht="15.75" customHeight="1" x14ac:dyDescent="0.25">
      <c r="B1437" t="str">
        <v>CyberConnect</v>
      </c>
      <c r="C1437" t="str">
        <v>SoFi</v>
      </c>
      <c r="D1437" t="str">
        <v>CYBER</v>
      </c>
      <c r="E1437">
        <v>0</v>
      </c>
      <c r="F1437">
        <v>42178430.582393326</v>
      </c>
    </row>
    <row r="1438" spans="2:6" ht="15.75" customHeight="1" x14ac:dyDescent="0.25">
      <c r="B1438" t="str">
        <v>CyberFantasyFembots</v>
      </c>
      <c r="C1438" t="str">
        <v>Yield</v>
      </c>
      <c r="D1438" t="str">
        <v>SAFE</v>
      </c>
      <c r="E1438">
        <v>179.77344636814848</v>
      </c>
      <c r="F1438">
        <v>0</v>
      </c>
    </row>
    <row r="1439" spans="2:6" ht="15.75" customHeight="1" x14ac:dyDescent="0.25">
      <c r="B1439" t="str">
        <v>Cyberperp</v>
      </c>
      <c r="C1439" t="str">
        <v>Derivatives</v>
      </c>
      <c r="D1439" t="str">
        <v>CYB</v>
      </c>
      <c r="E1439">
        <v>122881.25891185029</v>
      </c>
      <c r="F1439">
        <v>1231647.6930830935</v>
      </c>
    </row>
    <row r="1440" spans="2:6" ht="15.75" customHeight="1" x14ac:dyDescent="0.25">
      <c r="B1440" t="str">
        <v>CyberSwap</v>
      </c>
      <c r="C1440" t="str">
        <v>Dexs</v>
      </c>
      <c r="D1440" t="str">
        <v>-</v>
      </c>
      <c r="E1440">
        <v>23036.273365803099</v>
      </c>
      <c r="F1440">
        <v>0</v>
      </c>
    </row>
    <row r="1441" spans="2:6" ht="15.75" customHeight="1" x14ac:dyDescent="0.25">
      <c r="B1441" t="str">
        <v>CyberTime</v>
      </c>
      <c r="C1441" t="str">
        <v>Services</v>
      </c>
      <c r="D1441" t="str">
        <v>CTF</v>
      </c>
      <c r="E1441">
        <v>52222.53334367332</v>
      </c>
      <c r="F1441">
        <v>0</v>
      </c>
    </row>
    <row r="1442" spans="2:6" ht="15.75" customHeight="1" x14ac:dyDescent="0.25">
      <c r="B1442" t="str">
        <v>CyborgSwap</v>
      </c>
      <c r="C1442" t="str">
        <v>Dexs</v>
      </c>
      <c r="D1442" t="str">
        <v>CBO</v>
      </c>
      <c r="E1442">
        <v>28805.778236970593</v>
      </c>
      <c r="F1442">
        <v>0</v>
      </c>
    </row>
    <row r="1443" spans="2:6" ht="15.75" customHeight="1" x14ac:dyDescent="0.25">
      <c r="B1443" t="str">
        <v>Cybro</v>
      </c>
      <c r="C1443" t="str">
        <v>Yield Aggregator</v>
      </c>
      <c r="D1443" t="str">
        <v>CYBRO</v>
      </c>
      <c r="E1443">
        <v>144828.06475073058</v>
      </c>
      <c r="F1443">
        <v>740037.5839881493</v>
      </c>
    </row>
    <row r="1444" spans="2:6" ht="15.75" customHeight="1" x14ac:dyDescent="0.25">
      <c r="B1444" t="str">
        <v>Cycle Finance</v>
      </c>
      <c r="C1444" t="str">
        <v>Yield Aggregator</v>
      </c>
      <c r="D1444" t="str">
        <v>CYCLE</v>
      </c>
      <c r="E1444">
        <v>34475.912231681687</v>
      </c>
      <c r="F1444">
        <v>20373.646044097546</v>
      </c>
    </row>
    <row r="1445" spans="2:6" ht="15.75" customHeight="1" x14ac:dyDescent="0.25">
      <c r="B1445" t="str">
        <v>Cyclo</v>
      </c>
      <c r="C1445" t="str">
        <v>Derivatives</v>
      </c>
      <c r="D1445" t="str">
        <v>-</v>
      </c>
      <c r="E1445">
        <v>458140.35079152283</v>
      </c>
      <c r="F1445">
        <v>0</v>
      </c>
    </row>
    <row r="1446" spans="2:6" ht="15.75" customHeight="1" x14ac:dyDescent="0.25">
      <c r="B1446" t="str">
        <v>Cyclone</v>
      </c>
      <c r="C1446" t="str">
        <v>Yield</v>
      </c>
      <c r="D1446" t="str">
        <v>CYC</v>
      </c>
      <c r="E1446">
        <v>1604986.0560818976</v>
      </c>
      <c r="F1446">
        <v>0</v>
      </c>
    </row>
    <row r="1447" spans="2:6" ht="15.75" customHeight="1" x14ac:dyDescent="0.25">
      <c r="B1447" t="str">
        <v>CygnusDAO</v>
      </c>
      <c r="C1447" t="str">
        <v>Lending</v>
      </c>
      <c r="D1447" t="str">
        <v>CYG</v>
      </c>
      <c r="E1447">
        <v>2351.0990784045898</v>
      </c>
      <c r="F1447">
        <v>0</v>
      </c>
    </row>
    <row r="1448" spans="2:6" ht="15.75" customHeight="1" x14ac:dyDescent="0.25">
      <c r="B1448" t="str">
        <v>Cykura</v>
      </c>
      <c r="C1448" t="str">
        <v>Dexs</v>
      </c>
      <c r="D1448" t="str">
        <v>CYS</v>
      </c>
      <c r="E1448">
        <v>20621.267112271722</v>
      </c>
      <c r="F1448">
        <v>0</v>
      </c>
    </row>
    <row r="1449" spans="2:6" ht="15.75" customHeight="1" x14ac:dyDescent="0.25">
      <c r="B1449" t="str">
        <v>Cypher</v>
      </c>
      <c r="C1449" t="str">
        <v>Derivatives</v>
      </c>
      <c r="D1449" t="str">
        <v>-</v>
      </c>
      <c r="E1449">
        <v>0</v>
      </c>
      <c r="F1449">
        <v>0</v>
      </c>
    </row>
    <row r="1450" spans="2:6" ht="15.75" customHeight="1" x14ac:dyDescent="0.25">
      <c r="B1450" t="str">
        <v>Cypher V2</v>
      </c>
      <c r="C1450" t="str">
        <v>Dexs</v>
      </c>
      <c r="D1450" t="str">
        <v>-</v>
      </c>
      <c r="E1450">
        <v>7477.3125187114147</v>
      </c>
      <c r="F1450">
        <v>0</v>
      </c>
    </row>
    <row r="1451" spans="2:6" ht="15.75" customHeight="1" x14ac:dyDescent="0.25">
      <c r="B1451" t="str">
        <v>Cypher V4</v>
      </c>
      <c r="C1451" t="str">
        <v>Dexs</v>
      </c>
      <c r="D1451" t="str">
        <v>-</v>
      </c>
      <c r="E1451">
        <v>6487838.9741011774</v>
      </c>
      <c r="F1451">
        <v>0</v>
      </c>
    </row>
    <row r="1452" spans="2:6" ht="15.75" customHeight="1" x14ac:dyDescent="0.25">
      <c r="B1452" t="str">
        <v>Cytonic Airdrop Campaign</v>
      </c>
      <c r="C1452" t="str">
        <v>Farm</v>
      </c>
      <c r="D1452" t="str">
        <v>-</v>
      </c>
      <c r="E1452">
        <v>825149.91766193626</v>
      </c>
      <c r="F1452">
        <v>0</v>
      </c>
    </row>
    <row r="1453" spans="2:6" ht="15.75" customHeight="1" x14ac:dyDescent="0.25">
      <c r="B1453" t="str">
        <v>cytoswap</v>
      </c>
      <c r="C1453" t="str">
        <v>Dexs</v>
      </c>
      <c r="D1453" t="str">
        <v>-</v>
      </c>
      <c r="E1453">
        <v>117154.54391080525</v>
      </c>
      <c r="F1453">
        <v>0</v>
      </c>
    </row>
    <row r="1454" spans="2:6" ht="15.75" customHeight="1" x14ac:dyDescent="0.25">
      <c r="B1454" t="str">
        <v>CZODIAC</v>
      </c>
      <c r="C1454" t="str">
        <v>Yield</v>
      </c>
      <c r="D1454" t="str">
        <v>CZRED</v>
      </c>
      <c r="E1454">
        <v>79.422499260781152</v>
      </c>
      <c r="F1454">
        <v>826645.45415486349</v>
      </c>
    </row>
    <row r="1455" spans="2:6" ht="15.75" customHeight="1" x14ac:dyDescent="0.25">
      <c r="B1455" t="str">
        <v>D2 Finance</v>
      </c>
      <c r="C1455" t="str">
        <v>Onchain Capital Allocator</v>
      </c>
      <c r="D1455" t="str">
        <v>-</v>
      </c>
      <c r="E1455">
        <v>9118001.9243025426</v>
      </c>
      <c r="F1455">
        <v>0</v>
      </c>
    </row>
    <row r="1456" spans="2:6" ht="15.75" customHeight="1" x14ac:dyDescent="0.25">
      <c r="B1456" t="str">
        <v>D8X</v>
      </c>
      <c r="C1456" t="str">
        <v>Derivatives</v>
      </c>
      <c r="D1456" t="str">
        <v>D8X</v>
      </c>
      <c r="E1456">
        <v>9288.8233690363886</v>
      </c>
      <c r="F1456">
        <v>0</v>
      </c>
    </row>
    <row r="1457" spans="2:6" ht="15.75" customHeight="1" x14ac:dyDescent="0.25">
      <c r="B1457" t="str">
        <v>DackieSwap V2</v>
      </c>
      <c r="C1457" t="str">
        <v>Dexs</v>
      </c>
      <c r="D1457" t="str">
        <v>DACKIE</v>
      </c>
      <c r="E1457">
        <v>39613.872817157564</v>
      </c>
      <c r="F1457">
        <v>0</v>
      </c>
    </row>
    <row r="1458" spans="2:6" ht="15.75" customHeight="1" x14ac:dyDescent="0.25">
      <c r="B1458" t="str">
        <v>DackieSwap V3</v>
      </c>
      <c r="C1458" t="str">
        <v>Dexs</v>
      </c>
      <c r="D1458" t="str">
        <v>DACKIE</v>
      </c>
      <c r="E1458">
        <v>60289.884979120776</v>
      </c>
      <c r="F1458">
        <v>0</v>
      </c>
    </row>
    <row r="1459" spans="2:6" ht="15.75" customHeight="1" x14ac:dyDescent="0.25">
      <c r="B1459" t="str">
        <v>Dahlia</v>
      </c>
      <c r="C1459" t="str">
        <v>Lending</v>
      </c>
      <c r="D1459" t="str">
        <v>-</v>
      </c>
      <c r="E1459">
        <v>4218.1096792960325</v>
      </c>
      <c r="F1459">
        <v>0</v>
      </c>
    </row>
    <row r="1460" spans="2:6" ht="15.75" customHeight="1" x14ac:dyDescent="0.25">
      <c r="B1460" t="str">
        <v>DaikoDEX</v>
      </c>
      <c r="C1460" t="str">
        <v>Dexs</v>
      </c>
      <c r="D1460" t="str">
        <v>-</v>
      </c>
      <c r="E1460">
        <v>3145.5439016552223</v>
      </c>
      <c r="F1460">
        <v>0</v>
      </c>
    </row>
    <row r="1461" spans="2:6" ht="15.75" customHeight="1" x14ac:dyDescent="0.25">
      <c r="B1461" t="str">
        <v>Dalmatian</v>
      </c>
      <c r="C1461" t="str">
        <v>Dexs</v>
      </c>
      <c r="D1461" t="str">
        <v>DAL</v>
      </c>
      <c r="E1461">
        <v>170.83498330786534</v>
      </c>
      <c r="F1461">
        <v>0</v>
      </c>
    </row>
    <row r="1462" spans="2:6" ht="15.75" customHeight="1" x14ac:dyDescent="0.25">
      <c r="B1462" t="str">
        <v>DAM Finance</v>
      </c>
      <c r="C1462" t="str">
        <v>CDP</v>
      </c>
      <c r="D1462" t="str">
        <v>d2O</v>
      </c>
      <c r="E1462">
        <v>12363.36501362007</v>
      </c>
      <c r="F1462">
        <v>0</v>
      </c>
    </row>
    <row r="1463" spans="2:6" ht="15.75" customHeight="1" x14ac:dyDescent="0.25">
      <c r="B1463" t="str">
        <v>dAMM Finance</v>
      </c>
      <c r="C1463" t="str">
        <v>Uncollateralized Lending</v>
      </c>
      <c r="D1463" t="str">
        <v>-</v>
      </c>
      <c r="E1463">
        <v>26736.877569130425</v>
      </c>
      <c r="F1463">
        <v>0</v>
      </c>
    </row>
    <row r="1464" spans="2:6" ht="15.75" customHeight="1" x14ac:dyDescent="0.25">
      <c r="B1464" t="str">
        <v>DAMX</v>
      </c>
      <c r="C1464" t="str">
        <v>Derivatives</v>
      </c>
      <c r="D1464" t="str">
        <v>DMX</v>
      </c>
      <c r="E1464">
        <v>689.03996662648456</v>
      </c>
      <c r="F1464">
        <v>0</v>
      </c>
    </row>
    <row r="1465" spans="2:6" ht="15.75" customHeight="1" x14ac:dyDescent="0.25">
      <c r="B1465" t="str">
        <v>Danogo</v>
      </c>
      <c r="C1465" t="str">
        <v>Dexs</v>
      </c>
      <c r="D1465" t="str">
        <v>-</v>
      </c>
      <c r="E1465">
        <v>12786761.617289023</v>
      </c>
      <c r="F1465">
        <v>0</v>
      </c>
    </row>
    <row r="1466" spans="2:6" ht="15.75" customHeight="1" x14ac:dyDescent="0.25">
      <c r="B1466" t="str">
        <v>Danzo App</v>
      </c>
      <c r="C1466" t="str">
        <v>Gaming</v>
      </c>
      <c r="D1466" t="str">
        <v>DANZO</v>
      </c>
      <c r="E1466">
        <v>0</v>
      </c>
      <c r="F1466">
        <v>0</v>
      </c>
    </row>
    <row r="1467" spans="2:6" ht="15.75" customHeight="1" x14ac:dyDescent="0.25">
      <c r="B1467" t="str">
        <v>DAO Maker Vesting</v>
      </c>
      <c r="C1467" t="str">
        <v>Services</v>
      </c>
      <c r="D1467" t="str">
        <v>DAO</v>
      </c>
      <c r="E1467">
        <v>0</v>
      </c>
      <c r="F1467">
        <v>0</v>
      </c>
    </row>
    <row r="1468" spans="2:6" ht="15.75" customHeight="1" x14ac:dyDescent="0.25">
      <c r="B1468" t="str">
        <v>DAO Swap</v>
      </c>
      <c r="C1468" t="str">
        <v>Dexs</v>
      </c>
      <c r="D1468" t="str">
        <v>DAO</v>
      </c>
      <c r="E1468">
        <v>53705.425233941729</v>
      </c>
      <c r="F1468">
        <v>0</v>
      </c>
    </row>
    <row r="1469" spans="2:6" ht="15.75" customHeight="1" x14ac:dyDescent="0.25">
      <c r="B1469" t="str">
        <v>DAOLama</v>
      </c>
      <c r="C1469" t="str">
        <v>Lending</v>
      </c>
      <c r="D1469" t="str">
        <v>-</v>
      </c>
      <c r="E1469">
        <v>75762.226956072787</v>
      </c>
      <c r="F1469">
        <v>0</v>
      </c>
    </row>
    <row r="1470" spans="2:6" ht="15.75" customHeight="1" x14ac:dyDescent="0.25">
      <c r="B1470" t="str">
        <v>DAOventures</v>
      </c>
      <c r="C1470" t="str">
        <v>Yield</v>
      </c>
      <c r="D1470" t="str">
        <v>DVD</v>
      </c>
      <c r="E1470">
        <v>10243.545298487597</v>
      </c>
      <c r="F1470">
        <v>151868.69016892093</v>
      </c>
    </row>
    <row r="1471" spans="2:6" ht="15.75" customHeight="1" x14ac:dyDescent="0.25">
      <c r="B1471" t="str">
        <v>Dapp Account DAO</v>
      </c>
      <c r="C1471" t="str">
        <v>Yield</v>
      </c>
      <c r="D1471" t="str">
        <v>DAD</v>
      </c>
      <c r="E1471">
        <v>736.06243468982325</v>
      </c>
      <c r="F1471">
        <v>0</v>
      </c>
    </row>
    <row r="1472" spans="2:6" ht="15.75" customHeight="1" x14ac:dyDescent="0.25">
      <c r="B1472" t="str">
        <v>dappOS IntentEX</v>
      </c>
      <c r="C1472" t="str">
        <v>Dexs</v>
      </c>
      <c r="D1472" t="str">
        <v>-</v>
      </c>
      <c r="E1472">
        <v>0</v>
      </c>
      <c r="F1472">
        <v>0</v>
      </c>
    </row>
    <row r="1473" spans="2:6" ht="15.75" customHeight="1" x14ac:dyDescent="0.25">
      <c r="B1473" t="str">
        <v>Dark Matter</v>
      </c>
      <c r="C1473" t="str">
        <v>Farm</v>
      </c>
      <c r="D1473" t="str">
        <v>DMD</v>
      </c>
      <c r="E1473">
        <v>1085.3089568618975</v>
      </c>
      <c r="F1473">
        <v>0</v>
      </c>
    </row>
    <row r="1474" spans="2:6" ht="15.75" customHeight="1" x14ac:dyDescent="0.25">
      <c r="B1474" t="str">
        <v>DarkAuto</v>
      </c>
      <c r="C1474" t="str">
        <v>Yield Aggregator</v>
      </c>
      <c r="D1474" t="str">
        <v>-</v>
      </c>
      <c r="E1474">
        <v>32273.269646485394</v>
      </c>
      <c r="F1474">
        <v>0</v>
      </c>
    </row>
    <row r="1475" spans="2:6" ht="15.75" customHeight="1" x14ac:dyDescent="0.25">
      <c r="B1475" t="str">
        <v>DarkCrypto</v>
      </c>
      <c r="C1475" t="str">
        <v>Algo-Stables</v>
      </c>
      <c r="D1475" t="str">
        <v>DARK</v>
      </c>
      <c r="E1475">
        <v>32285.023873233269</v>
      </c>
      <c r="F1475">
        <v>15785.154412563459</v>
      </c>
    </row>
    <row r="1476" spans="2:6" ht="15.75" customHeight="1" x14ac:dyDescent="0.25">
      <c r="B1476" t="str">
        <v>Darkness</v>
      </c>
      <c r="C1476" t="str">
        <v>Dexs</v>
      </c>
      <c r="D1476" t="str">
        <v>NESS</v>
      </c>
      <c r="E1476">
        <v>8859.082626701771</v>
      </c>
      <c r="F1476">
        <v>22832.542527493275</v>
      </c>
    </row>
    <row r="1477" spans="2:6" ht="15.75" customHeight="1" x14ac:dyDescent="0.25">
      <c r="B1477" t="str">
        <v>DarkSwap</v>
      </c>
      <c r="C1477" t="str">
        <v>Dexs</v>
      </c>
      <c r="D1477" t="str">
        <v>DAS</v>
      </c>
      <c r="E1477">
        <v>951.8180249427495</v>
      </c>
      <c r="F1477">
        <v>0</v>
      </c>
    </row>
    <row r="1478" spans="2:6" ht="15.75" customHeight="1" x14ac:dyDescent="0.25">
      <c r="B1478" t="str">
        <v>DarumaDAO</v>
      </c>
      <c r="C1478" t="str">
        <v>Reserve Currency</v>
      </c>
      <c r="D1478" t="str">
        <v>DRM</v>
      </c>
      <c r="E1478">
        <v>0</v>
      </c>
      <c r="F1478">
        <v>0</v>
      </c>
    </row>
    <row r="1479" spans="2:6" ht="15.75" customHeight="1" x14ac:dyDescent="0.25">
      <c r="B1479" t="str">
        <v>DataDex</v>
      </c>
      <c r="C1479" t="str">
        <v>Dexs</v>
      </c>
      <c r="D1479" t="str">
        <v>-</v>
      </c>
      <c r="E1479">
        <v>1485265.5657674458</v>
      </c>
      <c r="F1479">
        <v>0</v>
      </c>
    </row>
    <row r="1480" spans="2:6" ht="15.75" customHeight="1" x14ac:dyDescent="0.25">
      <c r="B1480" t="str">
        <v>Datamine Network</v>
      </c>
      <c r="C1480" t="str">
        <v>Reserve Currency</v>
      </c>
      <c r="D1480" t="str">
        <v>-</v>
      </c>
      <c r="E1480">
        <v>0</v>
      </c>
      <c r="F1480">
        <v>0</v>
      </c>
    </row>
    <row r="1481" spans="2:6" ht="15.75" customHeight="1" x14ac:dyDescent="0.25">
      <c r="B1481" t="str">
        <v>DaVinciGraph</v>
      </c>
      <c r="C1481" t="str">
        <v>Token Locker</v>
      </c>
      <c r="D1481" t="str">
        <v>DAVINCI</v>
      </c>
      <c r="E1481">
        <v>1851744</v>
      </c>
      <c r="F1481">
        <v>0</v>
      </c>
    </row>
    <row r="1482" spans="2:6" ht="15.75" customHeight="1" x14ac:dyDescent="0.25">
      <c r="B1482" t="str">
        <v>Davos Protocol</v>
      </c>
      <c r="C1482" t="str">
        <v>CDP</v>
      </c>
      <c r="D1482" t="str">
        <v>-</v>
      </c>
      <c r="E1482">
        <v>126596.49615515216</v>
      </c>
      <c r="F1482">
        <v>0</v>
      </c>
    </row>
    <row r="1483" spans="2:6" ht="15.75" customHeight="1" x14ac:dyDescent="0.25">
      <c r="B1483" t="str">
        <v>Dawn Star Finance</v>
      </c>
      <c r="C1483" t="str">
        <v>Algo-Stables</v>
      </c>
      <c r="D1483" t="str">
        <v>DSF</v>
      </c>
      <c r="E1483">
        <v>0</v>
      </c>
      <c r="F1483">
        <v>0</v>
      </c>
    </row>
    <row r="1484" spans="2:6" ht="15.75" customHeight="1" x14ac:dyDescent="0.25">
      <c r="B1484" t="str">
        <v>Daytona Finance</v>
      </c>
      <c r="C1484" t="str">
        <v>Dexs</v>
      </c>
      <c r="D1484" t="str">
        <v>TONI</v>
      </c>
      <c r="E1484">
        <v>69122.305852905367</v>
      </c>
      <c r="F1484">
        <v>0</v>
      </c>
    </row>
    <row r="1485" spans="2:6" ht="15.75" customHeight="1" x14ac:dyDescent="0.25">
      <c r="B1485" t="str">
        <v>DBX Finance</v>
      </c>
      <c r="C1485" t="str">
        <v>Dexs</v>
      </c>
      <c r="D1485" t="str">
        <v>DBX</v>
      </c>
      <c r="E1485">
        <v>1334.5772291802832</v>
      </c>
      <c r="F1485">
        <v>0</v>
      </c>
    </row>
    <row r="1486" spans="2:6" ht="15.75" customHeight="1" x14ac:dyDescent="0.25">
      <c r="B1486" t="str">
        <v>DDDX</v>
      </c>
      <c r="C1486" t="str">
        <v>Dexs</v>
      </c>
      <c r="D1486" t="str">
        <v>DDDX</v>
      </c>
      <c r="E1486">
        <v>9873.1720133252547</v>
      </c>
      <c r="F1486">
        <v>0</v>
      </c>
    </row>
    <row r="1487" spans="2:6" ht="15.75" customHeight="1" x14ac:dyDescent="0.25">
      <c r="B1487" t="str">
        <v>DDEX</v>
      </c>
      <c r="C1487" t="str">
        <v>Dexs</v>
      </c>
      <c r="D1487" t="str">
        <v>-</v>
      </c>
      <c r="E1487">
        <v>2314063.3278945042</v>
      </c>
      <c r="F1487">
        <v>0</v>
      </c>
    </row>
    <row r="1488" spans="2:6" ht="15.75" customHeight="1" x14ac:dyDescent="0.25">
      <c r="B1488" t="str">
        <v>DeBank Cloud</v>
      </c>
      <c r="C1488" t="str">
        <v>Developer Tools</v>
      </c>
      <c r="D1488" t="str">
        <v>-</v>
      </c>
      <c r="E1488">
        <v>0</v>
      </c>
      <c r="F1488">
        <v>0</v>
      </c>
    </row>
    <row r="1489" spans="2:6" ht="15.75" customHeight="1" x14ac:dyDescent="0.25">
      <c r="B1489" t="str">
        <v>Debets</v>
      </c>
      <c r="C1489" t="str">
        <v>Prediction Market</v>
      </c>
      <c r="D1489" t="str">
        <v>-</v>
      </c>
      <c r="E1489">
        <v>8.7648996181170205</v>
      </c>
      <c r="F1489">
        <v>0</v>
      </c>
    </row>
    <row r="1490" spans="2:6" ht="15.75" customHeight="1" x14ac:dyDescent="0.25">
      <c r="B1490" t="str">
        <v>deBridge</v>
      </c>
      <c r="C1490" t="str">
        <v>Bridge</v>
      </c>
      <c r="D1490" t="str">
        <v>DBR</v>
      </c>
      <c r="E1490">
        <v>31725632.104094978</v>
      </c>
      <c r="F1490">
        <v>73807952.069629192</v>
      </c>
    </row>
    <row r="1491" spans="2:6" ht="15.75" customHeight="1" x14ac:dyDescent="0.25">
      <c r="B1491" t="str">
        <v>DebtDAO</v>
      </c>
      <c r="C1491" t="str">
        <v>Lending</v>
      </c>
      <c r="D1491" t="str">
        <v>-</v>
      </c>
      <c r="E1491">
        <v>0</v>
      </c>
      <c r="F1491">
        <v>0</v>
      </c>
    </row>
    <row r="1492" spans="2:6" ht="15.75" customHeight="1" x14ac:dyDescent="0.25">
      <c r="B1492" t="str">
        <v>Decentralized Euro</v>
      </c>
      <c r="C1492" t="str">
        <v>CDP</v>
      </c>
      <c r="D1492" t="str">
        <v>-</v>
      </c>
      <c r="E1492">
        <v>1471586.2199330947</v>
      </c>
      <c r="F1492">
        <v>0</v>
      </c>
    </row>
    <row r="1493" spans="2:6" ht="15.75" customHeight="1" x14ac:dyDescent="0.25">
      <c r="B1493" t="str">
        <v>Decryption</v>
      </c>
      <c r="C1493" t="str">
        <v>Dexs</v>
      </c>
      <c r="D1493" t="str">
        <v>X</v>
      </c>
      <c r="E1493">
        <v>0</v>
      </c>
      <c r="F1493">
        <v>0</v>
      </c>
    </row>
    <row r="1494" spans="2:6" ht="15.75" customHeight="1" x14ac:dyDescent="0.25">
      <c r="B1494" t="str">
        <v>Decubate</v>
      </c>
      <c r="C1494" t="str">
        <v>Launchpad</v>
      </c>
      <c r="D1494" t="str">
        <v>DCB</v>
      </c>
      <c r="E1494">
        <v>0</v>
      </c>
      <c r="F1494">
        <v>1156774.4596234323</v>
      </c>
    </row>
    <row r="1495" spans="2:6" ht="15.75" customHeight="1" x14ac:dyDescent="0.25">
      <c r="B1495" t="str">
        <v>DeDust</v>
      </c>
      <c r="C1495" t="str">
        <v>Dexs</v>
      </c>
      <c r="D1495" t="str">
        <v>DUST</v>
      </c>
      <c r="E1495">
        <v>6775034.1671746597</v>
      </c>
      <c r="F1495">
        <v>0</v>
      </c>
    </row>
    <row r="1496" spans="2:6" ht="15.75" customHeight="1" x14ac:dyDescent="0.25">
      <c r="B1496" t="str">
        <v>DeepBook V2</v>
      </c>
      <c r="C1496" t="str">
        <v>Dexs</v>
      </c>
      <c r="D1496" t="str">
        <v>DEEP</v>
      </c>
      <c r="E1496">
        <v>0</v>
      </c>
      <c r="F1496">
        <v>0</v>
      </c>
    </row>
    <row r="1497" spans="2:6" ht="15.75" customHeight="1" x14ac:dyDescent="0.25">
      <c r="B1497" t="str">
        <v>DeepBook V3</v>
      </c>
      <c r="C1497" t="str">
        <v>Dexs</v>
      </c>
      <c r="D1497" t="str">
        <v>DEEP</v>
      </c>
      <c r="E1497">
        <v>12315484.801850276</v>
      </c>
      <c r="F1497">
        <v>0</v>
      </c>
    </row>
    <row r="1498" spans="2:6" ht="15.75" customHeight="1" x14ac:dyDescent="0.25">
      <c r="B1498" t="str">
        <v>DeepLock</v>
      </c>
      <c r="C1498" t="str">
        <v>Launchpad</v>
      </c>
      <c r="D1498" t="str">
        <v>DEEP</v>
      </c>
      <c r="E1498">
        <v>3107246.4830038464</v>
      </c>
      <c r="F1498">
        <v>0</v>
      </c>
    </row>
    <row r="1499" spans="2:6" ht="15.75" customHeight="1" x14ac:dyDescent="0.25">
      <c r="B1499" t="str">
        <v>DeeppDAO</v>
      </c>
      <c r="C1499" t="str">
        <v>Prediction Market</v>
      </c>
      <c r="D1499" t="str">
        <v>DEEPP</v>
      </c>
      <c r="E1499">
        <v>3952.9795578573062</v>
      </c>
      <c r="F1499">
        <v>0</v>
      </c>
    </row>
    <row r="1500" spans="2:6" ht="15.75" customHeight="1" x14ac:dyDescent="0.25">
      <c r="B1500" t="str">
        <v>Deepr Finance</v>
      </c>
      <c r="C1500" t="str">
        <v>Lending</v>
      </c>
      <c r="D1500" t="str">
        <v>DEEPR</v>
      </c>
      <c r="E1500">
        <v>1230595.2237359672</v>
      </c>
      <c r="F1500">
        <v>0</v>
      </c>
    </row>
    <row r="1501" spans="2:6" ht="15.75" customHeight="1" x14ac:dyDescent="0.25">
      <c r="B1501" t="str">
        <v>DeepSeaDAO</v>
      </c>
      <c r="C1501" t="str">
        <v>Reserve Currency</v>
      </c>
      <c r="D1501" t="str">
        <v>SEA</v>
      </c>
      <c r="E1501">
        <v>0.44684636790337295</v>
      </c>
      <c r="F1501">
        <v>0</v>
      </c>
    </row>
    <row r="1502" spans="2:6" ht="15.75" customHeight="1" x14ac:dyDescent="0.25">
      <c r="B1502" t="str">
        <v>DeerFi</v>
      </c>
      <c r="C1502" t="str">
        <v>Lending</v>
      </c>
      <c r="D1502" t="str">
        <v>-</v>
      </c>
      <c r="E1502">
        <v>172.230260079251</v>
      </c>
      <c r="F1502">
        <v>0</v>
      </c>
    </row>
    <row r="1503" spans="2:6" ht="15.75" customHeight="1" x14ac:dyDescent="0.25">
      <c r="B1503" t="str">
        <v>Defender Finance</v>
      </c>
      <c r="C1503" t="str">
        <v>Algo-Stables</v>
      </c>
      <c r="D1503" t="str">
        <v>SWDB</v>
      </c>
      <c r="E1503">
        <v>0</v>
      </c>
      <c r="F1503">
        <v>0</v>
      </c>
    </row>
    <row r="1504" spans="2:6" ht="15.75" customHeight="1" x14ac:dyDescent="0.25">
      <c r="B1504" t="str">
        <v>Defi App</v>
      </c>
      <c r="C1504" t="str">
        <v>DEX Aggregator</v>
      </c>
      <c r="D1504" t="str">
        <v>HOME</v>
      </c>
      <c r="E1504">
        <v>0</v>
      </c>
      <c r="F1504">
        <v>77248228.481960028</v>
      </c>
    </row>
    <row r="1505" spans="2:6" ht="15.75" customHeight="1" x14ac:dyDescent="0.25">
      <c r="B1505" t="str">
        <v>DeFi Dollar</v>
      </c>
      <c r="C1505" t="str">
        <v>CDP</v>
      </c>
      <c r="D1505" t="str">
        <v>-</v>
      </c>
      <c r="E1505">
        <v>248544.99710512956</v>
      </c>
      <c r="F1505">
        <v>0</v>
      </c>
    </row>
    <row r="1506" spans="2:6" ht="15.75" customHeight="1" x14ac:dyDescent="0.25">
      <c r="B1506" t="str">
        <v>DeFi Franc</v>
      </c>
      <c r="C1506" t="str">
        <v>CDP</v>
      </c>
      <c r="D1506" t="str">
        <v>DCHF</v>
      </c>
      <c r="E1506">
        <v>320312.12568740488</v>
      </c>
      <c r="F1506">
        <v>0</v>
      </c>
    </row>
    <row r="1507" spans="2:6" ht="15.75" customHeight="1" x14ac:dyDescent="0.25">
      <c r="B1507" t="str">
        <v>Defi Halal</v>
      </c>
      <c r="C1507" t="str">
        <v>CDP</v>
      </c>
      <c r="D1507" t="str">
        <v>HALAL</v>
      </c>
      <c r="E1507">
        <v>28.053394637263441</v>
      </c>
      <c r="F1507">
        <v>0</v>
      </c>
    </row>
    <row r="1508" spans="2:6" ht="15.75" customHeight="1" x14ac:dyDescent="0.25">
      <c r="B1508" t="str">
        <v>Defi Kingdoms</v>
      </c>
      <c r="C1508" t="str">
        <v>Dexs</v>
      </c>
      <c r="D1508" t="str">
        <v>JEWEL</v>
      </c>
      <c r="E1508">
        <v>248517.8067188675</v>
      </c>
      <c r="F1508">
        <v>1693296.4077569046</v>
      </c>
    </row>
    <row r="1509" spans="2:6" ht="15.75" customHeight="1" x14ac:dyDescent="0.25">
      <c r="B1509" t="str">
        <v>Defi Master</v>
      </c>
      <c r="C1509" t="str">
        <v>Yield</v>
      </c>
      <c r="D1509" t="str">
        <v>BST</v>
      </c>
      <c r="E1509">
        <v>24.71848725073847</v>
      </c>
      <c r="F1509">
        <v>0</v>
      </c>
    </row>
    <row r="1510" spans="2:6" ht="15.75" customHeight="1" x14ac:dyDescent="0.25">
      <c r="B1510" t="str">
        <v>Defi Saver</v>
      </c>
      <c r="C1510" t="str">
        <v>CDP Manager</v>
      </c>
      <c r="D1510" t="str">
        <v>-</v>
      </c>
      <c r="E1510">
        <v>261563640.51650843</v>
      </c>
      <c r="F1510">
        <v>0</v>
      </c>
    </row>
    <row r="1511" spans="2:6" ht="15.75" customHeight="1" x14ac:dyDescent="0.25">
      <c r="B1511" t="str">
        <v>Defi Swap</v>
      </c>
      <c r="C1511" t="str">
        <v>Dexs</v>
      </c>
      <c r="D1511" t="str">
        <v>CRO</v>
      </c>
      <c r="E1511">
        <v>1258718.0498644745</v>
      </c>
      <c r="F1511">
        <v>3883038420.4062476</v>
      </c>
    </row>
    <row r="1512" spans="2:6" ht="15.75" customHeight="1" x14ac:dyDescent="0.25">
      <c r="B1512" t="str">
        <v>Defi Yield Protocol</v>
      </c>
      <c r="C1512" t="str">
        <v>Yield</v>
      </c>
      <c r="D1512" t="str">
        <v>DYP</v>
      </c>
      <c r="E1512">
        <v>844.99712500600708</v>
      </c>
      <c r="F1512">
        <v>44421.026203966387</v>
      </c>
    </row>
    <row r="1513" spans="2:6" ht="15.75" customHeight="1" x14ac:dyDescent="0.25">
      <c r="B1513" t="str">
        <v>defi.money</v>
      </c>
      <c r="C1513" t="str">
        <v>CDP</v>
      </c>
      <c r="D1513" t="str">
        <v>-</v>
      </c>
      <c r="E1513">
        <v>7021.4943539340575</v>
      </c>
      <c r="F1513">
        <v>0</v>
      </c>
    </row>
    <row r="1514" spans="2:6" ht="15.75" customHeight="1" x14ac:dyDescent="0.25">
      <c r="B1514" t="str">
        <v>DeFiato</v>
      </c>
      <c r="C1514" t="str">
        <v>Services</v>
      </c>
      <c r="D1514" t="str">
        <v>DFIAT</v>
      </c>
      <c r="E1514">
        <v>0</v>
      </c>
      <c r="F1514">
        <v>111801.02454080587</v>
      </c>
    </row>
    <row r="1515" spans="2:6" ht="15.75" customHeight="1" x14ac:dyDescent="0.25">
      <c r="B1515" t="str">
        <v>DefiBox</v>
      </c>
      <c r="C1515" t="str">
        <v>Dexs</v>
      </c>
      <c r="D1515" t="str">
        <v>BOX</v>
      </c>
      <c r="E1515">
        <v>1356871.4496593354</v>
      </c>
      <c r="F1515">
        <v>0</v>
      </c>
    </row>
    <row r="1516" spans="2:6" ht="15.75" customHeight="1" x14ac:dyDescent="0.25">
      <c r="B1516" t="str">
        <v>DefiChain DEX</v>
      </c>
      <c r="C1516" t="str">
        <v>Dexs</v>
      </c>
      <c r="D1516" t="str">
        <v>DFI</v>
      </c>
      <c r="E1516">
        <v>1377427.1912988459</v>
      </c>
      <c r="F1516">
        <v>773839.03645997553</v>
      </c>
    </row>
    <row r="1517" spans="2:6" ht="15.75" customHeight="1" x14ac:dyDescent="0.25">
      <c r="B1517" t="str">
        <v>DefiChain Loans</v>
      </c>
      <c r="C1517" t="str">
        <v>Synthetics</v>
      </c>
      <c r="D1517" t="str">
        <v>DFI</v>
      </c>
      <c r="E1517">
        <v>536718.20086672355</v>
      </c>
      <c r="F1517">
        <v>0</v>
      </c>
    </row>
    <row r="1518" spans="2:6" ht="15.75" customHeight="1" x14ac:dyDescent="0.25">
      <c r="B1518" t="str">
        <v>DefiCurrent</v>
      </c>
      <c r="C1518" t="str">
        <v>Yield Aggregator</v>
      </c>
      <c r="D1518" t="str">
        <v>-</v>
      </c>
      <c r="E1518">
        <v>423.7115008586934</v>
      </c>
      <c r="F1518">
        <v>0</v>
      </c>
    </row>
    <row r="1519" spans="2:6" ht="15.75" customHeight="1" x14ac:dyDescent="0.25">
      <c r="B1519" t="str">
        <v>Defidash Agent</v>
      </c>
      <c r="C1519" t="str">
        <v>Telegram Bot</v>
      </c>
      <c r="D1519" t="str">
        <v>DEFIDASH</v>
      </c>
      <c r="E1519">
        <v>1.0960041122360937</v>
      </c>
      <c r="F1519">
        <v>141942.4688841592</v>
      </c>
    </row>
    <row r="1520" spans="2:6" ht="15.75" customHeight="1" x14ac:dyDescent="0.25">
      <c r="B1520" t="str">
        <v>DefiDollar DAO</v>
      </c>
      <c r="C1520" t="str">
        <v>Algo-Stables</v>
      </c>
      <c r="D1520" t="str">
        <v>DFD</v>
      </c>
      <c r="E1520">
        <v>1044134.1617971964</v>
      </c>
      <c r="F1520">
        <v>41940.70865439796</v>
      </c>
    </row>
    <row r="1521" spans="2:6" ht="15.75" customHeight="1" x14ac:dyDescent="0.25">
      <c r="B1521" t="str">
        <v>DefiEdge</v>
      </c>
      <c r="C1521" t="str">
        <v>Liquidity manager</v>
      </c>
      <c r="D1521" t="str">
        <v>-</v>
      </c>
      <c r="E1521">
        <v>878329.83334782324</v>
      </c>
      <c r="F1521">
        <v>0</v>
      </c>
    </row>
    <row r="1522" spans="2:6" ht="15.75" customHeight="1" x14ac:dyDescent="0.25">
      <c r="B1522" t="str">
        <v>DeFIL</v>
      </c>
      <c r="C1522" t="str">
        <v>Lending</v>
      </c>
      <c r="D1522" t="str">
        <v>DFL</v>
      </c>
      <c r="E1522">
        <v>1767562.2036231805</v>
      </c>
      <c r="F1522">
        <v>0</v>
      </c>
    </row>
    <row r="1523" spans="2:6" ht="15.75" customHeight="1" x14ac:dyDescent="0.25">
      <c r="B1523" t="str">
        <v>Defily</v>
      </c>
      <c r="C1523" t="str">
        <v>Yield</v>
      </c>
      <c r="D1523" t="str">
        <v>DFL</v>
      </c>
      <c r="E1523">
        <v>0</v>
      </c>
      <c r="F1523">
        <v>0</v>
      </c>
    </row>
    <row r="1524" spans="2:6" ht="15.75" customHeight="1" x14ac:dyDescent="0.25">
      <c r="B1524" t="str">
        <v>Defily Dex</v>
      </c>
      <c r="C1524" t="str">
        <v>Dexs</v>
      </c>
      <c r="D1524" t="str">
        <v>DFL</v>
      </c>
      <c r="E1524">
        <v>0</v>
      </c>
      <c r="F1524">
        <v>0</v>
      </c>
    </row>
    <row r="1525" spans="2:6" ht="15.75" customHeight="1" x14ac:dyDescent="0.25">
      <c r="B1525" t="str">
        <v>DeFiner</v>
      </c>
      <c r="C1525" t="str">
        <v>Lending</v>
      </c>
      <c r="D1525" t="str">
        <v>FIN</v>
      </c>
      <c r="E1525">
        <v>457.55153981826686</v>
      </c>
      <c r="F1525">
        <v>4292.7839708042693</v>
      </c>
    </row>
    <row r="1526" spans="2:6" ht="15.75" customHeight="1" x14ac:dyDescent="0.25">
      <c r="B1526" t="str">
        <v>Definitely</v>
      </c>
      <c r="C1526" t="str">
        <v>SoFi</v>
      </c>
      <c r="D1526" t="str">
        <v>-</v>
      </c>
      <c r="E1526">
        <v>261.71172658649539</v>
      </c>
      <c r="F1526">
        <v>0</v>
      </c>
    </row>
    <row r="1527" spans="2:6" ht="15.75" customHeight="1" x14ac:dyDescent="0.25">
      <c r="B1527" t="str">
        <v>Definitive</v>
      </c>
      <c r="C1527" t="str">
        <v>DEX Aggregator</v>
      </c>
      <c r="D1527" t="str">
        <v>EDGE</v>
      </c>
      <c r="E1527">
        <v>101396.21618070321</v>
      </c>
      <c r="F1527">
        <v>26563220.331868939</v>
      </c>
    </row>
    <row r="1528" spans="2:6" ht="15.75" customHeight="1" x14ac:dyDescent="0.25">
      <c r="B1528" t="str">
        <v>Definitive Yield Vaults</v>
      </c>
      <c r="C1528" t="str">
        <v>Yield</v>
      </c>
      <c r="D1528" t="str">
        <v>EDGE</v>
      </c>
      <c r="E1528">
        <v>85510.246513337639</v>
      </c>
      <c r="F1528">
        <v>0</v>
      </c>
    </row>
    <row r="1529" spans="2:6" ht="15.75" customHeight="1" x14ac:dyDescent="0.25">
      <c r="B1529" t="str">
        <v>Definity Staked SOL</v>
      </c>
      <c r="C1529" t="str">
        <v>Liquid Staking</v>
      </c>
      <c r="D1529" t="str">
        <v>-</v>
      </c>
      <c r="E1529">
        <v>0</v>
      </c>
      <c r="F1529">
        <v>0</v>
      </c>
    </row>
    <row r="1530" spans="2:6" ht="15.75" customHeight="1" x14ac:dyDescent="0.25">
      <c r="B1530" t="str">
        <v>Definix</v>
      </c>
      <c r="C1530" t="str">
        <v>Dexs</v>
      </c>
      <c r="D1530" t="str">
        <v>FINIX</v>
      </c>
      <c r="E1530">
        <v>614153.07566117274</v>
      </c>
      <c r="F1530">
        <v>0</v>
      </c>
    </row>
    <row r="1531" spans="2:6" ht="15.75" customHeight="1" x14ac:dyDescent="0.25">
      <c r="B1531" t="str">
        <v>DefiPlaza</v>
      </c>
      <c r="C1531" t="str">
        <v>Dexs</v>
      </c>
      <c r="D1531" t="str">
        <v>DFP2</v>
      </c>
      <c r="E1531">
        <v>216369.9493096848</v>
      </c>
      <c r="F1531">
        <v>157740.71456737845</v>
      </c>
    </row>
    <row r="1532" spans="2:6" ht="15.75" customHeight="1" x14ac:dyDescent="0.25">
      <c r="B1532" t="str">
        <v>Defirex</v>
      </c>
      <c r="C1532" t="str">
        <v>Yield</v>
      </c>
      <c r="D1532" t="str">
        <v>DFX</v>
      </c>
      <c r="E1532">
        <v>5491.2232679862182</v>
      </c>
      <c r="F1532">
        <v>0</v>
      </c>
    </row>
    <row r="1533" spans="2:6" ht="15.75" customHeight="1" x14ac:dyDescent="0.25">
      <c r="B1533" t="str">
        <v>DefiTuna AMM</v>
      </c>
      <c r="C1533" t="str">
        <v>Dexs</v>
      </c>
      <c r="D1533" t="str">
        <v>TUNA</v>
      </c>
      <c r="E1533">
        <v>13876102.986662898</v>
      </c>
      <c r="F1533">
        <v>0</v>
      </c>
    </row>
    <row r="1534" spans="2:6" ht="15.75" customHeight="1" x14ac:dyDescent="0.25">
      <c r="B1534" t="str">
        <v>DefiTuna Lending</v>
      </c>
      <c r="C1534" t="str">
        <v>Lending</v>
      </c>
      <c r="D1534" t="str">
        <v>TUNA</v>
      </c>
      <c r="E1534">
        <v>9233343.3248848766</v>
      </c>
      <c r="F1534">
        <v>0</v>
      </c>
    </row>
    <row r="1535" spans="2:6" ht="15.75" customHeight="1" x14ac:dyDescent="0.25">
      <c r="B1535" t="str">
        <v>DefiTuna Liquidity</v>
      </c>
      <c r="C1535" t="str">
        <v>Liquidity manager</v>
      </c>
      <c r="D1535" t="str">
        <v>TUNA</v>
      </c>
      <c r="E1535">
        <v>16140794.946436485</v>
      </c>
      <c r="F1535">
        <v>0</v>
      </c>
    </row>
    <row r="1536" spans="2:6" ht="15.75" customHeight="1" x14ac:dyDescent="0.25">
      <c r="B1536" t="str">
        <v>DeFive</v>
      </c>
      <c r="C1536" t="str">
        <v>Dexs</v>
      </c>
      <c r="D1536" t="str">
        <v>FIVE</v>
      </c>
      <c r="E1536">
        <v>382539.25676973269</v>
      </c>
      <c r="F1536">
        <v>716067.41095221601</v>
      </c>
    </row>
    <row r="1537" spans="2:6" ht="15.75" customHeight="1" x14ac:dyDescent="0.25">
      <c r="B1537" t="str">
        <v>Defiway</v>
      </c>
      <c r="C1537" t="str">
        <v>Wallets</v>
      </c>
      <c r="D1537" t="str">
        <v>DEFI</v>
      </c>
      <c r="E1537">
        <v>0</v>
      </c>
      <c r="F1537">
        <v>31463317.89923184</v>
      </c>
    </row>
    <row r="1538" spans="2:6" ht="15.75" customHeight="1" x14ac:dyDescent="0.25">
      <c r="B1538" t="str">
        <v>Deflex</v>
      </c>
      <c r="C1538" t="str">
        <v>DEX Aggregator</v>
      </c>
      <c r="D1538" t="str">
        <v>-</v>
      </c>
      <c r="E1538">
        <v>27.430711755840299</v>
      </c>
      <c r="F1538">
        <v>0</v>
      </c>
    </row>
    <row r="1539" spans="2:6" ht="15.75" customHeight="1" x14ac:dyDescent="0.25">
      <c r="B1539" t="str">
        <v>DeFO</v>
      </c>
      <c r="C1539" t="str">
        <v>SoFi</v>
      </c>
      <c r="D1539" t="str">
        <v>-</v>
      </c>
      <c r="E1539">
        <v>30.710464387933833</v>
      </c>
      <c r="F1539">
        <v>0</v>
      </c>
    </row>
    <row r="1540" spans="2:6" ht="15.75" customHeight="1" x14ac:dyDescent="0.25">
      <c r="B1540" t="str">
        <v>Defrost</v>
      </c>
      <c r="C1540" t="str">
        <v>CDP</v>
      </c>
      <c r="D1540" t="str">
        <v>MELT</v>
      </c>
      <c r="E1540">
        <v>82287.531456276614</v>
      </c>
      <c r="F1540">
        <v>6291.04503090239</v>
      </c>
    </row>
    <row r="1541" spans="2:6" ht="15.75" customHeight="1" x14ac:dyDescent="0.25">
      <c r="B1541" t="str">
        <v>deFusion</v>
      </c>
      <c r="C1541" t="str">
        <v>Liquid Staking</v>
      </c>
      <c r="D1541" t="str">
        <v>DEF</v>
      </c>
      <c r="E1541">
        <v>1590082.9720166158</v>
      </c>
      <c r="F1541">
        <v>54969.774180204491</v>
      </c>
    </row>
    <row r="1542" spans="2:6" ht="15.75" customHeight="1" x14ac:dyDescent="0.25">
      <c r="B1542" t="str">
        <v>Defx</v>
      </c>
      <c r="C1542" t="str">
        <v>Derivatives</v>
      </c>
      <c r="D1542" t="str">
        <v>-</v>
      </c>
      <c r="E1542">
        <v>1827137.8345316905</v>
      </c>
      <c r="F1542">
        <v>0</v>
      </c>
    </row>
    <row r="1543" spans="2:6" ht="15.75" customHeight="1" x14ac:dyDescent="0.25">
      <c r="B1543" t="str">
        <v>DefySwap</v>
      </c>
      <c r="C1543" t="str">
        <v>Dexs</v>
      </c>
      <c r="D1543" t="str">
        <v>DFY</v>
      </c>
      <c r="E1543">
        <v>135.4156987111613</v>
      </c>
      <c r="F1543">
        <v>0</v>
      </c>
    </row>
    <row r="1544" spans="2:6" ht="15.75" customHeight="1" x14ac:dyDescent="0.25">
      <c r="B1544" t="str">
        <v>DeGate</v>
      </c>
      <c r="C1544" t="str">
        <v>Dexs</v>
      </c>
      <c r="D1544" t="str">
        <v>DG</v>
      </c>
      <c r="E1544">
        <v>159.35587017040186</v>
      </c>
      <c r="F1544">
        <v>18719694.646627359</v>
      </c>
    </row>
    <row r="1545" spans="2:6" ht="15.75" customHeight="1" x14ac:dyDescent="0.25">
      <c r="B1545" t="str">
        <v>Degen Bridge</v>
      </c>
      <c r="C1545" t="str">
        <v>Canonical Bridge</v>
      </c>
      <c r="D1545" t="str">
        <v>-</v>
      </c>
      <c r="E1545">
        <v>895208.43776060443</v>
      </c>
      <c r="F1545">
        <v>0</v>
      </c>
    </row>
    <row r="1546" spans="2:6" ht="15.75" customHeight="1" x14ac:dyDescent="0.25">
      <c r="B1546" t="str">
        <v>Degen Express</v>
      </c>
      <c r="C1546" t="str">
        <v>Launchpad</v>
      </c>
      <c r="D1546" t="str">
        <v>-</v>
      </c>
      <c r="E1546">
        <v>307.17427621233901</v>
      </c>
      <c r="F1546">
        <v>0</v>
      </c>
    </row>
    <row r="1547" spans="2:6" ht="15.75" customHeight="1" x14ac:dyDescent="0.25">
      <c r="B1547" t="str">
        <v>Degen Haus</v>
      </c>
      <c r="C1547" t="str">
        <v>Dexs</v>
      </c>
      <c r="D1547" t="str">
        <v>DOPE</v>
      </c>
      <c r="E1547">
        <v>3909.2365382401204</v>
      </c>
      <c r="F1547">
        <v>0</v>
      </c>
    </row>
    <row r="1548" spans="2:6" ht="15.75" customHeight="1" x14ac:dyDescent="0.25">
      <c r="B1548" t="str">
        <v>DegenDex</v>
      </c>
      <c r="C1548" t="str">
        <v>Dexs</v>
      </c>
      <c r="D1548" t="str">
        <v>-</v>
      </c>
      <c r="E1548">
        <v>948.02202475858212</v>
      </c>
      <c r="F1548">
        <v>0</v>
      </c>
    </row>
    <row r="1549" spans="2:6" ht="15.75" customHeight="1" x14ac:dyDescent="0.25">
      <c r="B1549" t="str">
        <v>DegenFund</v>
      </c>
      <c r="C1549" t="str">
        <v>Farm</v>
      </c>
      <c r="D1549" t="str">
        <v>DFund</v>
      </c>
      <c r="E1549">
        <v>0</v>
      </c>
      <c r="F1549">
        <v>0</v>
      </c>
    </row>
    <row r="1550" spans="2:6" ht="15.75" customHeight="1" x14ac:dyDescent="0.25">
      <c r="B1550" t="str">
        <v>DegenHive AMM</v>
      </c>
      <c r="C1550" t="str">
        <v>Dexs</v>
      </c>
      <c r="D1550" t="str">
        <v>-</v>
      </c>
      <c r="E1550">
        <v>193.41729656092718</v>
      </c>
      <c r="F1550">
        <v>0</v>
      </c>
    </row>
    <row r="1551" spans="2:6" ht="15.75" customHeight="1" x14ac:dyDescent="0.25">
      <c r="B1551" t="str">
        <v>DegenHive LST</v>
      </c>
      <c r="C1551" t="str">
        <v>Liquid Staking</v>
      </c>
      <c r="D1551" t="str">
        <v>-</v>
      </c>
      <c r="E1551">
        <v>353.47868063013107</v>
      </c>
      <c r="F1551">
        <v>0</v>
      </c>
    </row>
    <row r="1552" spans="2:6" ht="15.75" customHeight="1" x14ac:dyDescent="0.25">
      <c r="B1552" t="str">
        <v>DegenHive Memepad</v>
      </c>
      <c r="C1552" t="str">
        <v>Launchpad</v>
      </c>
      <c r="D1552" t="str">
        <v>-</v>
      </c>
      <c r="E1552">
        <v>45.028953755112596</v>
      </c>
      <c r="F1552">
        <v>0</v>
      </c>
    </row>
    <row r="1553" spans="2:6" ht="15.75" customHeight="1" x14ac:dyDescent="0.25">
      <c r="B1553" t="str">
        <v>DegenPrime</v>
      </c>
      <c r="C1553" t="str">
        <v>Leveraged Farming</v>
      </c>
      <c r="D1553" t="str">
        <v>-</v>
      </c>
      <c r="E1553">
        <v>148324.17487887933</v>
      </c>
      <c r="F1553">
        <v>0</v>
      </c>
    </row>
    <row r="1554" spans="2:6" ht="15.75" customHeight="1" x14ac:dyDescent="0.25">
      <c r="B1554" t="str">
        <v>DegenSwap</v>
      </c>
      <c r="C1554" t="str">
        <v>Dexs</v>
      </c>
      <c r="D1554" t="str">
        <v>DSWAP</v>
      </c>
      <c r="E1554">
        <v>88.980969080480222</v>
      </c>
      <c r="F1554">
        <v>0</v>
      </c>
    </row>
    <row r="1555" spans="2:6" ht="15.75" customHeight="1" x14ac:dyDescent="0.25">
      <c r="B1555" t="str">
        <v>Dego Finance</v>
      </c>
      <c r="C1555" t="str">
        <v>Services</v>
      </c>
      <c r="D1555" t="str">
        <v>DEGO</v>
      </c>
      <c r="E1555">
        <v>11134.855314059532</v>
      </c>
      <c r="F1555">
        <v>11231754.804183215</v>
      </c>
    </row>
    <row r="1556" spans="2:6" ht="15.75" customHeight="1" x14ac:dyDescent="0.25">
      <c r="B1556" t="str">
        <v>DeHive</v>
      </c>
      <c r="C1556" t="str">
        <v>Indexes</v>
      </c>
      <c r="D1556" t="str">
        <v>DHV</v>
      </c>
      <c r="E1556">
        <v>3030.843511343196</v>
      </c>
      <c r="F1556">
        <v>54947.453213488778</v>
      </c>
    </row>
    <row r="1557" spans="2:6" ht="15.75" customHeight="1" x14ac:dyDescent="0.25">
      <c r="B1557" t="str">
        <v>Delea</v>
      </c>
      <c r="C1557" t="str">
        <v>CDP</v>
      </c>
      <c r="D1557" t="str">
        <v>-</v>
      </c>
      <c r="E1557">
        <v>3532143.2559586866</v>
      </c>
      <c r="F1557">
        <v>0</v>
      </c>
    </row>
    <row r="1558" spans="2:6" ht="15.75" customHeight="1" x14ac:dyDescent="0.25">
      <c r="B1558" t="str">
        <v>Delegate Marketplace</v>
      </c>
      <c r="C1558" t="str">
        <v>Services</v>
      </c>
      <c r="D1558" t="str">
        <v>-</v>
      </c>
      <c r="E1558">
        <v>1134.6289286935951</v>
      </c>
      <c r="F1558">
        <v>0</v>
      </c>
    </row>
    <row r="1559" spans="2:6" ht="15.75" customHeight="1" x14ac:dyDescent="0.25">
      <c r="B1559" t="str">
        <v>Delta Financial</v>
      </c>
      <c r="C1559" t="str">
        <v>Options</v>
      </c>
      <c r="D1559" t="str">
        <v>DELTA</v>
      </c>
      <c r="E1559">
        <v>0</v>
      </c>
      <c r="F1559">
        <v>0</v>
      </c>
    </row>
    <row r="1560" spans="2:6" ht="15.75" customHeight="1" x14ac:dyDescent="0.25">
      <c r="B1560" t="str">
        <v>DELTAFi</v>
      </c>
      <c r="C1560" t="str">
        <v>Synthetics</v>
      </c>
      <c r="D1560" t="str">
        <v>DELTA</v>
      </c>
      <c r="E1560">
        <v>153.19960227593549</v>
      </c>
      <c r="F1560">
        <v>0</v>
      </c>
    </row>
    <row r="1561" spans="2:6" ht="15.75" customHeight="1" x14ac:dyDescent="0.25">
      <c r="B1561" t="str">
        <v>DeltaPrime</v>
      </c>
      <c r="C1561" t="str">
        <v>Leveraged Farming</v>
      </c>
      <c r="D1561" t="str">
        <v>PRIME</v>
      </c>
      <c r="E1561">
        <v>7512809.292535333</v>
      </c>
      <c r="F1561">
        <v>56683.68842890286</v>
      </c>
    </row>
    <row r="1562" spans="2:6" ht="15.75" customHeight="1" x14ac:dyDescent="0.25">
      <c r="B1562" t="str">
        <v>DeltaSwap</v>
      </c>
      <c r="C1562" t="str">
        <v>Dexs</v>
      </c>
      <c r="D1562" t="str">
        <v>GS</v>
      </c>
      <c r="E1562">
        <v>3589551.8767770422</v>
      </c>
      <c r="F1562">
        <v>0</v>
      </c>
    </row>
    <row r="1563" spans="2:6" ht="15.75" customHeight="1" x14ac:dyDescent="0.25">
      <c r="B1563" t="str">
        <v>DeltaTheta</v>
      </c>
      <c r="C1563" t="str">
        <v>Options</v>
      </c>
      <c r="D1563" t="str">
        <v>DLTA</v>
      </c>
      <c r="E1563">
        <v>2199.5686222544878</v>
      </c>
      <c r="F1563">
        <v>0</v>
      </c>
    </row>
    <row r="1564" spans="2:6" ht="15.75" customHeight="1" x14ac:dyDescent="0.25">
      <c r="B1564" t="str">
        <v>DeltaTrade</v>
      </c>
      <c r="C1564" t="str">
        <v>Dexs</v>
      </c>
      <c r="D1564" t="str">
        <v>-</v>
      </c>
      <c r="E1564">
        <v>132752.74811547037</v>
      </c>
      <c r="F1564">
        <v>0</v>
      </c>
    </row>
    <row r="1565" spans="2:6" ht="15.75" customHeight="1" x14ac:dyDescent="0.25">
      <c r="B1565" t="str">
        <v>DELV Yield</v>
      </c>
      <c r="C1565" t="str">
        <v>Yield</v>
      </c>
      <c r="D1565" t="str">
        <v>-</v>
      </c>
      <c r="E1565">
        <v>1074067.0643398168</v>
      </c>
      <c r="F1565">
        <v>0</v>
      </c>
    </row>
    <row r="1566" spans="2:6" ht="15.75" customHeight="1" x14ac:dyDescent="0.25">
      <c r="B1566" t="str">
        <v>Demented Games</v>
      </c>
      <c r="C1566" t="str">
        <v>Prediction Market</v>
      </c>
      <c r="D1566" t="str">
        <v>-</v>
      </c>
      <c r="E1566">
        <v>0</v>
      </c>
      <c r="F1566">
        <v>0</v>
      </c>
    </row>
    <row r="1567" spans="2:6" ht="15.75" customHeight="1" x14ac:dyDescent="0.25">
      <c r="B1567" t="str">
        <v>Demeter</v>
      </c>
      <c r="C1567" t="str">
        <v>Lending</v>
      </c>
      <c r="D1567" t="str">
        <v>-</v>
      </c>
      <c r="E1567">
        <v>291067.04672784131</v>
      </c>
      <c r="F1567">
        <v>0</v>
      </c>
    </row>
    <row r="1568" spans="2:6" ht="15.75" customHeight="1" x14ac:dyDescent="0.25">
      <c r="B1568" t="str">
        <v>Demex AMM</v>
      </c>
      <c r="C1568" t="str">
        <v>Dexs</v>
      </c>
      <c r="D1568" t="str">
        <v>-</v>
      </c>
      <c r="E1568">
        <v>0</v>
      </c>
      <c r="F1568">
        <v>0</v>
      </c>
    </row>
    <row r="1569" spans="2:6" ht="15.75" customHeight="1" x14ac:dyDescent="0.25">
      <c r="B1569" t="str">
        <v>Demex Perp</v>
      </c>
      <c r="C1569" t="str">
        <v>Derivatives</v>
      </c>
      <c r="D1569" t="str">
        <v>-</v>
      </c>
      <c r="E1569">
        <v>578751.69770289678</v>
      </c>
      <c r="F1569">
        <v>0</v>
      </c>
    </row>
    <row r="1570" spans="2:6" ht="15.75" customHeight="1" x14ac:dyDescent="0.25">
      <c r="B1570" t="str">
        <v>Demodyfi</v>
      </c>
      <c r="C1570" t="str">
        <v>Dexs</v>
      </c>
      <c r="D1570" t="str">
        <v>DMOD</v>
      </c>
      <c r="E1570">
        <v>121.18507233644969</v>
      </c>
      <c r="F1570">
        <v>14147.238966395229</v>
      </c>
    </row>
    <row r="1571" spans="2:6" ht="15.75" customHeight="1" x14ac:dyDescent="0.25">
      <c r="B1571" t="str">
        <v>Denario</v>
      </c>
      <c r="C1571" t="str">
        <v>RWA</v>
      </c>
      <c r="D1571" t="str">
        <v>-</v>
      </c>
      <c r="E1571">
        <v>2240935.1766661773</v>
      </c>
      <c r="F1571">
        <v>0</v>
      </c>
    </row>
    <row r="1572" spans="2:6" ht="15.75" customHeight="1" x14ac:dyDescent="0.25">
      <c r="B1572" t="str">
        <v>DeNet File Token</v>
      </c>
      <c r="C1572" t="str">
        <v>Services</v>
      </c>
      <c r="D1572" t="str">
        <v>DE</v>
      </c>
      <c r="E1572">
        <v>0</v>
      </c>
      <c r="F1572">
        <v>0</v>
      </c>
    </row>
    <row r="1573" spans="2:6" ht="15.75" customHeight="1" x14ac:dyDescent="0.25">
      <c r="B1573" t="str">
        <v>DengenDex</v>
      </c>
      <c r="C1573" t="str">
        <v>Dexs</v>
      </c>
      <c r="D1573" t="str">
        <v>DDD</v>
      </c>
      <c r="E1573">
        <v>0</v>
      </c>
      <c r="F1573">
        <v>0</v>
      </c>
    </row>
    <row r="1574" spans="2:6" ht="15.75" customHeight="1" x14ac:dyDescent="0.25">
      <c r="B1574" t="str">
        <v>Depth</v>
      </c>
      <c r="C1574" t="str">
        <v>Dexs</v>
      </c>
      <c r="D1574" t="str">
        <v>DEP</v>
      </c>
      <c r="E1574">
        <v>1236563.4509210412</v>
      </c>
      <c r="F1574">
        <v>13265.093103276999</v>
      </c>
    </row>
    <row r="1575" spans="2:6" ht="15.75" customHeight="1" x14ac:dyDescent="0.25">
      <c r="B1575" t="str">
        <v>Deq</v>
      </c>
      <c r="C1575" t="str">
        <v>Liquid Staking</v>
      </c>
      <c r="D1575" t="str">
        <v>-</v>
      </c>
      <c r="E1575">
        <v>230170.76081306045</v>
      </c>
      <c r="F1575">
        <v>0</v>
      </c>
    </row>
    <row r="1576" spans="2:6" ht="15.75" customHeight="1" x14ac:dyDescent="0.25">
      <c r="B1576" t="str">
        <v>Deri Protocol</v>
      </c>
      <c r="C1576" t="str">
        <v>Options</v>
      </c>
      <c r="D1576" t="str">
        <v>DERI</v>
      </c>
      <c r="E1576">
        <v>309649.05796015088</v>
      </c>
      <c r="F1576">
        <v>0</v>
      </c>
    </row>
    <row r="1577" spans="2:6" ht="15.75" customHeight="1" x14ac:dyDescent="0.25">
      <c r="B1577" t="str">
        <v>Deri V4</v>
      </c>
      <c r="C1577" t="str">
        <v>Options</v>
      </c>
      <c r="D1577" t="str">
        <v>DERI</v>
      </c>
      <c r="E1577">
        <v>10255816.926283412</v>
      </c>
      <c r="F1577">
        <v>0</v>
      </c>
    </row>
    <row r="1578" spans="2:6" ht="15.75" customHeight="1" x14ac:dyDescent="0.25">
      <c r="B1578" t="str">
        <v>Deridex</v>
      </c>
      <c r="C1578" t="str">
        <v>Derivatives</v>
      </c>
      <c r="D1578" t="str">
        <v>-</v>
      </c>
      <c r="E1578">
        <v>187.3356264262201</v>
      </c>
      <c r="F1578">
        <v>0</v>
      </c>
    </row>
    <row r="1579" spans="2:6" ht="15.75" customHeight="1" x14ac:dyDescent="0.25">
      <c r="B1579" t="str">
        <v>Derify Protocol</v>
      </c>
      <c r="C1579" t="str">
        <v>Dexs</v>
      </c>
      <c r="D1579" t="str">
        <v>DRF</v>
      </c>
      <c r="E1579">
        <v>50.092515691975514</v>
      </c>
      <c r="F1579">
        <v>0</v>
      </c>
    </row>
    <row r="1580" spans="2:6" ht="15.75" customHeight="1" x14ac:dyDescent="0.25">
      <c r="B1580" t="str">
        <v>DerivaDEX</v>
      </c>
      <c r="C1580" t="str">
        <v>Derivatives</v>
      </c>
      <c r="D1580" t="str">
        <v>DDX</v>
      </c>
      <c r="E1580">
        <v>1474037.1327016284</v>
      </c>
      <c r="F1580">
        <v>6177412.3493176727</v>
      </c>
    </row>
    <row r="1581" spans="2:6" ht="15.75" customHeight="1" x14ac:dyDescent="0.25">
      <c r="B1581" t="str">
        <v>Derive Options</v>
      </c>
      <c r="C1581" t="str">
        <v>Options</v>
      </c>
      <c r="D1581" t="str">
        <v>DRV</v>
      </c>
      <c r="E1581">
        <v>0</v>
      </c>
      <c r="F1581">
        <v>0</v>
      </c>
    </row>
    <row r="1582" spans="2:6" ht="15.75" customHeight="1" x14ac:dyDescent="0.25">
      <c r="B1582" t="str">
        <v>Derive V1</v>
      </c>
      <c r="C1582" t="str">
        <v>Options</v>
      </c>
      <c r="D1582" t="str">
        <v>DRV</v>
      </c>
      <c r="E1582">
        <v>1123979.1989431828</v>
      </c>
      <c r="F1582">
        <v>0</v>
      </c>
    </row>
    <row r="1583" spans="2:6" ht="15.75" customHeight="1" x14ac:dyDescent="0.25">
      <c r="B1583" t="str">
        <v>Derive V2</v>
      </c>
      <c r="C1583" t="str">
        <v>Derivatives</v>
      </c>
      <c r="D1583" t="str">
        <v>DRV</v>
      </c>
      <c r="E1583">
        <v>75573334.840598255</v>
      </c>
      <c r="F1583">
        <v>0</v>
      </c>
    </row>
    <row r="1584" spans="2:6" ht="15.75" customHeight="1" x14ac:dyDescent="0.25">
      <c r="B1584" t="str">
        <v>Derivio</v>
      </c>
      <c r="C1584" t="str">
        <v>Derivatives</v>
      </c>
      <c r="D1584" t="str">
        <v>-</v>
      </c>
      <c r="E1584">
        <v>130442.39514392131</v>
      </c>
      <c r="F1584">
        <v>0</v>
      </c>
    </row>
    <row r="1585" spans="2:6" ht="15.75" customHeight="1" x14ac:dyDescent="0.25">
      <c r="B1585" t="str">
        <v>DerpDEX</v>
      </c>
      <c r="C1585" t="str">
        <v>Dexs</v>
      </c>
      <c r="D1585" t="str">
        <v>-</v>
      </c>
      <c r="E1585">
        <v>30159.443125790982</v>
      </c>
      <c r="F1585">
        <v>0</v>
      </c>
    </row>
    <row r="1586" spans="2:6" ht="15.75" customHeight="1" x14ac:dyDescent="0.25">
      <c r="B1586" t="str">
        <v>DESK CLOB</v>
      </c>
      <c r="C1586" t="str">
        <v>Interface</v>
      </c>
      <c r="D1586" t="str">
        <v>-</v>
      </c>
      <c r="E1586">
        <v>5051.9754684919235</v>
      </c>
      <c r="F1586">
        <v>0</v>
      </c>
    </row>
    <row r="1587" spans="2:6" ht="15.75" customHeight="1" x14ac:dyDescent="0.25">
      <c r="B1587" t="str">
        <v>DESK Perps</v>
      </c>
      <c r="C1587" t="str">
        <v>Derivatives</v>
      </c>
      <c r="D1587" t="str">
        <v>-</v>
      </c>
      <c r="E1587">
        <v>0</v>
      </c>
      <c r="F1587">
        <v>0</v>
      </c>
    </row>
    <row r="1588" spans="2:6" ht="15.75" customHeight="1" x14ac:dyDescent="0.25">
      <c r="B1588" t="str">
        <v>DeSyn Basis Trading</v>
      </c>
      <c r="C1588" t="str">
        <v>Basis Trading</v>
      </c>
      <c r="D1588" t="str">
        <v>-</v>
      </c>
      <c r="E1588">
        <v>12750843.898700548</v>
      </c>
      <c r="F1588">
        <v>0</v>
      </c>
    </row>
    <row r="1589" spans="2:6" ht="15.75" customHeight="1" x14ac:dyDescent="0.25">
      <c r="B1589" t="str">
        <v>DeSyn Liquid Strategy</v>
      </c>
      <c r="C1589" t="str">
        <v>Yield Aggregator</v>
      </c>
      <c r="D1589" t="str">
        <v>-</v>
      </c>
      <c r="E1589">
        <v>34.898908705727834</v>
      </c>
      <c r="F1589">
        <v>0</v>
      </c>
    </row>
    <row r="1590" spans="2:6" ht="15.75" customHeight="1" x14ac:dyDescent="0.25">
      <c r="B1590" t="str">
        <v>DeSyn Safe</v>
      </c>
      <c r="C1590" t="str">
        <v>Farm</v>
      </c>
      <c r="D1590" t="str">
        <v>-</v>
      </c>
      <c r="E1590">
        <v>8175.3419546438263</v>
      </c>
      <c r="F1590">
        <v>0</v>
      </c>
    </row>
    <row r="1591" spans="2:6" ht="15.75" customHeight="1" x14ac:dyDescent="0.25">
      <c r="B1591" t="str">
        <v>Detto Finance</v>
      </c>
      <c r="C1591" t="str">
        <v>Farm</v>
      </c>
      <c r="D1591" t="str">
        <v>DETO</v>
      </c>
      <c r="E1591">
        <v>5669.3409712951307</v>
      </c>
      <c r="F1591">
        <v>7102.8495197321099</v>
      </c>
    </row>
    <row r="1592" spans="2:6" ht="15.75" customHeight="1" x14ac:dyDescent="0.25">
      <c r="B1592" t="str">
        <v>DEUS Finance</v>
      </c>
      <c r="C1592" t="str">
        <v>CDP</v>
      </c>
      <c r="D1592" t="str">
        <v>DEUS</v>
      </c>
      <c r="E1592">
        <v>0</v>
      </c>
      <c r="F1592">
        <v>731376.00711080071</v>
      </c>
    </row>
    <row r="1593" spans="2:6" ht="15.75" customHeight="1" x14ac:dyDescent="0.25">
      <c r="B1593" t="str">
        <v>Dev Protocol</v>
      </c>
      <c r="C1593" t="str">
        <v>Yield</v>
      </c>
      <c r="D1593" t="str">
        <v>DEV</v>
      </c>
      <c r="E1593">
        <v>0</v>
      </c>
      <c r="F1593">
        <v>126170.60611898646</v>
      </c>
    </row>
    <row r="1594" spans="2:6" ht="15.75" customHeight="1" x14ac:dyDescent="0.25">
      <c r="B1594" t="str">
        <v>Devil Finance</v>
      </c>
      <c r="C1594" t="str">
        <v>Yield</v>
      </c>
      <c r="D1594" t="str">
        <v>DEVIL</v>
      </c>
      <c r="E1594">
        <v>0</v>
      </c>
      <c r="F1594">
        <v>0</v>
      </c>
    </row>
    <row r="1595" spans="2:6" ht="15.75" customHeight="1" x14ac:dyDescent="0.25">
      <c r="B1595" t="str">
        <v>DevvE</v>
      </c>
      <c r="C1595" t="str">
        <v>Launchpad</v>
      </c>
      <c r="D1595" t="str">
        <v>DEVVE</v>
      </c>
      <c r="E1595">
        <v>0</v>
      </c>
      <c r="F1595">
        <v>16883325.485449925</v>
      </c>
    </row>
    <row r="1596" spans="2:6" ht="15.75" customHeight="1" x14ac:dyDescent="0.25">
      <c r="B1596" t="str">
        <v>DewFinance</v>
      </c>
      <c r="C1596" t="str">
        <v>Onchain Capital Allocator</v>
      </c>
      <c r="D1596" t="str">
        <v>-</v>
      </c>
      <c r="E1596">
        <v>95293.161287391398</v>
      </c>
      <c r="F1596">
        <v>0</v>
      </c>
    </row>
    <row r="1597" spans="2:6" ht="15.75" customHeight="1" x14ac:dyDescent="0.25">
      <c r="B1597" t="str">
        <v>DEX Screener</v>
      </c>
      <c r="C1597" t="str">
        <v>Coins Tracker</v>
      </c>
      <c r="D1597" t="str">
        <v>-</v>
      </c>
      <c r="E1597">
        <v>0</v>
      </c>
      <c r="F1597">
        <v>0</v>
      </c>
    </row>
    <row r="1598" spans="2:6" ht="15.75" customHeight="1" x14ac:dyDescent="0.25">
      <c r="B1598" t="str">
        <v>Dexalot DEX</v>
      </c>
      <c r="C1598" t="str">
        <v>Dexs</v>
      </c>
      <c r="D1598" t="str">
        <v>ALOT</v>
      </c>
      <c r="E1598">
        <v>3997004.0860110749</v>
      </c>
      <c r="F1598">
        <v>0</v>
      </c>
    </row>
    <row r="1599" spans="2:6" ht="15.75" customHeight="1" x14ac:dyDescent="0.25">
      <c r="B1599" t="str">
        <v>Dexalot Portfolio</v>
      </c>
      <c r="C1599" t="str">
        <v>Bridge</v>
      </c>
      <c r="D1599" t="str">
        <v>ALOT</v>
      </c>
      <c r="E1599">
        <v>9677185.1811484545</v>
      </c>
      <c r="F1599">
        <v>0</v>
      </c>
    </row>
    <row r="1600" spans="2:6" ht="15.75" customHeight="1" x14ac:dyDescent="0.25">
      <c r="B1600" t="str">
        <v>Dexari</v>
      </c>
      <c r="C1600" t="str">
        <v>Interface</v>
      </c>
      <c r="D1600" t="str">
        <v>-</v>
      </c>
      <c r="E1600">
        <v>0</v>
      </c>
      <c r="F1600">
        <v>0</v>
      </c>
    </row>
    <row r="1601" spans="2:6" ht="15.75" customHeight="1" x14ac:dyDescent="0.25">
      <c r="B1601" t="str">
        <v>DexFinance BSC</v>
      </c>
      <c r="C1601" t="str">
        <v>Yield Aggregator</v>
      </c>
      <c r="D1601" t="str">
        <v>dexSHARE</v>
      </c>
      <c r="E1601">
        <v>2.8024416877980338E-2</v>
      </c>
      <c r="F1601">
        <v>0</v>
      </c>
    </row>
    <row r="1602" spans="2:6" ht="15.75" customHeight="1" x14ac:dyDescent="0.25">
      <c r="B1602" t="str">
        <v>DexFinance ETF</v>
      </c>
      <c r="C1602" t="str">
        <v>Yield</v>
      </c>
      <c r="D1602" t="str">
        <v>GDEX</v>
      </c>
      <c r="E1602">
        <v>17121.392597029273</v>
      </c>
      <c r="F1602">
        <v>0</v>
      </c>
    </row>
    <row r="1603" spans="2:6" ht="15.75" customHeight="1" x14ac:dyDescent="0.25">
      <c r="B1603" t="str">
        <v>DexHunter</v>
      </c>
      <c r="C1603" t="str">
        <v>DEX Aggregator</v>
      </c>
      <c r="D1603" t="str">
        <v>HUNT</v>
      </c>
      <c r="E1603">
        <v>0</v>
      </c>
      <c r="F1603">
        <v>0</v>
      </c>
    </row>
    <row r="1604" spans="2:6" ht="15.75" customHeight="1" x14ac:dyDescent="0.25">
      <c r="B1604" t="str">
        <v>Dexible V2</v>
      </c>
      <c r="C1604" t="str">
        <v>DEX Aggregator</v>
      </c>
      <c r="D1604" t="str">
        <v>-</v>
      </c>
      <c r="E1604">
        <v>0</v>
      </c>
      <c r="F1604">
        <v>0</v>
      </c>
    </row>
    <row r="1605" spans="2:6" ht="15.75" customHeight="1" x14ac:dyDescent="0.25">
      <c r="B1605" t="str">
        <v>Dexilla</v>
      </c>
      <c r="C1605" t="str">
        <v>Dexs</v>
      </c>
      <c r="D1605" t="str">
        <v>-</v>
      </c>
      <c r="E1605">
        <v>149.29563769801385</v>
      </c>
      <c r="F1605">
        <v>0</v>
      </c>
    </row>
    <row r="1606" spans="2:6" ht="15.75" customHeight="1" x14ac:dyDescent="0.25">
      <c r="B1606" t="str">
        <v>Dexioprotocol</v>
      </c>
      <c r="C1606" t="str">
        <v>Gaming</v>
      </c>
      <c r="D1606" t="str">
        <v>DEXI</v>
      </c>
      <c r="E1606">
        <v>0</v>
      </c>
      <c r="F1606">
        <v>0</v>
      </c>
    </row>
    <row r="1607" spans="2:6" ht="15.75" customHeight="1" x14ac:dyDescent="0.25">
      <c r="B1607" t="str">
        <v>Dexit Finance Swap</v>
      </c>
      <c r="C1607" t="str">
        <v>Dexs</v>
      </c>
      <c r="D1607" t="str">
        <v>DXT</v>
      </c>
      <c r="E1607">
        <v>0</v>
      </c>
      <c r="F1607">
        <v>0</v>
      </c>
    </row>
    <row r="1608" spans="2:6" ht="15.75" customHeight="1" x14ac:dyDescent="0.25">
      <c r="B1608" t="str">
        <v>Dexland</v>
      </c>
      <c r="C1608" t="str">
        <v>Dexs</v>
      </c>
      <c r="D1608" t="str">
        <v>DXL</v>
      </c>
      <c r="E1608">
        <v>1.2904348193131405</v>
      </c>
      <c r="F1608">
        <v>0</v>
      </c>
    </row>
    <row r="1609" spans="2:6" ht="15.75" customHeight="1" x14ac:dyDescent="0.25">
      <c r="B1609" t="str">
        <v>Dexlyn Labs</v>
      </c>
      <c r="C1609" t="str">
        <v>Dexs</v>
      </c>
      <c r="D1609" t="str">
        <v>-</v>
      </c>
      <c r="E1609">
        <v>168071.06700859818</v>
      </c>
      <c r="F1609">
        <v>0</v>
      </c>
    </row>
    <row r="1610" spans="2:6" ht="15.75" customHeight="1" x14ac:dyDescent="0.25">
      <c r="B1610" t="str">
        <v>Dexodus Finance</v>
      </c>
      <c r="C1610" t="str">
        <v>Derivatives</v>
      </c>
      <c r="D1610" t="str">
        <v>-</v>
      </c>
      <c r="E1610">
        <v>1.3063563360761457</v>
      </c>
      <c r="F1610">
        <v>0</v>
      </c>
    </row>
    <row r="1611" spans="2:6" ht="15.75" customHeight="1" x14ac:dyDescent="0.25">
      <c r="B1611" t="str">
        <v>DexPad</v>
      </c>
      <c r="C1611" t="str">
        <v>Launchpad</v>
      </c>
      <c r="D1611" t="str">
        <v>DxP</v>
      </c>
      <c r="E1611">
        <v>45274.788894103469</v>
      </c>
      <c r="F1611">
        <v>0</v>
      </c>
    </row>
    <row r="1612" spans="2:6" ht="15.75" customHeight="1" x14ac:dyDescent="0.25">
      <c r="B1612" t="str">
        <v>dexSWAP</v>
      </c>
      <c r="C1612" t="str">
        <v>Dexs</v>
      </c>
      <c r="D1612" t="str">
        <v>GDEX</v>
      </c>
      <c r="E1612">
        <v>308.66783963891572</v>
      </c>
      <c r="F1612">
        <v>0</v>
      </c>
    </row>
    <row r="1613" spans="2:6" ht="15.75" customHeight="1" x14ac:dyDescent="0.25">
      <c r="B1613" t="str">
        <v>Dexter Exchange</v>
      </c>
      <c r="C1613" t="str">
        <v>Dexs</v>
      </c>
      <c r="D1613" t="str">
        <v>-</v>
      </c>
      <c r="E1613">
        <v>23993.958809280997</v>
      </c>
      <c r="F1613">
        <v>0</v>
      </c>
    </row>
    <row r="1614" spans="2:6" ht="15.75" customHeight="1" x14ac:dyDescent="0.25">
      <c r="B1614" t="str">
        <v>DEXTools</v>
      </c>
      <c r="C1614" t="str">
        <v>Coins Tracker</v>
      </c>
      <c r="D1614" t="str">
        <v>DEXT</v>
      </c>
      <c r="E1614">
        <v>0</v>
      </c>
      <c r="F1614">
        <v>13594483.251894606</v>
      </c>
    </row>
    <row r="1615" spans="2:6" ht="15.75" customHeight="1" x14ac:dyDescent="0.25">
      <c r="B1615" t="str">
        <v>DexToro</v>
      </c>
      <c r="C1615" t="str">
        <v>Trading App</v>
      </c>
      <c r="D1615" t="str">
        <v>DTR</v>
      </c>
      <c r="E1615">
        <v>0</v>
      </c>
      <c r="F1615">
        <v>0</v>
      </c>
    </row>
    <row r="1616" spans="2:6" ht="15.75" customHeight="1" x14ac:dyDescent="0.25">
      <c r="B1616" t="str">
        <v>dextrabot</v>
      </c>
      <c r="C1616" t="str">
        <v>Interface</v>
      </c>
      <c r="D1616" t="str">
        <v>-</v>
      </c>
      <c r="E1616">
        <v>0</v>
      </c>
      <c r="F1616">
        <v>0</v>
      </c>
    </row>
    <row r="1617" spans="2:6" ht="15.75" customHeight="1" x14ac:dyDescent="0.25">
      <c r="B1617" t="str">
        <v>dexVAULTS</v>
      </c>
      <c r="C1617" t="str">
        <v>Yield</v>
      </c>
      <c r="D1617" t="str">
        <v>GDEX</v>
      </c>
      <c r="E1617">
        <v>22345.882059731601</v>
      </c>
      <c r="F1617">
        <v>0</v>
      </c>
    </row>
    <row r="1618" spans="2:6" ht="15.75" customHeight="1" x14ac:dyDescent="0.25">
      <c r="B1618" t="str">
        <v>Dezswap</v>
      </c>
      <c r="C1618" t="str">
        <v>Dexs</v>
      </c>
      <c r="D1618" t="str">
        <v>-</v>
      </c>
      <c r="E1618">
        <v>348947.52174665307</v>
      </c>
      <c r="F1618">
        <v>0</v>
      </c>
    </row>
    <row r="1619" spans="2:6" ht="15.75" customHeight="1" x14ac:dyDescent="0.25">
      <c r="B1619" t="str">
        <v>DFDV Staked SOL</v>
      </c>
      <c r="C1619" t="str">
        <v>Liquid Staking</v>
      </c>
      <c r="D1619" t="str">
        <v>-</v>
      </c>
      <c r="E1619">
        <v>59350911.601330362</v>
      </c>
      <c r="F1619">
        <v>0</v>
      </c>
    </row>
    <row r="1620" spans="2:6" ht="15.75" customHeight="1" x14ac:dyDescent="0.25">
      <c r="B1620" t="str">
        <v>dfdvSOL</v>
      </c>
      <c r="C1620" t="str">
        <v>Liquid Staking</v>
      </c>
      <c r="D1620" t="str">
        <v>-</v>
      </c>
      <c r="E1620">
        <v>0</v>
      </c>
      <c r="F1620">
        <v>0</v>
      </c>
    </row>
    <row r="1621" spans="2:6" ht="15.75" customHeight="1" x14ac:dyDescent="0.25">
      <c r="B1621" t="str">
        <v>DFlow</v>
      </c>
      <c r="C1621" t="str">
        <v>DEX Aggregator</v>
      </c>
      <c r="D1621" t="str">
        <v>-</v>
      </c>
      <c r="E1621">
        <v>0</v>
      </c>
      <c r="F1621">
        <v>0</v>
      </c>
    </row>
    <row r="1622" spans="2:6" ht="15.75" customHeight="1" x14ac:dyDescent="0.25">
      <c r="B1622" t="str">
        <v>dForce</v>
      </c>
      <c r="C1622" t="str">
        <v>Lending</v>
      </c>
      <c r="D1622" t="str">
        <v>DF</v>
      </c>
      <c r="E1622">
        <v>1027603.9614264611</v>
      </c>
      <c r="F1622">
        <v>11954346.822833475</v>
      </c>
    </row>
    <row r="1623" spans="2:6" ht="15.75" customHeight="1" x14ac:dyDescent="0.25">
      <c r="B1623" t="str">
        <v>DFS Network</v>
      </c>
      <c r="C1623" t="str">
        <v>Dexs</v>
      </c>
      <c r="D1623" t="str">
        <v>DFS</v>
      </c>
      <c r="E1623">
        <v>4831787.779379311</v>
      </c>
      <c r="F1623">
        <v>0</v>
      </c>
    </row>
    <row r="1624" spans="2:6" ht="15.75" customHeight="1" x14ac:dyDescent="0.25">
      <c r="B1624" t="str">
        <v>DFS V2</v>
      </c>
      <c r="C1624" t="str">
        <v>Dexs</v>
      </c>
      <c r="D1624" t="str">
        <v>-</v>
      </c>
      <c r="E1624">
        <v>262413.47096712264</v>
      </c>
      <c r="F1624">
        <v>0</v>
      </c>
    </row>
    <row r="1625" spans="2:6" ht="15.75" customHeight="1" x14ac:dyDescent="0.25">
      <c r="B1625" t="str">
        <v>DFS V3</v>
      </c>
      <c r="C1625" t="str">
        <v>Dexs</v>
      </c>
      <c r="D1625" t="str">
        <v>-</v>
      </c>
      <c r="E1625">
        <v>8137.9811789735295</v>
      </c>
      <c r="F1625">
        <v>0</v>
      </c>
    </row>
    <row r="1626" spans="2:6" ht="15.75" customHeight="1" x14ac:dyDescent="0.25">
      <c r="B1626" t="str">
        <v>DFX V2</v>
      </c>
      <c r="C1626" t="str">
        <v>Dexs</v>
      </c>
      <c r="D1626" t="str">
        <v>DFX</v>
      </c>
      <c r="E1626">
        <v>79483.078263473901</v>
      </c>
      <c r="F1626">
        <v>0</v>
      </c>
    </row>
    <row r="1627" spans="2:6" ht="15.75" customHeight="1" x14ac:dyDescent="0.25">
      <c r="B1627" t="str">
        <v>DFX V3</v>
      </c>
      <c r="C1627" t="str">
        <v>Dexs</v>
      </c>
      <c r="D1627" t="str">
        <v>DFX</v>
      </c>
      <c r="E1627">
        <v>39192.117835553967</v>
      </c>
      <c r="F1627">
        <v>0</v>
      </c>
    </row>
    <row r="1628" spans="2:6" ht="15.75" customHeight="1" x14ac:dyDescent="0.25">
      <c r="B1628" t="str">
        <v>Dfyn Network</v>
      </c>
      <c r="C1628" t="str">
        <v>Dexs</v>
      </c>
      <c r="D1628" t="str">
        <v>DFYN</v>
      </c>
      <c r="E1628">
        <v>482701.95335076272</v>
      </c>
      <c r="F1628">
        <v>344817.0966571903</v>
      </c>
    </row>
    <row r="1629" spans="2:6" ht="15.75" customHeight="1" x14ac:dyDescent="0.25">
      <c r="B1629" t="str">
        <v>dHEDGE Vaults</v>
      </c>
      <c r="C1629" t="str">
        <v>Indexes</v>
      </c>
      <c r="D1629" t="str">
        <v>DHT</v>
      </c>
      <c r="E1629">
        <v>20450715.393699348</v>
      </c>
      <c r="F1629">
        <v>0</v>
      </c>
    </row>
    <row r="1630" spans="2:6" ht="15.75" customHeight="1" x14ac:dyDescent="0.25">
      <c r="B1630" t="str">
        <v>Diamond Coin</v>
      </c>
      <c r="C1630" t="str">
        <v>Gaming</v>
      </c>
      <c r="D1630" t="str">
        <v>DIAMOND</v>
      </c>
      <c r="E1630">
        <v>0</v>
      </c>
      <c r="F1630">
        <v>0</v>
      </c>
    </row>
    <row r="1631" spans="2:6" ht="15.75" customHeight="1" x14ac:dyDescent="0.25">
      <c r="B1631" t="str">
        <v>Diamond Protocol V1</v>
      </c>
      <c r="C1631" t="str">
        <v>Yield</v>
      </c>
      <c r="D1631" t="str">
        <v>-</v>
      </c>
      <c r="E1631">
        <v>14720.447404702754</v>
      </c>
      <c r="F1631">
        <v>0</v>
      </c>
    </row>
    <row r="1632" spans="2:6" ht="15.75" customHeight="1" x14ac:dyDescent="0.25">
      <c r="B1632" t="str">
        <v>Diamond Protocol V2</v>
      </c>
      <c r="C1632" t="str">
        <v>Liquidity manager</v>
      </c>
      <c r="D1632" t="str">
        <v>-</v>
      </c>
      <c r="E1632">
        <v>8275.0075933432963</v>
      </c>
      <c r="F1632">
        <v>0</v>
      </c>
    </row>
    <row r="1633" spans="2:6" ht="15.75" customHeight="1" x14ac:dyDescent="0.25">
      <c r="B1633" t="str">
        <v>Diamondswap</v>
      </c>
      <c r="C1633" t="str">
        <v>Dexs</v>
      </c>
      <c r="D1633" t="str">
        <v>-</v>
      </c>
      <c r="E1633">
        <v>407440.02456616366</v>
      </c>
      <c r="F1633">
        <v>0</v>
      </c>
    </row>
    <row r="1634" spans="2:6" ht="15.75" customHeight="1" x14ac:dyDescent="0.25">
      <c r="B1634" t="str">
        <v>Dibs Money</v>
      </c>
      <c r="C1634" t="str">
        <v>Algo-Stables</v>
      </c>
      <c r="D1634" t="str">
        <v>DIBS</v>
      </c>
      <c r="E1634">
        <v>0</v>
      </c>
      <c r="F1634">
        <v>0</v>
      </c>
    </row>
    <row r="1635" spans="2:6" ht="15.75" customHeight="1" x14ac:dyDescent="0.25">
      <c r="B1635" t="str">
        <v>Diesel Dex</v>
      </c>
      <c r="C1635" t="str">
        <v>Dexs</v>
      </c>
      <c r="D1635" t="str">
        <v>-</v>
      </c>
      <c r="E1635">
        <v>13618.667759684815</v>
      </c>
      <c r="F1635">
        <v>0</v>
      </c>
    </row>
    <row r="1636" spans="2:6" ht="15.75" customHeight="1" x14ac:dyDescent="0.25">
      <c r="B1636" t="str">
        <v>Diffusion Finance</v>
      </c>
      <c r="C1636" t="str">
        <v>Dexs</v>
      </c>
      <c r="D1636" t="str">
        <v>DIFF</v>
      </c>
      <c r="E1636">
        <v>31351.179985340477</v>
      </c>
      <c r="F1636">
        <v>9305.98752772222</v>
      </c>
    </row>
    <row r="1637" spans="2:6" ht="15.75" customHeight="1" x14ac:dyDescent="0.25">
      <c r="B1637" t="str">
        <v>DigiFT</v>
      </c>
      <c r="C1637" t="str">
        <v>RWA</v>
      </c>
      <c r="D1637" t="str">
        <v>-</v>
      </c>
      <c r="E1637">
        <v>138506537.0151729</v>
      </c>
      <c r="F1637">
        <v>0</v>
      </c>
    </row>
    <row r="1638" spans="2:6" ht="15.75" customHeight="1" x14ac:dyDescent="0.25">
      <c r="B1638" t="str">
        <v>Dinari</v>
      </c>
      <c r="C1638" t="str">
        <v>RWA</v>
      </c>
      <c r="D1638" t="str">
        <v>-</v>
      </c>
      <c r="E1638">
        <v>45423252.946346849</v>
      </c>
      <c r="F1638">
        <v>0</v>
      </c>
    </row>
    <row r="1639" spans="2:6" ht="15.75" customHeight="1" x14ac:dyDescent="0.25">
      <c r="B1639" t="str">
        <v>Dinero (pxETH)</v>
      </c>
      <c r="C1639" t="str">
        <v>Liquid Staking</v>
      </c>
      <c r="D1639" t="str">
        <v>-</v>
      </c>
      <c r="E1639">
        <v>20133327.792687286</v>
      </c>
      <c r="F1639">
        <v>0</v>
      </c>
    </row>
    <row r="1640" spans="2:6" ht="15.75" customHeight="1" x14ac:dyDescent="0.25">
      <c r="B1640" t="str">
        <v>Dino.Exchange</v>
      </c>
      <c r="C1640" t="str">
        <v>Dexs</v>
      </c>
      <c r="D1640" t="str">
        <v>DINO</v>
      </c>
      <c r="E1640">
        <v>7587.9518225024494</v>
      </c>
      <c r="F1640">
        <v>10256.523233796333</v>
      </c>
    </row>
    <row r="1641" spans="2:6" ht="15.75" customHeight="1" x14ac:dyDescent="0.25">
      <c r="B1641" t="str">
        <v>DinoPool</v>
      </c>
      <c r="C1641" t="str">
        <v>Algo-Stables</v>
      </c>
      <c r="D1641" t="str">
        <v>DINOP</v>
      </c>
      <c r="E1641">
        <v>0</v>
      </c>
      <c r="F1641">
        <v>0</v>
      </c>
    </row>
    <row r="1642" spans="2:6" ht="15.75" customHeight="1" x14ac:dyDescent="0.25">
      <c r="B1642" t="str">
        <v>Dinosaur Eggs</v>
      </c>
      <c r="C1642" t="str">
        <v>Dexs</v>
      </c>
      <c r="D1642" t="str">
        <v>DSG</v>
      </c>
      <c r="E1642">
        <v>958230.73045064521</v>
      </c>
      <c r="F1642">
        <v>0</v>
      </c>
    </row>
    <row r="1643" spans="2:6" ht="15.75" customHeight="1" x14ac:dyDescent="0.25">
      <c r="B1643" t="str">
        <v>Dinosaur.Finance</v>
      </c>
      <c r="C1643" t="str">
        <v>Yield Aggregator</v>
      </c>
      <c r="D1643" t="str">
        <v>DINO</v>
      </c>
      <c r="E1643">
        <v>0.13554593851142827</v>
      </c>
      <c r="F1643">
        <v>0</v>
      </c>
    </row>
    <row r="1644" spans="2:6" ht="15.75" customHeight="1" x14ac:dyDescent="0.25">
      <c r="B1644" t="str">
        <v>DinoSwap</v>
      </c>
      <c r="C1644" t="str">
        <v>Dexs</v>
      </c>
      <c r="D1644" t="str">
        <v>DINO</v>
      </c>
      <c r="E1644">
        <v>28906.696418207066</v>
      </c>
      <c r="F1644">
        <v>79451.676313749253</v>
      </c>
    </row>
    <row r="1645" spans="2:6" ht="15.75" customHeight="1" x14ac:dyDescent="0.25">
      <c r="B1645" t="str">
        <v>Dinotopia Finance</v>
      </c>
      <c r="C1645" t="str">
        <v>Algo-Stables</v>
      </c>
      <c r="D1645" t="str">
        <v>FOSSIL</v>
      </c>
      <c r="E1645">
        <v>1.2435472970329278</v>
      </c>
      <c r="F1645">
        <v>0</v>
      </c>
    </row>
    <row r="1646" spans="2:6" ht="15.75" customHeight="1" x14ac:dyDescent="0.25">
      <c r="B1646" t="str">
        <v>Dios Finance</v>
      </c>
      <c r="C1646" t="str">
        <v>Reserve Currency</v>
      </c>
      <c r="D1646" t="str">
        <v>DIOS</v>
      </c>
      <c r="E1646">
        <v>6.3777258086384857E-10</v>
      </c>
      <c r="F1646">
        <v>28942.026259586135</v>
      </c>
    </row>
    <row r="1647" spans="2:6" ht="15.75" customHeight="1" x14ac:dyDescent="0.25">
      <c r="B1647" t="str">
        <v>DIP Exchange</v>
      </c>
      <c r="C1647" t="str">
        <v>Derivatives</v>
      </c>
      <c r="D1647" t="str">
        <v>DIP</v>
      </c>
      <c r="E1647">
        <v>5383.6715498424874</v>
      </c>
      <c r="F1647">
        <v>0</v>
      </c>
    </row>
    <row r="1648" spans="2:6" ht="15.75" customHeight="1" x14ac:dyDescent="0.25">
      <c r="B1648" t="str">
        <v>DipCoin Perps</v>
      </c>
      <c r="C1648" t="str">
        <v>Derivatives</v>
      </c>
      <c r="D1648" t="str">
        <v>-</v>
      </c>
      <c r="E1648">
        <v>1829427.4283015754</v>
      </c>
      <c r="F1648">
        <v>0</v>
      </c>
    </row>
    <row r="1649" spans="2:6" ht="15.75" customHeight="1" x14ac:dyDescent="0.25">
      <c r="B1649" t="str">
        <v>DipCoin Spot</v>
      </c>
      <c r="C1649" t="str">
        <v>Dexs</v>
      </c>
      <c r="D1649" t="str">
        <v>-</v>
      </c>
      <c r="E1649">
        <v>1129662.8845885489</v>
      </c>
      <c r="F1649">
        <v>0</v>
      </c>
    </row>
    <row r="1650" spans="2:6" ht="15.75" customHeight="1" x14ac:dyDescent="0.25">
      <c r="B1650" t="str">
        <v>Dirac Finance</v>
      </c>
      <c r="C1650" t="str">
        <v>Options Vault</v>
      </c>
      <c r="D1650" t="str">
        <v>-</v>
      </c>
      <c r="E1650">
        <v>2084.4394094326285</v>
      </c>
      <c r="F1650">
        <v>0</v>
      </c>
    </row>
    <row r="1651" spans="2:6" ht="15.75" customHeight="1" x14ac:dyDescent="0.25">
      <c r="B1651" t="str">
        <v>Direct Exchange</v>
      </c>
      <c r="C1651" t="str">
        <v>Dexs</v>
      </c>
      <c r="D1651" t="str">
        <v>-</v>
      </c>
      <c r="E1651">
        <v>0</v>
      </c>
      <c r="F1651">
        <v>0</v>
      </c>
    </row>
    <row r="1652" spans="2:6" ht="15.75" customHeight="1" x14ac:dyDescent="0.25">
      <c r="B1652" t="str">
        <v>Dirol</v>
      </c>
      <c r="C1652" t="str">
        <v>DEX Aggregator</v>
      </c>
      <c r="D1652" t="str">
        <v>-</v>
      </c>
      <c r="E1652">
        <v>0</v>
      </c>
      <c r="F1652">
        <v>0</v>
      </c>
    </row>
    <row r="1653" spans="2:6" ht="15.75" customHeight="1" x14ac:dyDescent="0.25">
      <c r="B1653" t="str">
        <v>Ditto</v>
      </c>
      <c r="C1653" t="str">
        <v>Liquid Staking</v>
      </c>
      <c r="D1653" t="str">
        <v>-</v>
      </c>
      <c r="E1653">
        <v>89088.135760573467</v>
      </c>
      <c r="F1653">
        <v>0</v>
      </c>
    </row>
    <row r="1654" spans="2:6" ht="15.75" customHeight="1" x14ac:dyDescent="0.25">
      <c r="B1654" t="str">
        <v>DiviSwap</v>
      </c>
      <c r="C1654" t="str">
        <v>Dexs</v>
      </c>
      <c r="D1654" t="str">
        <v>-</v>
      </c>
      <c r="E1654">
        <v>21392.931596686783</v>
      </c>
      <c r="F1654">
        <v>0</v>
      </c>
    </row>
    <row r="1655" spans="2:6" ht="15.75" customHeight="1" x14ac:dyDescent="0.25">
      <c r="B1655" t="str">
        <v>Divvy.Bet</v>
      </c>
      <c r="C1655" t="str">
        <v>Prediction Market</v>
      </c>
      <c r="D1655" t="str">
        <v>DVY</v>
      </c>
      <c r="E1655">
        <v>137010.98181838254</v>
      </c>
      <c r="F1655">
        <v>191645.34030297567</v>
      </c>
    </row>
    <row r="1656" spans="2:6" ht="15.75" customHeight="1" x14ac:dyDescent="0.25">
      <c r="B1656" t="str">
        <v>Djed Stablecoin</v>
      </c>
      <c r="C1656" t="str">
        <v>Dual-Token Stablecoin</v>
      </c>
      <c r="D1656" t="str">
        <v>-</v>
      </c>
      <c r="E1656">
        <v>12798201.587575361</v>
      </c>
      <c r="F1656">
        <v>0</v>
      </c>
    </row>
    <row r="1657" spans="2:6" ht="15.75" customHeight="1" x14ac:dyDescent="0.25">
      <c r="B1657" t="str">
        <v>DMD Finance</v>
      </c>
      <c r="C1657" t="str">
        <v>Yield</v>
      </c>
      <c r="D1657" t="str">
        <v>DMD</v>
      </c>
      <c r="E1657">
        <v>143158.95870893702</v>
      </c>
      <c r="F1657">
        <v>0</v>
      </c>
    </row>
    <row r="1658" spans="2:6" ht="15.75" customHeight="1" x14ac:dyDescent="0.25">
      <c r="B1658" t="str">
        <v>DNA</v>
      </c>
      <c r="C1658" t="str">
        <v>Farm</v>
      </c>
      <c r="D1658" t="str">
        <v>DNA</v>
      </c>
      <c r="E1658">
        <v>0</v>
      </c>
      <c r="F1658">
        <v>236784.11573056367</v>
      </c>
    </row>
    <row r="1659" spans="2:6" ht="15.75" customHeight="1" x14ac:dyDescent="0.25">
      <c r="B1659" t="str">
        <v>DNA Dollar</v>
      </c>
      <c r="C1659" t="str">
        <v>Algo-Stables</v>
      </c>
      <c r="D1659" t="str">
        <v>DNA</v>
      </c>
      <c r="E1659">
        <v>0</v>
      </c>
      <c r="F1659">
        <v>0</v>
      </c>
    </row>
    <row r="1660" spans="2:6" ht="15.75" customHeight="1" x14ac:dyDescent="0.25">
      <c r="B1660" t="str">
        <v>Dnax</v>
      </c>
      <c r="C1660" t="str">
        <v>Dexs</v>
      </c>
      <c r="D1660" t="str">
        <v>-</v>
      </c>
      <c r="E1660">
        <v>5777803.3001590315</v>
      </c>
      <c r="F1660">
        <v>0</v>
      </c>
    </row>
    <row r="1661" spans="2:6" ht="15.75" customHeight="1" x14ac:dyDescent="0.25">
      <c r="B1661" t="str">
        <v>DODO Agg</v>
      </c>
      <c r="C1661" t="str">
        <v>DEX Aggregator</v>
      </c>
      <c r="D1661" t="str">
        <v>DODO</v>
      </c>
      <c r="E1661">
        <v>0</v>
      </c>
      <c r="F1661">
        <v>0</v>
      </c>
    </row>
    <row r="1662" spans="2:6" ht="15.75" customHeight="1" x14ac:dyDescent="0.25">
      <c r="B1662" t="str">
        <v>DODO AMM</v>
      </c>
      <c r="C1662" t="str">
        <v>Dexs</v>
      </c>
      <c r="D1662" t="str">
        <v>DODO</v>
      </c>
      <c r="E1662">
        <v>18534721.088400792</v>
      </c>
      <c r="F1662">
        <v>0</v>
      </c>
    </row>
    <row r="1663" spans="2:6" ht="15.75" customHeight="1" x14ac:dyDescent="0.25">
      <c r="B1663" t="str">
        <v>Doge Compounder</v>
      </c>
      <c r="C1663" t="str">
        <v>Yield Aggregator</v>
      </c>
      <c r="D1663" t="str">
        <v>-</v>
      </c>
      <c r="E1663">
        <v>73.328763926609298</v>
      </c>
      <c r="F1663">
        <v>0</v>
      </c>
    </row>
    <row r="1664" spans="2:6" ht="15.75" customHeight="1" x14ac:dyDescent="0.25">
      <c r="B1664" t="str">
        <v>Doge Shrek</v>
      </c>
      <c r="C1664" t="str">
        <v>Dexs</v>
      </c>
      <c r="D1664" t="str">
        <v>DOGESHREK</v>
      </c>
      <c r="E1664">
        <v>0</v>
      </c>
      <c r="F1664">
        <v>119611.29673362953</v>
      </c>
    </row>
    <row r="1665" spans="2:6" ht="15.75" customHeight="1" x14ac:dyDescent="0.25">
      <c r="B1665" t="str">
        <v>DogeClaw</v>
      </c>
      <c r="C1665" t="str">
        <v>Gaming</v>
      </c>
      <c r="D1665" t="str">
        <v>CLAW</v>
      </c>
      <c r="E1665">
        <v>9.9790445698344605</v>
      </c>
      <c r="F1665">
        <v>0</v>
      </c>
    </row>
    <row r="1666" spans="2:6" ht="15.75" customHeight="1" x14ac:dyDescent="0.25">
      <c r="B1666" t="str">
        <v>DogeDollar</v>
      </c>
      <c r="C1666" t="str">
        <v>Dual-Token Stablecoin</v>
      </c>
      <c r="D1666" t="str">
        <v>DUSD</v>
      </c>
      <c r="E1666">
        <v>4878.3847937261125</v>
      </c>
      <c r="F1666">
        <v>0</v>
      </c>
    </row>
    <row r="1667" spans="2:6" ht="15.75" customHeight="1" x14ac:dyDescent="0.25">
      <c r="B1667" t="str">
        <v>DogeMuskSwap</v>
      </c>
      <c r="C1667" t="str">
        <v>Dexs</v>
      </c>
      <c r="D1667" t="str">
        <v>DMUSK</v>
      </c>
      <c r="E1667">
        <v>700.18406443338063</v>
      </c>
      <c r="F1667">
        <v>0</v>
      </c>
    </row>
    <row r="1668" spans="2:6" ht="15.75" customHeight="1" x14ac:dyDescent="0.25">
      <c r="B1668" t="str">
        <v>DogePup</v>
      </c>
      <c r="C1668" t="str">
        <v>Farm</v>
      </c>
      <c r="D1668" t="str">
        <v>DOGEPUP</v>
      </c>
      <c r="E1668">
        <v>57.090650233987283</v>
      </c>
      <c r="F1668">
        <v>0</v>
      </c>
    </row>
    <row r="1669" spans="2:6" ht="15.75" customHeight="1" x14ac:dyDescent="0.25">
      <c r="B1669" t="str">
        <v>Dogeswap</v>
      </c>
      <c r="C1669" t="str">
        <v>Farm</v>
      </c>
      <c r="D1669" t="str">
        <v>DOGES</v>
      </c>
      <c r="E1669">
        <v>0</v>
      </c>
      <c r="F1669">
        <v>0</v>
      </c>
    </row>
    <row r="1670" spans="2:6" ht="15.75" customHeight="1" x14ac:dyDescent="0.25">
      <c r="B1670" t="str">
        <v>DogeSwapOrg</v>
      </c>
      <c r="C1670" t="str">
        <v>Dexs</v>
      </c>
      <c r="D1670" t="str">
        <v>-</v>
      </c>
      <c r="E1670">
        <v>864631.44571805478</v>
      </c>
      <c r="F1670">
        <v>0</v>
      </c>
    </row>
    <row r="1671" spans="2:6" ht="15.75" customHeight="1" x14ac:dyDescent="0.25">
      <c r="B1671" t="str">
        <v>Dogewhale</v>
      </c>
      <c r="C1671" t="str">
        <v>Reserve Currency</v>
      </c>
      <c r="D1671" t="str">
        <v>DOGEWHALE</v>
      </c>
      <c r="E1671">
        <v>45.438063393385747</v>
      </c>
      <c r="F1671">
        <v>261794.15226706924</v>
      </c>
    </row>
    <row r="1672" spans="2:6" ht="15.75" customHeight="1" x14ac:dyDescent="0.25">
      <c r="B1672" t="str">
        <v>Dogium Farm</v>
      </c>
      <c r="C1672" t="str">
        <v>Dexs</v>
      </c>
      <c r="D1672" t="str">
        <v>DOGIUM</v>
      </c>
      <c r="E1672">
        <v>63.025803911193734</v>
      </c>
      <c r="F1672">
        <v>0</v>
      </c>
    </row>
    <row r="1673" spans="2:6" ht="15.75" customHeight="1" x14ac:dyDescent="0.25">
      <c r="B1673" t="str">
        <v>Doglands Swap</v>
      </c>
      <c r="C1673" t="str">
        <v>Dexs</v>
      </c>
      <c r="D1673" t="str">
        <v>GIL</v>
      </c>
      <c r="E1673">
        <v>0</v>
      </c>
      <c r="F1673">
        <v>0</v>
      </c>
    </row>
    <row r="1674" spans="2:6" ht="15.75" customHeight="1" x14ac:dyDescent="0.25">
      <c r="B1674" t="str">
        <v>DogMoney</v>
      </c>
      <c r="C1674" t="str">
        <v>Dexs</v>
      </c>
      <c r="D1674" t="str">
        <v>DOGMONEY</v>
      </c>
      <c r="E1674">
        <v>4399.4527065821858</v>
      </c>
      <c r="F1674">
        <v>0</v>
      </c>
    </row>
    <row r="1675" spans="2:6" ht="15.75" customHeight="1" x14ac:dyDescent="0.25">
      <c r="B1675" t="str">
        <v>Dogs of Elon</v>
      </c>
      <c r="C1675" t="str">
        <v>Farm</v>
      </c>
      <c r="D1675" t="str">
        <v>DOE</v>
      </c>
      <c r="E1675">
        <v>0</v>
      </c>
      <c r="F1675">
        <v>1439.4317525292233</v>
      </c>
    </row>
    <row r="1676" spans="2:6" ht="15.75" customHeight="1" x14ac:dyDescent="0.25">
      <c r="B1676" t="str">
        <v>DogSwap</v>
      </c>
      <c r="C1676" t="str">
        <v>Dexs</v>
      </c>
      <c r="D1676" t="str">
        <v>-</v>
      </c>
      <c r="E1676">
        <v>8118.3525469899532</v>
      </c>
      <c r="F1676">
        <v>0</v>
      </c>
    </row>
    <row r="1677" spans="2:6" ht="15.75" customHeight="1" x14ac:dyDescent="0.25">
      <c r="B1677" t="str">
        <v>Dojoswap AMM</v>
      </c>
      <c r="C1677" t="str">
        <v>Dexs</v>
      </c>
      <c r="D1677" t="str">
        <v>DOJO</v>
      </c>
      <c r="E1677">
        <v>421994.71901162929</v>
      </c>
      <c r="F1677">
        <v>0</v>
      </c>
    </row>
    <row r="1678" spans="2:6" ht="15.75" customHeight="1" x14ac:dyDescent="0.25">
      <c r="B1678" t="str">
        <v>Dojoswap LSD</v>
      </c>
      <c r="C1678" t="str">
        <v>Liquid Staking</v>
      </c>
      <c r="D1678" t="str">
        <v>DOJO</v>
      </c>
      <c r="E1678">
        <v>91501.451598964253</v>
      </c>
      <c r="F1678">
        <v>0</v>
      </c>
    </row>
    <row r="1679" spans="2:6" ht="15.75" customHeight="1" x14ac:dyDescent="0.25">
      <c r="B1679" t="str">
        <v>Doki Doki Finance</v>
      </c>
      <c r="C1679" t="str">
        <v>Yield</v>
      </c>
      <c r="D1679" t="str">
        <v>DOKI</v>
      </c>
      <c r="E1679">
        <v>0</v>
      </c>
      <c r="F1679">
        <v>0</v>
      </c>
    </row>
    <row r="1680" spans="2:6" ht="15.75" customHeight="1" x14ac:dyDescent="0.25">
      <c r="B1680" t="str">
        <v>Dolomite</v>
      </c>
      <c r="C1680" t="str">
        <v>Lending</v>
      </c>
      <c r="D1680" t="str">
        <v>DOLO</v>
      </c>
      <c r="E1680">
        <v>111860817.31696558</v>
      </c>
      <c r="F1680">
        <v>20480444.446553204</v>
      </c>
    </row>
    <row r="1681" spans="2:6" ht="15.75" customHeight="1" x14ac:dyDescent="0.25">
      <c r="B1681" t="str">
        <v>DolphinSwap</v>
      </c>
      <c r="C1681" t="str">
        <v>Dexs</v>
      </c>
      <c r="D1681" t="str">
        <v>DOP</v>
      </c>
      <c r="E1681">
        <v>2680.3526777848319</v>
      </c>
      <c r="F1681">
        <v>0</v>
      </c>
    </row>
    <row r="1682" spans="2:6" ht="15.75" customHeight="1" x14ac:dyDescent="0.25">
      <c r="B1682" t="str">
        <v>Doma</v>
      </c>
      <c r="C1682" t="str">
        <v>Yield</v>
      </c>
      <c r="D1682" t="str">
        <v>-</v>
      </c>
      <c r="E1682">
        <v>16914.235154437167</v>
      </c>
      <c r="F1682">
        <v>0</v>
      </c>
    </row>
    <row r="1683" spans="2:6" ht="15.75" customHeight="1" x14ac:dyDescent="0.25">
      <c r="B1683" t="str">
        <v>Domani Protocol</v>
      </c>
      <c r="C1683" t="str">
        <v>Indexes</v>
      </c>
      <c r="D1683" t="str">
        <v>DEXTF</v>
      </c>
      <c r="E1683">
        <v>177688.90314295108</v>
      </c>
      <c r="F1683">
        <v>7544179.4207779225</v>
      </c>
    </row>
    <row r="1684" spans="2:6" ht="15.75" customHeight="1" x14ac:dyDescent="0.25">
      <c r="B1684" t="str">
        <v>Domination Finance</v>
      </c>
      <c r="C1684" t="str">
        <v>Synthetics</v>
      </c>
      <c r="D1684" t="str">
        <v>-</v>
      </c>
      <c r="E1684">
        <v>42480.982975053921</v>
      </c>
      <c r="F1684">
        <v>0</v>
      </c>
    </row>
    <row r="1685" spans="2:6" ht="15.75" customHeight="1" x14ac:dyDescent="0.25">
      <c r="B1685" t="str">
        <v>DONASWAP V2</v>
      </c>
      <c r="C1685" t="str">
        <v>Dexs</v>
      </c>
      <c r="D1685" t="str">
        <v>-</v>
      </c>
      <c r="E1685">
        <v>1.0180186883660742</v>
      </c>
      <c r="F1685">
        <v>0</v>
      </c>
    </row>
    <row r="1686" spans="2:6" ht="15.75" customHeight="1" x14ac:dyDescent="0.25">
      <c r="B1686" t="str">
        <v>Donkeswap</v>
      </c>
      <c r="C1686" t="str">
        <v>Dexs</v>
      </c>
      <c r="D1686" t="str">
        <v>-</v>
      </c>
      <c r="E1686">
        <v>744.55114600344371</v>
      </c>
      <c r="F1686">
        <v>0</v>
      </c>
    </row>
    <row r="1687" spans="2:6" ht="15.75" customHeight="1" x14ac:dyDescent="0.25">
      <c r="B1687" t="str">
        <v>Dont FOMO</v>
      </c>
      <c r="C1687" t="str">
        <v>Farm</v>
      </c>
      <c r="D1687" t="str">
        <v>-</v>
      </c>
      <c r="E1687">
        <v>0</v>
      </c>
      <c r="F1687">
        <v>0</v>
      </c>
    </row>
    <row r="1688" spans="2:6" ht="15.75" customHeight="1" x14ac:dyDescent="0.25">
      <c r="B1688" t="str">
        <v>Donut</v>
      </c>
      <c r="C1688" t="str">
        <v>Farm</v>
      </c>
      <c r="D1688" t="str">
        <v>DONUT</v>
      </c>
      <c r="E1688">
        <v>0</v>
      </c>
      <c r="F1688">
        <v>0</v>
      </c>
    </row>
    <row r="1689" spans="2:6" ht="15.75" customHeight="1" x14ac:dyDescent="0.25">
      <c r="B1689" t="str">
        <v>DOOAR</v>
      </c>
      <c r="C1689" t="str">
        <v>Dexs</v>
      </c>
      <c r="D1689" t="str">
        <v>-</v>
      </c>
      <c r="E1689">
        <v>6213919.1998088062</v>
      </c>
      <c r="F1689">
        <v>0</v>
      </c>
    </row>
    <row r="1690" spans="2:6" ht="15.75" customHeight="1" x14ac:dyDescent="0.25">
      <c r="B1690" t="str">
        <v>Doora Inu</v>
      </c>
      <c r="C1690" t="str">
        <v>Yield</v>
      </c>
      <c r="D1690" t="str">
        <v>DINU</v>
      </c>
      <c r="E1690">
        <v>67.117733628514003</v>
      </c>
      <c r="F1690">
        <v>0</v>
      </c>
    </row>
    <row r="1691" spans="2:6" ht="15.75" customHeight="1" x14ac:dyDescent="0.25">
      <c r="B1691" t="str">
        <v>Dopin Protocol</v>
      </c>
      <c r="C1691" t="str">
        <v>Dexs</v>
      </c>
      <c r="D1691" t="str">
        <v>-</v>
      </c>
      <c r="E1691">
        <v>5.9527883532781267</v>
      </c>
      <c r="F1691">
        <v>0</v>
      </c>
    </row>
    <row r="1692" spans="2:6" ht="15.75" customHeight="1" x14ac:dyDescent="0.25">
      <c r="B1692" t="str">
        <v>Dopple Finance</v>
      </c>
      <c r="C1692" t="str">
        <v>Algo-Stables</v>
      </c>
      <c r="D1692" t="str">
        <v>DOP</v>
      </c>
      <c r="E1692">
        <v>163524.32922925637</v>
      </c>
      <c r="F1692">
        <v>0</v>
      </c>
    </row>
    <row r="1693" spans="2:6" ht="15.75" customHeight="1" x14ac:dyDescent="0.25">
      <c r="B1693" t="str">
        <v>Doppler Finance</v>
      </c>
      <c r="C1693" t="str">
        <v>CeDeFi</v>
      </c>
      <c r="D1693" t="str">
        <v>-</v>
      </c>
      <c r="E1693">
        <v>92781593.533250272</v>
      </c>
      <c r="F1693">
        <v>0</v>
      </c>
    </row>
    <row r="1694" spans="2:6" ht="15.75" customHeight="1" x14ac:dyDescent="0.25">
      <c r="B1694" t="str">
        <v>Dorian</v>
      </c>
      <c r="C1694" t="str">
        <v>Lending</v>
      </c>
      <c r="D1694" t="str">
        <v>-</v>
      </c>
      <c r="E1694">
        <v>64.900821950960363</v>
      </c>
      <c r="F1694">
        <v>0</v>
      </c>
    </row>
    <row r="1695" spans="2:6" ht="15.75" customHeight="1" x14ac:dyDescent="0.25">
      <c r="B1695" t="str">
        <v>Dot Dot Finance</v>
      </c>
      <c r="C1695" t="str">
        <v>Yield</v>
      </c>
      <c r="D1695" t="str">
        <v>DDD</v>
      </c>
      <c r="E1695">
        <v>35812.347588005498</v>
      </c>
      <c r="F1695">
        <v>4741.0120127176342</v>
      </c>
    </row>
    <row r="1696" spans="2:6" ht="15.75" customHeight="1" x14ac:dyDescent="0.25">
      <c r="B1696" t="str">
        <v>DotOracle</v>
      </c>
      <c r="C1696" t="str">
        <v>Bridge</v>
      </c>
      <c r="D1696" t="str">
        <v>DTO</v>
      </c>
      <c r="E1696">
        <v>46530.203989504589</v>
      </c>
      <c r="F1696">
        <v>0</v>
      </c>
    </row>
    <row r="1697" spans="2:6" ht="15.75" customHeight="1" x14ac:dyDescent="0.25">
      <c r="B1697" t="str">
        <v>Double</v>
      </c>
      <c r="C1697" t="str">
        <v>Yield</v>
      </c>
      <c r="D1697" t="str">
        <v>-</v>
      </c>
      <c r="E1697">
        <v>33009.489096284924</v>
      </c>
      <c r="F1697">
        <v>0</v>
      </c>
    </row>
    <row r="1698" spans="2:6" ht="15.75" customHeight="1" x14ac:dyDescent="0.25">
      <c r="B1698" t="str">
        <v>Double Club</v>
      </c>
      <c r="C1698" t="str">
        <v>Yield Aggregator</v>
      </c>
      <c r="D1698" t="str">
        <v>DOU</v>
      </c>
      <c r="E1698">
        <v>373.35808442000467</v>
      </c>
      <c r="F1698">
        <v>0</v>
      </c>
    </row>
    <row r="1699" spans="2:6" ht="15.75" customHeight="1" x14ac:dyDescent="0.25">
      <c r="B1699" t="str">
        <v>Doubler</v>
      </c>
      <c r="C1699" t="str">
        <v>Derivatives</v>
      </c>
      <c r="D1699" t="str">
        <v>-</v>
      </c>
      <c r="E1699">
        <v>204212.70637527603</v>
      </c>
      <c r="F1699">
        <v>0</v>
      </c>
    </row>
    <row r="1700" spans="2:6" ht="15.75" customHeight="1" x14ac:dyDescent="0.25">
      <c r="B1700" t="str">
        <v>DoubleUp</v>
      </c>
      <c r="C1700" t="str">
        <v>Luck Games</v>
      </c>
      <c r="D1700" t="str">
        <v>UP</v>
      </c>
      <c r="E1700">
        <v>4195677.8946180334</v>
      </c>
      <c r="F1700">
        <v>1924852.4551937955</v>
      </c>
    </row>
    <row r="1701" spans="2:6" ht="15.75" customHeight="1" x14ac:dyDescent="0.25">
      <c r="B1701" t="str">
        <v>DoubleZero Network</v>
      </c>
      <c r="C1701" t="str">
        <v>Developer Tools</v>
      </c>
      <c r="D1701" t="str">
        <v>2Z</v>
      </c>
      <c r="E1701">
        <v>0</v>
      </c>
      <c r="F1701">
        <v>0</v>
      </c>
    </row>
    <row r="1702" spans="2:6" ht="15.75" customHeight="1" x14ac:dyDescent="0.25">
      <c r="B1702" t="str">
        <v>DoubleZero Staked SOL</v>
      </c>
      <c r="C1702" t="str">
        <v>Liquid Staking</v>
      </c>
      <c r="D1702" t="str">
        <v>2Z</v>
      </c>
      <c r="E1702">
        <v>1823251586.4808049</v>
      </c>
      <c r="F1702">
        <v>0</v>
      </c>
    </row>
    <row r="1703" spans="2:6" ht="15.75" customHeight="1" x14ac:dyDescent="0.25">
      <c r="B1703" t="str">
        <v>Dough Finance</v>
      </c>
      <c r="C1703" t="str">
        <v>Lending</v>
      </c>
      <c r="D1703" t="str">
        <v>-</v>
      </c>
      <c r="E1703">
        <v>1951.1985272594488</v>
      </c>
      <c r="F1703">
        <v>0</v>
      </c>
    </row>
    <row r="1704" spans="2:6" ht="15.75" customHeight="1" x14ac:dyDescent="0.25">
      <c r="B1704" t="str">
        <v>Dove Swap V2</v>
      </c>
      <c r="C1704" t="str">
        <v>Dexs</v>
      </c>
      <c r="D1704" t="str">
        <v>DOV</v>
      </c>
      <c r="E1704">
        <v>217.90876069288453</v>
      </c>
      <c r="F1704">
        <v>0</v>
      </c>
    </row>
    <row r="1705" spans="2:6" ht="15.75" customHeight="1" x14ac:dyDescent="0.25">
      <c r="B1705" t="str">
        <v>Dove Swap V3</v>
      </c>
      <c r="C1705" t="str">
        <v>Dexs</v>
      </c>
      <c r="D1705" t="str">
        <v>DOV</v>
      </c>
      <c r="E1705">
        <v>76111.146207734404</v>
      </c>
      <c r="F1705">
        <v>0</v>
      </c>
    </row>
    <row r="1706" spans="2:6" ht="15.75" customHeight="1" x14ac:dyDescent="0.25">
      <c r="B1706" t="str">
        <v>DPEX</v>
      </c>
      <c r="C1706" t="str">
        <v>Derivatives</v>
      </c>
      <c r="D1706" t="str">
        <v>DPEX</v>
      </c>
      <c r="E1706">
        <v>12426.762467408766</v>
      </c>
      <c r="F1706">
        <v>0</v>
      </c>
    </row>
    <row r="1707" spans="2:6" ht="15.75" customHeight="1" x14ac:dyDescent="0.25">
      <c r="B1707" t="str">
        <v>Drachma</v>
      </c>
      <c r="C1707" t="str">
        <v>Dexs</v>
      </c>
      <c r="D1707" t="str">
        <v>DRACHMA</v>
      </c>
      <c r="E1707">
        <v>5277.0863153972723</v>
      </c>
      <c r="F1707">
        <v>0</v>
      </c>
    </row>
    <row r="1708" spans="2:6" ht="15.75" customHeight="1" x14ac:dyDescent="0.25">
      <c r="B1708" t="str">
        <v>Drachma Exchange</v>
      </c>
      <c r="C1708" t="str">
        <v>Dexs</v>
      </c>
      <c r="D1708" t="str">
        <v>DRA</v>
      </c>
      <c r="E1708">
        <v>0</v>
      </c>
      <c r="F1708">
        <v>0</v>
      </c>
    </row>
    <row r="1709" spans="2:6" ht="15.75" customHeight="1" x14ac:dyDescent="0.25">
      <c r="B1709" t="str">
        <v>Draco Finance</v>
      </c>
      <c r="C1709" t="str">
        <v>Algo-Stables</v>
      </c>
      <c r="D1709" t="str">
        <v>DRACO</v>
      </c>
      <c r="E1709">
        <v>0</v>
      </c>
      <c r="F1709">
        <v>0</v>
      </c>
    </row>
    <row r="1710" spans="2:6" ht="15.75" customHeight="1" x14ac:dyDescent="0.25">
      <c r="B1710" t="str">
        <v>Draco Force</v>
      </c>
      <c r="C1710" t="str">
        <v>Yield Aggregator</v>
      </c>
      <c r="D1710" t="str">
        <v>DRC</v>
      </c>
      <c r="E1710">
        <v>274.2779853617684</v>
      </c>
      <c r="F1710">
        <v>0</v>
      </c>
    </row>
    <row r="1711" spans="2:6" ht="15.75" customHeight="1" x14ac:dyDescent="0.25">
      <c r="B1711" t="str">
        <v>Dracula</v>
      </c>
      <c r="C1711" t="str">
        <v>Yield Aggregator</v>
      </c>
      <c r="D1711" t="str">
        <v>DRC</v>
      </c>
      <c r="E1711">
        <v>0</v>
      </c>
      <c r="F1711">
        <v>971320.45263816696</v>
      </c>
    </row>
    <row r="1712" spans="2:6" ht="15.75" customHeight="1" x14ac:dyDescent="0.25">
      <c r="B1712" t="str">
        <v>Dracula Finance</v>
      </c>
      <c r="C1712" t="str">
        <v>Dexs</v>
      </c>
      <c r="D1712" t="str">
        <v>FANG</v>
      </c>
      <c r="E1712">
        <v>8383.8349847633981</v>
      </c>
      <c r="F1712">
        <v>0</v>
      </c>
    </row>
    <row r="1713" spans="2:6" ht="15.75" customHeight="1" x14ac:dyDescent="0.25">
      <c r="B1713" t="str">
        <v>Dradex</v>
      </c>
      <c r="C1713" t="str">
        <v>Dexs</v>
      </c>
      <c r="D1713" t="str">
        <v>-</v>
      </c>
      <c r="E1713">
        <v>1857.7555779779773</v>
      </c>
      <c r="F1713">
        <v>0</v>
      </c>
    </row>
    <row r="1714" spans="2:6" ht="15.75" customHeight="1" x14ac:dyDescent="0.25">
      <c r="B1714" t="str">
        <v>Dragon Protocol</v>
      </c>
      <c r="C1714" t="str">
        <v>Farm</v>
      </c>
      <c r="D1714" t="str">
        <v>DRAGON</v>
      </c>
      <c r="E1714">
        <v>0</v>
      </c>
      <c r="F1714">
        <v>0</v>
      </c>
    </row>
    <row r="1715" spans="2:6" ht="15.75" customHeight="1" x14ac:dyDescent="0.25">
      <c r="B1715" t="str">
        <v>Dragon Swap V2 Sei</v>
      </c>
      <c r="C1715" t="str">
        <v>Dexs</v>
      </c>
      <c r="D1715" t="str">
        <v>DRG</v>
      </c>
      <c r="E1715">
        <v>2113652.7104542004</v>
      </c>
      <c r="F1715">
        <v>0</v>
      </c>
    </row>
    <row r="1716" spans="2:6" ht="15.75" customHeight="1" x14ac:dyDescent="0.25">
      <c r="B1716" t="str">
        <v>Dragon Swap V3 Sei</v>
      </c>
      <c r="C1716" t="str">
        <v>Dexs</v>
      </c>
      <c r="D1716" t="str">
        <v>-</v>
      </c>
      <c r="E1716">
        <v>13644702.845296314</v>
      </c>
      <c r="F1716">
        <v>0</v>
      </c>
    </row>
    <row r="1717" spans="2:6" ht="15.75" customHeight="1" x14ac:dyDescent="0.25">
      <c r="B1717" t="str">
        <v>Dragonfruit Protocol</v>
      </c>
      <c r="C1717" t="str">
        <v>Farm</v>
      </c>
      <c r="D1717" t="str">
        <v>DFRUIT</v>
      </c>
      <c r="E1717">
        <v>0</v>
      </c>
      <c r="F1717">
        <v>0</v>
      </c>
    </row>
    <row r="1718" spans="2:6" ht="15.75" customHeight="1" x14ac:dyDescent="0.25">
      <c r="B1718" t="str">
        <v>DragonSwap V2 Kaia</v>
      </c>
      <c r="C1718" t="str">
        <v>Dexs</v>
      </c>
      <c r="D1718" t="str">
        <v>-</v>
      </c>
      <c r="E1718">
        <v>123297.77679716451</v>
      </c>
      <c r="F1718">
        <v>0</v>
      </c>
    </row>
    <row r="1719" spans="2:6" ht="15.75" customHeight="1" x14ac:dyDescent="0.25">
      <c r="B1719" t="str">
        <v>DragonSwap V3 Kaia</v>
      </c>
      <c r="C1719" t="str">
        <v>Dexs</v>
      </c>
      <c r="D1719" t="str">
        <v>-</v>
      </c>
      <c r="E1719">
        <v>4126867.6367366547</v>
      </c>
      <c r="F1719">
        <v>0</v>
      </c>
    </row>
    <row r="1720" spans="2:6" ht="15.75" customHeight="1" x14ac:dyDescent="0.25">
      <c r="B1720" t="str">
        <v>Drawtech</v>
      </c>
      <c r="C1720" t="str">
        <v>SoFi</v>
      </c>
      <c r="D1720" t="str">
        <v>-</v>
      </c>
      <c r="E1720">
        <v>2594.6121630234888</v>
      </c>
      <c r="F1720">
        <v>0</v>
      </c>
    </row>
    <row r="1721" spans="2:6" ht="15.75" customHeight="1" x14ac:dyDescent="0.25">
      <c r="B1721" t="str">
        <v>Dre Finance</v>
      </c>
      <c r="C1721" t="str">
        <v>Reserve Currency</v>
      </c>
      <c r="D1721" t="str">
        <v>DRE</v>
      </c>
      <c r="E1721">
        <v>146.70436052112828</v>
      </c>
      <c r="F1721">
        <v>0</v>
      </c>
    </row>
    <row r="1722" spans="2:6" ht="15.75" customHeight="1" x14ac:dyDescent="0.25">
      <c r="B1722" t="str">
        <v>Dreamcash</v>
      </c>
      <c r="C1722" t="str">
        <v>Interface</v>
      </c>
      <c r="D1722" t="str">
        <v>-</v>
      </c>
      <c r="E1722">
        <v>0</v>
      </c>
      <c r="F1722">
        <v>0</v>
      </c>
    </row>
    <row r="1723" spans="2:6" ht="15.75" customHeight="1" x14ac:dyDescent="0.25">
      <c r="B1723" t="str">
        <v>Drift AMM</v>
      </c>
      <c r="C1723" t="str">
        <v>Dexs</v>
      </c>
      <c r="D1723" t="str">
        <v>DRIFT</v>
      </c>
      <c r="E1723">
        <v>0</v>
      </c>
      <c r="F1723">
        <v>0</v>
      </c>
    </row>
    <row r="1724" spans="2:6" ht="15.75" customHeight="1" x14ac:dyDescent="0.25">
      <c r="B1724" t="str">
        <v>Drift Staked SOL</v>
      </c>
      <c r="C1724" t="str">
        <v>Liquid Staking</v>
      </c>
      <c r="D1724" t="str">
        <v>DRIFT</v>
      </c>
      <c r="E1724">
        <v>240819704.82602844</v>
      </c>
      <c r="F1724">
        <v>0</v>
      </c>
    </row>
    <row r="1725" spans="2:6" ht="15.75" customHeight="1" x14ac:dyDescent="0.25">
      <c r="B1725" t="str">
        <v>Drift Trade</v>
      </c>
      <c r="C1725" t="str">
        <v>Derivatives</v>
      </c>
      <c r="D1725" t="str">
        <v>DRIFT</v>
      </c>
      <c r="E1725">
        <v>458922998.85074115</v>
      </c>
      <c r="F1725">
        <v>0</v>
      </c>
    </row>
    <row r="1726" spans="2:6" ht="15.75" customHeight="1" x14ac:dyDescent="0.25">
      <c r="B1726" t="str">
        <v>Drip</v>
      </c>
      <c r="C1726" t="str">
        <v>Yield</v>
      </c>
      <c r="D1726" t="str">
        <v>DRIP</v>
      </c>
      <c r="E1726">
        <v>0</v>
      </c>
      <c r="F1726">
        <v>0</v>
      </c>
    </row>
    <row r="1727" spans="2:6" ht="15.75" customHeight="1" x14ac:dyDescent="0.25">
      <c r="B1727" t="str">
        <v>Drip.Trade</v>
      </c>
      <c r="C1727" t="str">
        <v>NFT Marketplace</v>
      </c>
      <c r="D1727" t="str">
        <v>-</v>
      </c>
      <c r="E1727">
        <v>0</v>
      </c>
      <c r="F1727">
        <v>0</v>
      </c>
    </row>
    <row r="1728" spans="2:6" ht="15.75" customHeight="1" x14ac:dyDescent="0.25">
      <c r="B1728" t="str">
        <v>dripit</v>
      </c>
      <c r="C1728" t="str">
        <v>Prediction Market</v>
      </c>
      <c r="D1728" t="str">
        <v>-</v>
      </c>
      <c r="E1728">
        <v>4434.3474729921281</v>
      </c>
      <c r="F1728">
        <v>0</v>
      </c>
    </row>
    <row r="1729" spans="2:6" ht="15.75" customHeight="1" x14ac:dyDescent="0.25">
      <c r="B1729" t="str">
        <v>Drop</v>
      </c>
      <c r="C1729" t="str">
        <v>Liquid Staking</v>
      </c>
      <c r="D1729" t="str">
        <v>-</v>
      </c>
      <c r="E1729">
        <v>13979168.121708192</v>
      </c>
      <c r="F1729">
        <v>0</v>
      </c>
    </row>
    <row r="1730" spans="2:6" ht="15.75" customHeight="1" x14ac:dyDescent="0.25">
      <c r="B1730" t="str">
        <v>DropCopy</v>
      </c>
      <c r="C1730" t="str">
        <v>Prediction Market</v>
      </c>
      <c r="D1730" t="str">
        <v>DROP</v>
      </c>
      <c r="E1730">
        <v>11.181447895719796</v>
      </c>
      <c r="F1730">
        <v>0</v>
      </c>
    </row>
    <row r="1731" spans="2:6" ht="15.75" customHeight="1" x14ac:dyDescent="0.25">
      <c r="B1731" t="str">
        <v>Droplit Protocol</v>
      </c>
      <c r="C1731" t="str">
        <v>Algo-Stables</v>
      </c>
      <c r="D1731" t="str">
        <v>LIT</v>
      </c>
      <c r="E1731">
        <v>0</v>
      </c>
      <c r="F1731">
        <v>0</v>
      </c>
    </row>
    <row r="1732" spans="2:6" ht="15.75" customHeight="1" x14ac:dyDescent="0.25">
      <c r="B1732" t="str">
        <v>Drops</v>
      </c>
      <c r="C1732" t="str">
        <v>NFT Lending</v>
      </c>
      <c r="D1732" t="str">
        <v>DOP</v>
      </c>
      <c r="E1732">
        <v>17289.609953392577</v>
      </c>
      <c r="F1732">
        <v>38395.056340827883</v>
      </c>
    </row>
    <row r="1733" spans="2:6" ht="15.75" customHeight="1" x14ac:dyDescent="0.25">
      <c r="B1733" t="str">
        <v>DSF.Finance</v>
      </c>
      <c r="C1733" t="str">
        <v>Yield</v>
      </c>
      <c r="D1733" t="str">
        <v>-</v>
      </c>
      <c r="E1733">
        <v>1116523.4077308513</v>
      </c>
      <c r="F1733">
        <v>0</v>
      </c>
    </row>
    <row r="1734" spans="2:6" ht="15.75" customHeight="1" x14ac:dyDescent="0.25">
      <c r="B1734" t="str">
        <v>DSU Money</v>
      </c>
      <c r="C1734" t="str">
        <v>CDP</v>
      </c>
      <c r="D1734" t="str">
        <v>ESS</v>
      </c>
      <c r="E1734">
        <v>743375.256536523</v>
      </c>
      <c r="F1734">
        <v>0</v>
      </c>
    </row>
    <row r="1735" spans="2:6" ht="15.75" customHeight="1" x14ac:dyDescent="0.25">
      <c r="B1735" t="str">
        <v>Dswap</v>
      </c>
      <c r="C1735" t="str">
        <v>Dexs</v>
      </c>
      <c r="D1735" t="str">
        <v>-</v>
      </c>
      <c r="E1735">
        <v>50331670.146794856</v>
      </c>
      <c r="F1735">
        <v>0</v>
      </c>
    </row>
    <row r="1736" spans="2:6" ht="15.75" customHeight="1" x14ac:dyDescent="0.25">
      <c r="B1736" t="str">
        <v>DSX</v>
      </c>
      <c r="C1736" t="str">
        <v>Telegram Bot</v>
      </c>
      <c r="D1736" t="str">
        <v>-</v>
      </c>
      <c r="E1736">
        <v>0</v>
      </c>
      <c r="F1736">
        <v>0</v>
      </c>
    </row>
    <row r="1737" spans="2:6" ht="15.75" customHeight="1" x14ac:dyDescent="0.25">
      <c r="B1737" t="str">
        <v>dTRINITY dLEND</v>
      </c>
      <c r="C1737" t="str">
        <v>Lending</v>
      </c>
      <c r="D1737" t="str">
        <v>-</v>
      </c>
      <c r="E1737">
        <v>1104373.639413629</v>
      </c>
      <c r="F1737">
        <v>0</v>
      </c>
    </row>
    <row r="1738" spans="2:6" ht="15.75" customHeight="1" x14ac:dyDescent="0.25">
      <c r="B1738" t="str">
        <v>dTRINITY dUSD</v>
      </c>
      <c r="C1738" t="str">
        <v>Partially Algorithmic Stablecoin</v>
      </c>
      <c r="D1738" t="str">
        <v>-</v>
      </c>
      <c r="E1738">
        <v>429404.28233320784</v>
      </c>
      <c r="F1738">
        <v>0</v>
      </c>
    </row>
    <row r="1739" spans="2:6" ht="15.75" customHeight="1" x14ac:dyDescent="0.25">
      <c r="B1739" t="str">
        <v>DTX Derivatives</v>
      </c>
      <c r="C1739" t="str">
        <v>Derivatives</v>
      </c>
      <c r="D1739" t="str">
        <v>-</v>
      </c>
      <c r="E1739">
        <v>58.082939866313325</v>
      </c>
      <c r="F1739">
        <v>0</v>
      </c>
    </row>
    <row r="1740" spans="2:6" ht="15.75" customHeight="1" x14ac:dyDescent="0.25">
      <c r="B1740" t="str">
        <v>DTX Dex</v>
      </c>
      <c r="C1740" t="str">
        <v>Dexs</v>
      </c>
      <c r="D1740" t="str">
        <v>-</v>
      </c>
      <c r="E1740">
        <v>7279.5116114123384</v>
      </c>
      <c r="F1740">
        <v>0</v>
      </c>
    </row>
    <row r="1741" spans="2:6" ht="15.75" customHeight="1" x14ac:dyDescent="0.25">
      <c r="B1741" t="str">
        <v>DTX Dex V3</v>
      </c>
      <c r="C1741" t="str">
        <v>Dexs</v>
      </c>
      <c r="D1741" t="str">
        <v>-</v>
      </c>
      <c r="E1741">
        <v>2495.6020500322456</v>
      </c>
      <c r="F1741">
        <v>0</v>
      </c>
    </row>
    <row r="1742" spans="2:6" ht="15.75" customHeight="1" x14ac:dyDescent="0.25">
      <c r="B1742" t="str">
        <v>Dual Finance</v>
      </c>
      <c r="C1742" t="str">
        <v>Options</v>
      </c>
      <c r="D1742" t="str">
        <v>DUAL</v>
      </c>
      <c r="E1742">
        <v>2204527.3377093119</v>
      </c>
      <c r="F1742">
        <v>0</v>
      </c>
    </row>
    <row r="1743" spans="2:6" ht="15.75" customHeight="1" x14ac:dyDescent="0.25">
      <c r="B1743" t="str">
        <v>Duality</v>
      </c>
      <c r="C1743" t="str">
        <v>Dexs</v>
      </c>
      <c r="D1743" t="str">
        <v>-</v>
      </c>
      <c r="E1743">
        <v>3301499.3410727005</v>
      </c>
      <c r="F1743">
        <v>0</v>
      </c>
    </row>
    <row r="1744" spans="2:6" ht="15.75" customHeight="1" x14ac:dyDescent="0.25">
      <c r="B1744" t="str">
        <v>Dubble Exchange</v>
      </c>
      <c r="C1744" t="str">
        <v>Yield</v>
      </c>
      <c r="D1744" t="str">
        <v>DUB</v>
      </c>
      <c r="E1744">
        <v>76.993167194734454</v>
      </c>
      <c r="F1744">
        <v>0</v>
      </c>
    </row>
    <row r="1745" spans="2:6" ht="15.75" customHeight="1" x14ac:dyDescent="0.25">
      <c r="B1745" t="str">
        <v>Ducata</v>
      </c>
      <c r="C1745" t="str">
        <v>Yield</v>
      </c>
      <c r="D1745" t="str">
        <v>DUCA</v>
      </c>
      <c r="E1745">
        <v>0</v>
      </c>
      <c r="F1745">
        <v>0</v>
      </c>
    </row>
    <row r="1746" spans="2:6" ht="15.75" customHeight="1" x14ac:dyDescent="0.25">
      <c r="B1746" t="str">
        <v>DuckGang</v>
      </c>
      <c r="C1746" t="str">
        <v>Farm</v>
      </c>
      <c r="D1746" t="str">
        <v>-</v>
      </c>
      <c r="E1746">
        <v>1869.0263891376521</v>
      </c>
      <c r="F1746">
        <v>0</v>
      </c>
    </row>
    <row r="1747" spans="2:6" ht="15.75" customHeight="1" x14ac:dyDescent="0.25">
      <c r="B1747" t="str">
        <v>duckpools</v>
      </c>
      <c r="C1747" t="str">
        <v>Lending</v>
      </c>
      <c r="D1747" t="str">
        <v>QUACKS</v>
      </c>
      <c r="E1747">
        <v>141671.23270972646</v>
      </c>
      <c r="F1747">
        <v>0</v>
      </c>
    </row>
    <row r="1748" spans="2:6" ht="15.75" customHeight="1" x14ac:dyDescent="0.25">
      <c r="B1748" t="str">
        <v>DuckSwap</v>
      </c>
      <c r="C1748" t="str">
        <v>Dexs</v>
      </c>
      <c r="D1748" t="str">
        <v>-</v>
      </c>
      <c r="E1748">
        <v>16334.890038814519</v>
      </c>
      <c r="F1748">
        <v>0</v>
      </c>
    </row>
    <row r="1749" spans="2:6" ht="15.75" customHeight="1" x14ac:dyDescent="0.25">
      <c r="B1749" t="str">
        <v>Ducky City SOFI</v>
      </c>
      <c r="C1749" t="str">
        <v>SoFi</v>
      </c>
      <c r="D1749" t="str">
        <v>DCE</v>
      </c>
      <c r="E1749">
        <v>5724.8169828189421</v>
      </c>
      <c r="F1749">
        <v>0</v>
      </c>
    </row>
    <row r="1750" spans="2:6" ht="15.75" customHeight="1" x14ac:dyDescent="0.25">
      <c r="B1750" t="str">
        <v>DuckyDeFi</v>
      </c>
      <c r="C1750" t="str">
        <v>Dexs</v>
      </c>
      <c r="D1750" t="str">
        <v>DEGG</v>
      </c>
      <c r="E1750">
        <v>29432.713812245722</v>
      </c>
      <c r="F1750">
        <v>0</v>
      </c>
    </row>
    <row r="1751" spans="2:6" ht="15.75" customHeight="1" x14ac:dyDescent="0.25">
      <c r="B1751" t="str">
        <v>Duet Protocol</v>
      </c>
      <c r="C1751" t="str">
        <v>Synthetics</v>
      </c>
      <c r="D1751" t="str">
        <v>DUET</v>
      </c>
      <c r="E1751">
        <v>36471.521934449156</v>
      </c>
      <c r="F1751">
        <v>0</v>
      </c>
    </row>
    <row r="1752" spans="2:6" ht="15.75" customHeight="1" x14ac:dyDescent="0.25">
      <c r="B1752" t="str">
        <v>DumpEX</v>
      </c>
      <c r="C1752" t="str">
        <v>Farm</v>
      </c>
      <c r="D1752" t="str">
        <v>-</v>
      </c>
      <c r="E1752">
        <v>6.9794541075119403</v>
      </c>
      <c r="F1752">
        <v>0</v>
      </c>
    </row>
    <row r="1753" spans="2:6" ht="15.75" customHeight="1" x14ac:dyDescent="0.25">
      <c r="B1753" t="str">
        <v>Dunes</v>
      </c>
      <c r="C1753" t="str">
        <v>Liquid Restaking</v>
      </c>
      <c r="D1753" t="str">
        <v>-</v>
      </c>
      <c r="E1753">
        <v>5426.5428719671181</v>
      </c>
      <c r="F1753">
        <v>0</v>
      </c>
    </row>
    <row r="1754" spans="2:6" ht="15.75" customHeight="1" x14ac:dyDescent="0.25">
      <c r="B1754" t="str">
        <v>DuneSwap</v>
      </c>
      <c r="C1754" t="str">
        <v>Dexs</v>
      </c>
      <c r="D1754" t="str">
        <v>DUNE</v>
      </c>
      <c r="E1754">
        <v>22129.282609749309</v>
      </c>
      <c r="F1754">
        <v>0</v>
      </c>
    </row>
    <row r="1755" spans="2:6" ht="15.75" customHeight="1" x14ac:dyDescent="0.25">
      <c r="B1755" t="str">
        <v>DungeonSwap</v>
      </c>
      <c r="C1755" t="str">
        <v>Yield</v>
      </c>
      <c r="D1755" t="str">
        <v>DND</v>
      </c>
      <c r="E1755">
        <v>12082.837880879186</v>
      </c>
      <c r="F1755">
        <v>27449.718755284684</v>
      </c>
    </row>
    <row r="1756" spans="2:6" ht="15.75" customHeight="1" x14ac:dyDescent="0.25">
      <c r="B1756" t="str">
        <v>Dusa Protocol</v>
      </c>
      <c r="C1756" t="str">
        <v>Dexs</v>
      </c>
      <c r="D1756" t="str">
        <v>-</v>
      </c>
      <c r="E1756">
        <v>29221.842024926969</v>
      </c>
      <c r="F1756">
        <v>0</v>
      </c>
    </row>
    <row r="1757" spans="2:6" ht="15.75" customHeight="1" x14ac:dyDescent="0.25">
      <c r="B1757" t="str">
        <v>dVOL</v>
      </c>
      <c r="C1757" t="str">
        <v>Options Vault</v>
      </c>
      <c r="D1757" t="str">
        <v>-</v>
      </c>
      <c r="E1757">
        <v>36.972742128675051</v>
      </c>
      <c r="F1757">
        <v>0</v>
      </c>
    </row>
    <row r="1758" spans="2:6" ht="15.75" customHeight="1" x14ac:dyDescent="0.25">
      <c r="B1758" t="str">
        <v>DX25</v>
      </c>
      <c r="C1758" t="str">
        <v>Dexs</v>
      </c>
      <c r="D1758" t="str">
        <v>-</v>
      </c>
      <c r="E1758">
        <v>14130.926383047783</v>
      </c>
      <c r="F1758">
        <v>0</v>
      </c>
    </row>
    <row r="1759" spans="2:6" ht="15.75" customHeight="1" x14ac:dyDescent="0.25">
      <c r="B1759" t="str">
        <v>DXDao</v>
      </c>
      <c r="C1759" t="str">
        <v>Services</v>
      </c>
      <c r="D1759" t="str">
        <v>DXD</v>
      </c>
      <c r="E1759">
        <v>0</v>
      </c>
      <c r="F1759">
        <v>0</v>
      </c>
    </row>
    <row r="1760" spans="2:6" ht="15.75" customHeight="1" x14ac:dyDescent="0.25">
      <c r="B1760" t="str">
        <v>DxSale</v>
      </c>
      <c r="C1760" t="str">
        <v>Launchpad</v>
      </c>
      <c r="D1760" t="str">
        <v>DX</v>
      </c>
      <c r="E1760">
        <v>39368100.90873991</v>
      </c>
      <c r="F1760">
        <v>1198154.2572126058</v>
      </c>
    </row>
    <row r="1761" spans="2:6" ht="15.75" customHeight="1" x14ac:dyDescent="0.25">
      <c r="B1761" t="str">
        <v>DYAD</v>
      </c>
      <c r="C1761" t="str">
        <v>CDP</v>
      </c>
      <c r="D1761" t="str">
        <v>-</v>
      </c>
      <c r="E1761">
        <v>65466.07381962693</v>
      </c>
      <c r="F1761">
        <v>0</v>
      </c>
    </row>
    <row r="1762" spans="2:6" ht="15.75" customHeight="1" x14ac:dyDescent="0.25">
      <c r="B1762" t="str">
        <v>dYdX V3</v>
      </c>
      <c r="C1762" t="str">
        <v>Derivatives</v>
      </c>
      <c r="D1762" t="str">
        <v>DYDX</v>
      </c>
      <c r="E1762">
        <v>41342240.385380454</v>
      </c>
      <c r="F1762">
        <v>0</v>
      </c>
    </row>
    <row r="1763" spans="2:6" ht="15.75" customHeight="1" x14ac:dyDescent="0.25">
      <c r="B1763" t="str">
        <v>dYdX V4</v>
      </c>
      <c r="C1763" t="str">
        <v>Derivatives</v>
      </c>
      <c r="D1763" t="str">
        <v>dYdX</v>
      </c>
      <c r="E1763">
        <v>155695715.03371987</v>
      </c>
      <c r="F1763">
        <v>0</v>
      </c>
    </row>
    <row r="1764" spans="2:6" ht="15.75" customHeight="1" x14ac:dyDescent="0.25">
      <c r="B1764" t="str">
        <v>Dymension DEX</v>
      </c>
      <c r="C1764" t="str">
        <v>Dexs</v>
      </c>
      <c r="D1764" t="str">
        <v>-</v>
      </c>
      <c r="E1764">
        <v>1684424.8285033542</v>
      </c>
      <c r="F1764">
        <v>0</v>
      </c>
    </row>
    <row r="1765" spans="2:6" ht="15.75" customHeight="1" x14ac:dyDescent="0.25">
      <c r="B1765" t="str">
        <v>DynastySwap</v>
      </c>
      <c r="C1765" t="str">
        <v>Dexs</v>
      </c>
      <c r="D1765" t="str">
        <v>-</v>
      </c>
      <c r="E1765">
        <v>959.07718614006149</v>
      </c>
      <c r="F1765">
        <v>0</v>
      </c>
    </row>
    <row r="1766" spans="2:6" ht="15.75" customHeight="1" x14ac:dyDescent="0.25">
      <c r="B1766" t="str">
        <v>DyorSwap AMM</v>
      </c>
      <c r="C1766" t="str">
        <v>Dexs</v>
      </c>
      <c r="D1766" t="str">
        <v>DYOR</v>
      </c>
      <c r="E1766">
        <v>2956732.8052405338</v>
      </c>
      <c r="F1766">
        <v>0</v>
      </c>
    </row>
    <row r="1767" spans="2:6" ht="15.75" customHeight="1" x14ac:dyDescent="0.25">
      <c r="B1767" t="str">
        <v>DyorSwap Launchpad</v>
      </c>
      <c r="C1767" t="str">
        <v>Launchpad</v>
      </c>
      <c r="D1767" t="str">
        <v>DYOR</v>
      </c>
      <c r="E1767">
        <v>0</v>
      </c>
      <c r="F1767">
        <v>0</v>
      </c>
    </row>
    <row r="1768" spans="2:6" ht="15.75" customHeight="1" x14ac:dyDescent="0.25">
      <c r="B1768" t="str">
        <v>Dypius</v>
      </c>
      <c r="C1768" t="str">
        <v>Yield</v>
      </c>
      <c r="D1768" t="str">
        <v>DYP</v>
      </c>
      <c r="E1768">
        <v>0</v>
      </c>
      <c r="F1768">
        <v>186459.65931322853</v>
      </c>
    </row>
    <row r="1769" spans="2:6" ht="15.75" customHeight="1" x14ac:dyDescent="0.25">
      <c r="B1769" t="str">
        <v>Dyson</v>
      </c>
      <c r="C1769" t="str">
        <v>Liquidity manager</v>
      </c>
      <c r="D1769" t="str">
        <v>-</v>
      </c>
      <c r="E1769">
        <v>413951.79669923743</v>
      </c>
      <c r="F1769">
        <v>0</v>
      </c>
    </row>
    <row r="1770" spans="2:6" ht="15.75" customHeight="1" x14ac:dyDescent="0.25">
      <c r="B1770" t="str">
        <v>Dyson Finance</v>
      </c>
      <c r="C1770" t="str">
        <v>Dexs</v>
      </c>
      <c r="D1770" t="str">
        <v>DYSN</v>
      </c>
      <c r="E1770">
        <v>197541.6384321308</v>
      </c>
      <c r="F1770">
        <v>0</v>
      </c>
    </row>
    <row r="1771" spans="2:6" ht="15.75" customHeight="1" x14ac:dyDescent="0.25">
      <c r="B1771" t="str">
        <v>Dystopia</v>
      </c>
      <c r="C1771" t="str">
        <v>Dexs</v>
      </c>
      <c r="D1771" t="str">
        <v>DYST</v>
      </c>
      <c r="E1771">
        <v>83739.902915989529</v>
      </c>
      <c r="F1771">
        <v>0</v>
      </c>
    </row>
    <row r="1772" spans="2:6" ht="15.75" customHeight="1" x14ac:dyDescent="0.25">
      <c r="B1772" t="str">
        <v>DZap</v>
      </c>
      <c r="C1772" t="str">
        <v>DEX Aggregator</v>
      </c>
      <c r="D1772" t="str">
        <v>-</v>
      </c>
      <c r="E1772">
        <v>0</v>
      </c>
      <c r="F1772">
        <v>0</v>
      </c>
    </row>
    <row r="1773" spans="2:6" ht="15.75" customHeight="1" x14ac:dyDescent="0.25">
      <c r="B1773" t="str">
        <v>E3</v>
      </c>
      <c r="C1773" t="str">
        <v>Dexs</v>
      </c>
      <c r="D1773" t="str">
        <v>-</v>
      </c>
      <c r="E1773">
        <v>72557.752444642581</v>
      </c>
      <c r="F1773">
        <v>0</v>
      </c>
    </row>
    <row r="1774" spans="2:6" ht="15.75" customHeight="1" x14ac:dyDescent="0.25">
      <c r="B1774" t="str">
        <v>EagleFi</v>
      </c>
      <c r="C1774" t="str">
        <v>Dexs</v>
      </c>
      <c r="D1774" t="str">
        <v>-</v>
      </c>
      <c r="E1774">
        <v>13694.240447262229</v>
      </c>
      <c r="F1774">
        <v>0</v>
      </c>
    </row>
    <row r="1775" spans="2:6" ht="15.75" customHeight="1" x14ac:dyDescent="0.25">
      <c r="B1775" t="str">
        <v>Earlyfans</v>
      </c>
      <c r="C1775" t="str">
        <v>SoFi</v>
      </c>
      <c r="D1775" t="str">
        <v>EARLY</v>
      </c>
      <c r="E1775">
        <v>4348.5746965643148</v>
      </c>
      <c r="F1775">
        <v>0</v>
      </c>
    </row>
    <row r="1776" spans="2:6" ht="15.75" customHeight="1" x14ac:dyDescent="0.25">
      <c r="B1776" t="str">
        <v>Earnifty</v>
      </c>
      <c r="C1776" t="str">
        <v>Yield Aggregator</v>
      </c>
      <c r="D1776" t="str">
        <v>-</v>
      </c>
      <c r="E1776">
        <v>66.975766267782419</v>
      </c>
      <c r="F1776">
        <v>0</v>
      </c>
    </row>
    <row r="1777" spans="2:6" ht="15.75" customHeight="1" x14ac:dyDescent="0.25">
      <c r="B1777" t="str">
        <v>Earnium</v>
      </c>
      <c r="C1777" t="str">
        <v>Dexs</v>
      </c>
      <c r="D1777" t="str">
        <v>-</v>
      </c>
      <c r="E1777">
        <v>251432.2015822707</v>
      </c>
      <c r="F1777">
        <v>0</v>
      </c>
    </row>
    <row r="1778" spans="2:6" ht="15.75" customHeight="1" x14ac:dyDescent="0.25">
      <c r="B1778" t="str">
        <v>Earnmos</v>
      </c>
      <c r="C1778" t="str">
        <v>Yield Aggregator</v>
      </c>
      <c r="D1778" t="str">
        <v>-</v>
      </c>
      <c r="E1778">
        <v>0</v>
      </c>
      <c r="F1778">
        <v>0</v>
      </c>
    </row>
    <row r="1779" spans="2:6" ht="15.75" customHeight="1" x14ac:dyDescent="0.25">
      <c r="B1779" t="str">
        <v>Easedefi.org</v>
      </c>
      <c r="C1779" t="str">
        <v>Insurance</v>
      </c>
      <c r="D1779" t="str">
        <v>EASE</v>
      </c>
      <c r="E1779">
        <v>8732121.4698193036</v>
      </c>
      <c r="F1779">
        <v>0</v>
      </c>
    </row>
    <row r="1780" spans="2:6" ht="15.75" customHeight="1" x14ac:dyDescent="0.25">
      <c r="B1780" t="str">
        <v>EazySwap</v>
      </c>
      <c r="C1780" t="str">
        <v>Dexs</v>
      </c>
      <c r="D1780" t="str">
        <v>EAZY</v>
      </c>
      <c r="E1780">
        <v>2252.2152881009251</v>
      </c>
      <c r="F1780">
        <v>0</v>
      </c>
    </row>
    <row r="1781" spans="2:6" ht="15.75" customHeight="1" x14ac:dyDescent="0.25">
      <c r="B1781" t="str">
        <v>Ebisu V1</v>
      </c>
      <c r="C1781" t="str">
        <v>CDP</v>
      </c>
      <c r="D1781" t="str">
        <v>-</v>
      </c>
      <c r="E1781">
        <v>8908.1191776233372</v>
      </c>
      <c r="F1781">
        <v>0</v>
      </c>
    </row>
    <row r="1782" spans="2:6" ht="15.75" customHeight="1" x14ac:dyDescent="0.25">
      <c r="B1782" t="str">
        <v>Ebisu V2</v>
      </c>
      <c r="C1782" t="str">
        <v>CDP</v>
      </c>
      <c r="D1782" t="str">
        <v>-</v>
      </c>
      <c r="E1782">
        <v>719032.37907087605</v>
      </c>
      <c r="F1782">
        <v>0</v>
      </c>
    </row>
    <row r="1783" spans="2:6" ht="15.75" customHeight="1" x14ac:dyDescent="0.25">
      <c r="B1783" t="str">
        <v>Ebisus Bay</v>
      </c>
      <c r="C1783" t="str">
        <v>Dexs</v>
      </c>
      <c r="D1783" t="str">
        <v>FRTN</v>
      </c>
      <c r="E1783">
        <v>1392726.3615150545</v>
      </c>
      <c r="F1783">
        <v>159853.32109581024</v>
      </c>
    </row>
    <row r="1784" spans="2:6" ht="15.75" customHeight="1" x14ac:dyDescent="0.25">
      <c r="B1784" t="str">
        <v>eBTC Protocol</v>
      </c>
      <c r="C1784" t="str">
        <v>CDP</v>
      </c>
      <c r="D1784" t="str">
        <v>-</v>
      </c>
      <c r="E1784">
        <v>56649.746636183452</v>
      </c>
      <c r="F1784">
        <v>0</v>
      </c>
    </row>
    <row r="1785" spans="2:6" ht="15.75" customHeight="1" x14ac:dyDescent="0.25">
      <c r="B1785" t="str">
        <v>Echelon Initia Bridge</v>
      </c>
      <c r="C1785" t="str">
        <v>Canonical Bridge</v>
      </c>
      <c r="D1785" t="str">
        <v>-</v>
      </c>
      <c r="E1785">
        <v>113821.32297313772</v>
      </c>
      <c r="F1785">
        <v>0</v>
      </c>
    </row>
    <row r="1786" spans="2:6" ht="15.75" customHeight="1" x14ac:dyDescent="0.25">
      <c r="B1786" t="str">
        <v>Echelon Market</v>
      </c>
      <c r="C1786" t="str">
        <v>Lending</v>
      </c>
      <c r="D1786" t="str">
        <v>-</v>
      </c>
      <c r="E1786">
        <v>102086956.15699613</v>
      </c>
      <c r="F1786">
        <v>0</v>
      </c>
    </row>
    <row r="1787" spans="2:6" ht="15.75" customHeight="1" x14ac:dyDescent="0.25">
      <c r="B1787" t="str">
        <v>Echelon Prime</v>
      </c>
      <c r="C1787" t="str">
        <v>Gaming</v>
      </c>
      <c r="D1787" t="str">
        <v>PRIME</v>
      </c>
      <c r="E1787">
        <v>0</v>
      </c>
      <c r="F1787">
        <v>43808775.61883238</v>
      </c>
    </row>
    <row r="1788" spans="2:6" ht="15.75" customHeight="1" x14ac:dyDescent="0.25">
      <c r="B1788" t="str">
        <v>Echidna Finance</v>
      </c>
      <c r="C1788" t="str">
        <v>Yield</v>
      </c>
      <c r="D1788" t="str">
        <v>ECD</v>
      </c>
      <c r="E1788">
        <v>0</v>
      </c>
      <c r="F1788">
        <v>5707.7906808850366</v>
      </c>
    </row>
    <row r="1789" spans="2:6" ht="15.75" customHeight="1" x14ac:dyDescent="0.25">
      <c r="B1789" t="str">
        <v>Echo Bridge</v>
      </c>
      <c r="C1789" t="str">
        <v>Bridge</v>
      </c>
      <c r="D1789" t="str">
        <v>-</v>
      </c>
      <c r="E1789">
        <v>186991648.6302579</v>
      </c>
      <c r="F1789">
        <v>0</v>
      </c>
    </row>
    <row r="1790" spans="2:6" ht="15.75" customHeight="1" x14ac:dyDescent="0.25">
      <c r="B1790" t="str">
        <v>Echo Lending</v>
      </c>
      <c r="C1790" t="str">
        <v>Lending</v>
      </c>
      <c r="D1790" t="str">
        <v>-</v>
      </c>
      <c r="E1790">
        <v>179868054.13719049</v>
      </c>
      <c r="F1790">
        <v>0</v>
      </c>
    </row>
    <row r="1791" spans="2:6" ht="15.75" customHeight="1" x14ac:dyDescent="0.25">
      <c r="B1791" t="str">
        <v>Echo Liquid Staking</v>
      </c>
      <c r="C1791" t="str">
        <v>Liquid Staking</v>
      </c>
      <c r="D1791" t="str">
        <v>-</v>
      </c>
      <c r="E1791">
        <v>888023.49024870782</v>
      </c>
      <c r="F1791">
        <v>0</v>
      </c>
    </row>
    <row r="1792" spans="2:6" ht="15.75" customHeight="1" x14ac:dyDescent="0.25">
      <c r="B1792" t="str">
        <v>Echo Movement Bridge</v>
      </c>
      <c r="C1792" t="str">
        <v>Bridge</v>
      </c>
      <c r="D1792" t="str">
        <v>-</v>
      </c>
      <c r="E1792">
        <v>20026.251848794964</v>
      </c>
      <c r="F1792">
        <v>0</v>
      </c>
    </row>
    <row r="1793" spans="2:6" ht="15.75" customHeight="1" x14ac:dyDescent="0.25">
      <c r="B1793" t="str">
        <v>Echo Strategy</v>
      </c>
      <c r="C1793" t="str">
        <v>Yield Aggregator</v>
      </c>
      <c r="D1793" t="str">
        <v>-</v>
      </c>
      <c r="E1793">
        <v>4449341.1469381899</v>
      </c>
      <c r="F1793">
        <v>0</v>
      </c>
    </row>
    <row r="1794" spans="2:6" ht="15.75" customHeight="1" x14ac:dyDescent="0.25">
      <c r="B1794" t="str">
        <v>Echo.xyz</v>
      </c>
      <c r="C1794" t="str">
        <v>Private Investment Platform</v>
      </c>
      <c r="D1794" t="str">
        <v>-</v>
      </c>
      <c r="E1794">
        <v>0</v>
      </c>
      <c r="F1794">
        <v>0</v>
      </c>
    </row>
    <row r="1795" spans="2:6" ht="15.75" customHeight="1" x14ac:dyDescent="0.25">
      <c r="B1795" t="str">
        <v>EchoDEX V2</v>
      </c>
      <c r="C1795" t="str">
        <v>Dexs</v>
      </c>
      <c r="D1795" t="str">
        <v>ECP</v>
      </c>
      <c r="E1795">
        <v>52626.132552022318</v>
      </c>
      <c r="F1795">
        <v>0</v>
      </c>
    </row>
    <row r="1796" spans="2:6" ht="15.75" customHeight="1" x14ac:dyDescent="0.25">
      <c r="B1796" t="str">
        <v>EchoDEX V3</v>
      </c>
      <c r="C1796" t="str">
        <v>Dexs</v>
      </c>
      <c r="D1796" t="str">
        <v>ECP</v>
      </c>
      <c r="E1796">
        <v>46162.337712302884</v>
      </c>
      <c r="F1796">
        <v>0</v>
      </c>
    </row>
    <row r="1797" spans="2:6" ht="15.75" customHeight="1" x14ac:dyDescent="0.25">
      <c r="B1797" t="str">
        <v>ECHSWAP</v>
      </c>
      <c r="C1797" t="str">
        <v>Dexs</v>
      </c>
      <c r="D1797" t="str">
        <v>ECS</v>
      </c>
      <c r="E1797">
        <v>0</v>
      </c>
      <c r="F1797">
        <v>0</v>
      </c>
    </row>
    <row r="1798" spans="2:6" ht="15.75" customHeight="1" x14ac:dyDescent="0.25">
      <c r="B1798" t="str">
        <v>Eclipse Bridge</v>
      </c>
      <c r="C1798" t="str">
        <v>Canonical Bridge</v>
      </c>
      <c r="D1798" t="str">
        <v>-</v>
      </c>
      <c r="E1798">
        <v>10423399.008151414</v>
      </c>
      <c r="F1798">
        <v>0</v>
      </c>
    </row>
    <row r="1799" spans="2:6" ht="15.75" customHeight="1" x14ac:dyDescent="0.25">
      <c r="B1799" t="str">
        <v>EclipseFi</v>
      </c>
      <c r="C1799" t="str">
        <v>Launchpad</v>
      </c>
      <c r="D1799" t="str">
        <v>ECLIP</v>
      </c>
      <c r="E1799">
        <v>10298.260205108656</v>
      </c>
      <c r="F1799">
        <v>289495.5380821664</v>
      </c>
    </row>
    <row r="1800" spans="2:6" ht="15.75" customHeight="1" x14ac:dyDescent="0.25">
      <c r="B1800" t="str">
        <v>EcoDeFi</v>
      </c>
      <c r="C1800" t="str">
        <v>Lending</v>
      </c>
      <c r="D1800" t="str">
        <v>ESG</v>
      </c>
      <c r="E1800">
        <v>7.2105471597956949</v>
      </c>
      <c r="F1800">
        <v>0</v>
      </c>
    </row>
    <row r="1801" spans="2:6" ht="15.75" customHeight="1" x14ac:dyDescent="0.25">
      <c r="B1801" t="str">
        <v>Econia</v>
      </c>
      <c r="C1801" t="str">
        <v>Dexs</v>
      </c>
      <c r="D1801" t="str">
        <v>-</v>
      </c>
      <c r="E1801">
        <v>177215.81631113001</v>
      </c>
      <c r="F1801">
        <v>0</v>
      </c>
    </row>
    <row r="1802" spans="2:6" ht="15.75" customHeight="1" x14ac:dyDescent="0.25">
      <c r="B1802" t="str">
        <v>eCurve</v>
      </c>
      <c r="C1802" t="str">
        <v>Dexs</v>
      </c>
      <c r="D1802" t="str">
        <v>ECRV</v>
      </c>
      <c r="E1802">
        <v>0</v>
      </c>
      <c r="F1802">
        <v>0</v>
      </c>
    </row>
    <row r="1803" spans="2:6" ht="15.75" customHeight="1" x14ac:dyDescent="0.25">
      <c r="B1803" t="str">
        <v>edBank</v>
      </c>
      <c r="C1803" t="str">
        <v>CDP</v>
      </c>
      <c r="D1803" t="str">
        <v>-</v>
      </c>
      <c r="E1803">
        <v>20811.792516322686</v>
      </c>
      <c r="F1803">
        <v>0</v>
      </c>
    </row>
    <row r="1804" spans="2:6" ht="15.75" customHeight="1" x14ac:dyDescent="0.25">
      <c r="B1804" t="str">
        <v>EddyFinance AMM</v>
      </c>
      <c r="C1804" t="str">
        <v>Dexs</v>
      </c>
      <c r="D1804" t="str">
        <v>-</v>
      </c>
      <c r="E1804">
        <v>420788.37000362296</v>
      </c>
      <c r="F1804">
        <v>0</v>
      </c>
    </row>
    <row r="1805" spans="2:6" ht="15.75" customHeight="1" x14ac:dyDescent="0.25">
      <c r="B1805" t="str">
        <v>EddyFinance StableSwap</v>
      </c>
      <c r="C1805" t="str">
        <v>Dexs</v>
      </c>
      <c r="D1805" t="str">
        <v>-</v>
      </c>
      <c r="E1805">
        <v>17689.214595500027</v>
      </c>
      <c r="F1805">
        <v>0</v>
      </c>
    </row>
    <row r="1806" spans="2:6" ht="15.75" customHeight="1" x14ac:dyDescent="0.25">
      <c r="B1806" t="str">
        <v>EddyFinance V3</v>
      </c>
      <c r="C1806" t="str">
        <v>Dexs</v>
      </c>
      <c r="D1806" t="str">
        <v>-</v>
      </c>
      <c r="E1806">
        <v>9536.1066409056493</v>
      </c>
      <c r="F1806">
        <v>0</v>
      </c>
    </row>
    <row r="1807" spans="2:6" ht="15.75" customHeight="1" x14ac:dyDescent="0.25">
      <c r="B1807" t="str">
        <v>EDEBASE</v>
      </c>
      <c r="C1807" t="str">
        <v>Derivatives</v>
      </c>
      <c r="D1807" t="str">
        <v>EDE</v>
      </c>
      <c r="E1807">
        <v>1031.807003684112</v>
      </c>
      <c r="F1807">
        <v>0</v>
      </c>
    </row>
    <row r="1808" spans="2:6" ht="15.75" customHeight="1" x14ac:dyDescent="0.25">
      <c r="B1808" t="str">
        <v>Eden Finance</v>
      </c>
      <c r="C1808" t="str">
        <v>Lending</v>
      </c>
      <c r="D1808" t="str">
        <v>-</v>
      </c>
      <c r="E1808">
        <v>99.924761396879916</v>
      </c>
      <c r="F1808">
        <v>0</v>
      </c>
    </row>
    <row r="1809" spans="2:6" ht="15.75" customHeight="1" x14ac:dyDescent="0.25">
      <c r="B1809" t="str">
        <v>Eden Relay</v>
      </c>
      <c r="C1809" t="str">
        <v>MEV</v>
      </c>
      <c r="D1809" t="str">
        <v>-</v>
      </c>
      <c r="E1809">
        <v>0</v>
      </c>
      <c r="F1809">
        <v>0</v>
      </c>
    </row>
    <row r="1810" spans="2:6" ht="15.75" customHeight="1" x14ac:dyDescent="0.25">
      <c r="B1810" t="str">
        <v>Edge Protocol</v>
      </c>
      <c r="C1810" t="str">
        <v>Lending</v>
      </c>
      <c r="D1810" t="str">
        <v>-</v>
      </c>
      <c r="E1810">
        <v>4482.3825955473503</v>
      </c>
      <c r="F1810">
        <v>0</v>
      </c>
    </row>
    <row r="1811" spans="2:6" ht="15.75" customHeight="1" x14ac:dyDescent="0.25">
      <c r="B1811" t="str">
        <v>Edgevana</v>
      </c>
      <c r="C1811" t="str">
        <v>Liquid Staking</v>
      </c>
      <c r="D1811" t="str">
        <v>-</v>
      </c>
      <c r="E1811">
        <v>112617972.95972842</v>
      </c>
      <c r="F1811">
        <v>0</v>
      </c>
    </row>
    <row r="1812" spans="2:6" ht="15.75" customHeight="1" x14ac:dyDescent="0.25">
      <c r="B1812" t="str">
        <v>edgeX Bridge</v>
      </c>
      <c r="C1812" t="str">
        <v>Bridge</v>
      </c>
      <c r="D1812" t="str">
        <v>-</v>
      </c>
      <c r="E1812">
        <v>366585133.02682662</v>
      </c>
      <c r="F1812">
        <v>0</v>
      </c>
    </row>
    <row r="1813" spans="2:6" ht="15.75" customHeight="1" x14ac:dyDescent="0.25">
      <c r="B1813" t="str">
        <v>edgeX Perps</v>
      </c>
      <c r="C1813" t="str">
        <v>Derivatives</v>
      </c>
      <c r="D1813" t="str">
        <v>-</v>
      </c>
      <c r="E1813">
        <v>0</v>
      </c>
      <c r="F1813">
        <v>0</v>
      </c>
    </row>
    <row r="1814" spans="2:6" ht="15.75" customHeight="1" x14ac:dyDescent="0.25">
      <c r="B1814" t="str">
        <v>eesee</v>
      </c>
      <c r="C1814" t="str">
        <v>Prediction Market</v>
      </c>
      <c r="D1814" t="str">
        <v>ESE</v>
      </c>
      <c r="E1814">
        <v>43568.826067421316</v>
      </c>
      <c r="F1814">
        <v>1299205.8529236959</v>
      </c>
    </row>
    <row r="1815" spans="2:6" ht="15.75" customHeight="1" x14ac:dyDescent="0.25">
      <c r="B1815" t="str">
        <v>Eggs Finance</v>
      </c>
      <c r="C1815" t="str">
        <v>Reserve Currency</v>
      </c>
      <c r="D1815" t="str">
        <v>EGGS</v>
      </c>
      <c r="E1815">
        <v>172854.5829453358</v>
      </c>
      <c r="F1815">
        <v>1049813.970011157</v>
      </c>
    </row>
    <row r="1816" spans="2:6" ht="15.75" customHeight="1" x14ac:dyDescent="0.25">
      <c r="B1816" t="str">
        <v>EggTartSwap</v>
      </c>
      <c r="C1816" t="str">
        <v>Dexs</v>
      </c>
      <c r="D1816" t="str">
        <v>EGGT</v>
      </c>
      <c r="E1816">
        <v>74.375111438058866</v>
      </c>
      <c r="F1816">
        <v>0</v>
      </c>
    </row>
    <row r="1817" spans="2:6" ht="15.75" customHeight="1" x14ac:dyDescent="0.25">
      <c r="B1817" t="str">
        <v>EigenCloud</v>
      </c>
      <c r="C1817" t="str">
        <v>Restaking</v>
      </c>
      <c r="D1817" t="str">
        <v>EIGEN</v>
      </c>
      <c r="E1817">
        <v>13709364477.113518</v>
      </c>
      <c r="F1817">
        <v>225021682.23616523</v>
      </c>
    </row>
    <row r="1818" spans="2:6" ht="15.75" customHeight="1" x14ac:dyDescent="0.25">
      <c r="B1818" t="str">
        <v>Eigenpie</v>
      </c>
      <c r="C1818" t="str">
        <v>Liquid Restaking</v>
      </c>
      <c r="D1818" t="str">
        <v>-</v>
      </c>
      <c r="E1818">
        <v>8490318.3909731675</v>
      </c>
      <c r="F1818">
        <v>0</v>
      </c>
    </row>
    <row r="1819" spans="2:6" ht="15.75" customHeight="1" x14ac:dyDescent="0.25">
      <c r="B1819" t="str">
        <v>EISEN Finance</v>
      </c>
      <c r="C1819" t="str">
        <v>DEX Aggregator</v>
      </c>
      <c r="D1819" t="str">
        <v>-</v>
      </c>
      <c r="E1819">
        <v>0</v>
      </c>
      <c r="F1819">
        <v>0</v>
      </c>
    </row>
    <row r="1820" spans="2:6" ht="15.75" customHeight="1" x14ac:dyDescent="0.25">
      <c r="B1820" t="str">
        <v>Eklipse Finance</v>
      </c>
      <c r="C1820" t="str">
        <v>Dexs</v>
      </c>
      <c r="D1820" t="str">
        <v>EKL</v>
      </c>
      <c r="E1820">
        <v>733077.26727077342</v>
      </c>
      <c r="F1820">
        <v>0</v>
      </c>
    </row>
    <row r="1821" spans="2:6" ht="15.75" customHeight="1" x14ac:dyDescent="0.25">
      <c r="B1821" t="str">
        <v>Ekubo</v>
      </c>
      <c r="C1821" t="str">
        <v>Dexs</v>
      </c>
      <c r="D1821" t="str">
        <v>EKUBO</v>
      </c>
      <c r="E1821">
        <v>56321823.820912011</v>
      </c>
      <c r="F1821">
        <v>25658155.37801604</v>
      </c>
    </row>
    <row r="1822" spans="2:6" ht="15.75" customHeight="1" x14ac:dyDescent="0.25">
      <c r="B1822" t="str">
        <v>El Dorado Exchange</v>
      </c>
      <c r="C1822" t="str">
        <v>Derivatives</v>
      </c>
      <c r="D1822" t="str">
        <v>EDE</v>
      </c>
      <c r="E1822">
        <v>44144.334841478005</v>
      </c>
      <c r="F1822">
        <v>0</v>
      </c>
    </row>
    <row r="1823" spans="2:6" ht="15.75" customHeight="1" x14ac:dyDescent="0.25">
      <c r="B1823" t="str">
        <v>Elara</v>
      </c>
      <c r="C1823" t="str">
        <v>Lending</v>
      </c>
      <c r="D1823" t="str">
        <v>-</v>
      </c>
      <c r="E1823">
        <v>215375.56193798414</v>
      </c>
      <c r="F1823">
        <v>0</v>
      </c>
    </row>
    <row r="1824" spans="2:6" ht="15.75" customHeight="1" x14ac:dyDescent="0.25">
      <c r="B1824" t="str">
        <v>ElasticSwap</v>
      </c>
      <c r="C1824" t="str">
        <v>Dexs</v>
      </c>
      <c r="D1824" t="str">
        <v>TIC</v>
      </c>
      <c r="E1824">
        <v>4107.7279842659937</v>
      </c>
      <c r="F1824">
        <v>0</v>
      </c>
    </row>
    <row r="1825" spans="2:6" ht="15.75" customHeight="1" x14ac:dyDescent="0.25">
      <c r="B1825" t="str">
        <v>Electra</v>
      </c>
      <c r="C1825" t="str">
        <v>Derivatives</v>
      </c>
      <c r="D1825" t="str">
        <v>-</v>
      </c>
      <c r="E1825">
        <v>340252.1516127981</v>
      </c>
      <c r="F1825">
        <v>0</v>
      </c>
    </row>
    <row r="1826" spans="2:6" ht="15.75" customHeight="1" x14ac:dyDescent="0.25">
      <c r="B1826" t="str">
        <v>Electrik Finance</v>
      </c>
      <c r="C1826" t="str">
        <v>Yield Aggregator</v>
      </c>
      <c r="D1826" t="str">
        <v>-</v>
      </c>
      <c r="E1826">
        <v>0</v>
      </c>
      <c r="F1826">
        <v>0</v>
      </c>
    </row>
    <row r="1827" spans="2:6" ht="15.75" customHeight="1" x14ac:dyDescent="0.25">
      <c r="B1827" t="str">
        <v>ElectroSwap V2</v>
      </c>
      <c r="C1827" t="str">
        <v>Dexs</v>
      </c>
      <c r="D1827" t="str">
        <v>BOLT</v>
      </c>
      <c r="E1827">
        <v>20298.575945052689</v>
      </c>
      <c r="F1827">
        <v>0</v>
      </c>
    </row>
    <row r="1828" spans="2:6" ht="15.75" customHeight="1" x14ac:dyDescent="0.25">
      <c r="B1828" t="str">
        <v>ElectroSwap V3</v>
      </c>
      <c r="C1828" t="str">
        <v>Dexs</v>
      </c>
      <c r="D1828" t="str">
        <v>BOLT</v>
      </c>
      <c r="E1828">
        <v>212198.58547450282</v>
      </c>
      <c r="F1828">
        <v>0</v>
      </c>
    </row>
    <row r="1829" spans="2:6" ht="15.75" customHeight="1" x14ac:dyDescent="0.25">
      <c r="B1829" t="str">
        <v>ElectroWizy</v>
      </c>
      <c r="C1829" t="str">
        <v>Yield</v>
      </c>
      <c r="D1829" t="str">
        <v>-</v>
      </c>
      <c r="E1829">
        <v>127.00183064071393</v>
      </c>
      <c r="F1829">
        <v>0</v>
      </c>
    </row>
    <row r="1830" spans="2:6" ht="15.75" customHeight="1" x14ac:dyDescent="0.25">
      <c r="B1830" t="str">
        <v>Elektrik</v>
      </c>
      <c r="C1830" t="str">
        <v>Dexs</v>
      </c>
      <c r="D1830" t="str">
        <v>ELTK</v>
      </c>
      <c r="E1830">
        <v>25900.375749552659</v>
      </c>
      <c r="F1830">
        <v>0</v>
      </c>
    </row>
    <row r="1831" spans="2:6" ht="15.75" customHeight="1" x14ac:dyDescent="0.25">
      <c r="B1831" t="str">
        <v>Element NFT Marketplace</v>
      </c>
      <c r="C1831" t="str">
        <v>NFT Marketplace</v>
      </c>
      <c r="D1831" t="str">
        <v>-</v>
      </c>
      <c r="E1831">
        <v>103.63061831650569</v>
      </c>
      <c r="F1831">
        <v>0</v>
      </c>
    </row>
    <row r="1832" spans="2:6" ht="15.75" customHeight="1" x14ac:dyDescent="0.25">
      <c r="B1832" t="str">
        <v>Elephant Money</v>
      </c>
      <c r="C1832" t="str">
        <v>Yield</v>
      </c>
      <c r="D1832" t="str">
        <v>ELEPHANT</v>
      </c>
      <c r="E1832">
        <v>0</v>
      </c>
      <c r="F1832">
        <v>25739233.358429976</v>
      </c>
    </row>
    <row r="1833" spans="2:6" ht="15.75" customHeight="1" x14ac:dyDescent="0.25">
      <c r="B1833" t="str">
        <v>Elephantdex</v>
      </c>
      <c r="C1833" t="str">
        <v>Dexs</v>
      </c>
      <c r="D1833" t="str">
        <v>ELEPHANT</v>
      </c>
      <c r="E1833">
        <v>3374.7207925759303</v>
      </c>
      <c r="F1833">
        <v>0</v>
      </c>
    </row>
    <row r="1834" spans="2:6" ht="15.75" customHeight="1" x14ac:dyDescent="0.25">
      <c r="B1834" t="str">
        <v>Elexium</v>
      </c>
      <c r="C1834" t="str">
        <v>Dexs</v>
      </c>
      <c r="D1834" t="str">
        <v>EX</v>
      </c>
      <c r="E1834">
        <v>259704.41623094087</v>
      </c>
      <c r="F1834">
        <v>127201.82528436149</v>
      </c>
    </row>
    <row r="1835" spans="2:6" ht="15.75" customHeight="1" x14ac:dyDescent="0.25">
      <c r="B1835" t="str">
        <v>Elf Finance</v>
      </c>
      <c r="C1835" t="str">
        <v>Algo-Stables</v>
      </c>
      <c r="D1835" t="str">
        <v>ELF</v>
      </c>
      <c r="E1835">
        <v>0</v>
      </c>
      <c r="F1835">
        <v>0</v>
      </c>
    </row>
    <row r="1836" spans="2:6" ht="15.75" customHeight="1" x14ac:dyDescent="0.25">
      <c r="B1836" t="str">
        <v>ELFi Protocol</v>
      </c>
      <c r="C1836" t="str">
        <v>Derivatives</v>
      </c>
      <c r="D1836" t="str">
        <v>-</v>
      </c>
      <c r="E1836">
        <v>7968793.4960189071</v>
      </c>
      <c r="F1836">
        <v>0</v>
      </c>
    </row>
    <row r="1837" spans="2:6" ht="15.75" customHeight="1" x14ac:dyDescent="0.25">
      <c r="B1837" t="str">
        <v>Elix.fi</v>
      </c>
      <c r="C1837" t="str">
        <v>Dexs</v>
      </c>
      <c r="D1837" t="str">
        <v>-</v>
      </c>
      <c r="E1837">
        <v>113557.2310356902</v>
      </c>
      <c r="F1837">
        <v>0</v>
      </c>
    </row>
    <row r="1838" spans="2:6" ht="15.75" customHeight="1" x14ac:dyDescent="0.25">
      <c r="B1838" t="str">
        <v>Elixir</v>
      </c>
      <c r="C1838" t="str">
        <v>Yield</v>
      </c>
      <c r="D1838" t="str">
        <v>ELX</v>
      </c>
      <c r="E1838">
        <v>535320.98188707826</v>
      </c>
      <c r="F1838">
        <v>734040.16064375709</v>
      </c>
    </row>
    <row r="1839" spans="2:6" ht="15.75" customHeight="1" x14ac:dyDescent="0.25">
      <c r="B1839" t="str">
        <v>Elk</v>
      </c>
      <c r="C1839" t="str">
        <v>Dexs</v>
      </c>
      <c r="D1839" t="str">
        <v>ELK</v>
      </c>
      <c r="E1839">
        <v>306897.23642740876</v>
      </c>
      <c r="F1839">
        <v>314191.49022377434</v>
      </c>
    </row>
    <row r="1840" spans="2:6" ht="15.75" customHeight="1" x14ac:dyDescent="0.25">
      <c r="B1840" t="str">
        <v>Ellipsis Finance</v>
      </c>
      <c r="C1840" t="str">
        <v>Dexs</v>
      </c>
      <c r="D1840" t="str">
        <v>EPS</v>
      </c>
      <c r="E1840">
        <v>1233100.2155495677</v>
      </c>
      <c r="F1840">
        <v>14718704.385004247</v>
      </c>
    </row>
    <row r="1841" spans="2:6" ht="15.75" customHeight="1" x14ac:dyDescent="0.25">
      <c r="B1841" t="str">
        <v>ELMA</v>
      </c>
      <c r="C1841" t="str">
        <v>Lending</v>
      </c>
      <c r="D1841" t="str">
        <v>ELITE</v>
      </c>
      <c r="E1841">
        <v>39.306778274570767</v>
      </c>
      <c r="F1841">
        <v>0</v>
      </c>
    </row>
    <row r="1842" spans="2:6" ht="15.75" customHeight="1" x14ac:dyDescent="0.25">
      <c r="B1842" t="str">
        <v>eLOCKS</v>
      </c>
      <c r="C1842" t="str">
        <v>Yield</v>
      </c>
      <c r="D1842" t="str">
        <v>eLOCKS</v>
      </c>
      <c r="E1842">
        <v>27118.854196087123</v>
      </c>
      <c r="F1842">
        <v>0</v>
      </c>
    </row>
    <row r="1843" spans="2:6" ht="15.75" customHeight="1" x14ac:dyDescent="0.25">
      <c r="B1843" t="str">
        <v>ElonSwap</v>
      </c>
      <c r="C1843" t="str">
        <v>Dexs</v>
      </c>
      <c r="D1843" t="str">
        <v>ERROL</v>
      </c>
      <c r="E1843">
        <v>389.16530237496215</v>
      </c>
      <c r="F1843">
        <v>0</v>
      </c>
    </row>
    <row r="1844" spans="2:6" ht="15.75" customHeight="1" x14ac:dyDescent="0.25">
      <c r="B1844" t="str">
        <v>ELYFI</v>
      </c>
      <c r="C1844" t="str">
        <v>RWA</v>
      </c>
      <c r="D1844" t="str">
        <v>ELFI</v>
      </c>
      <c r="E1844">
        <v>40.77298948966709</v>
      </c>
      <c r="F1844">
        <v>288532.93545066251</v>
      </c>
    </row>
    <row r="1845" spans="2:6" ht="15.75" customHeight="1" x14ac:dyDescent="0.25">
      <c r="B1845" t="str">
        <v>Elys DEX</v>
      </c>
      <c r="C1845" t="str">
        <v>Dexs</v>
      </c>
      <c r="D1845" t="str">
        <v>-</v>
      </c>
      <c r="E1845">
        <v>40291.269980690682</v>
      </c>
      <c r="F1845">
        <v>0</v>
      </c>
    </row>
    <row r="1846" spans="2:6" ht="15.75" customHeight="1" x14ac:dyDescent="0.25">
      <c r="B1846" t="str">
        <v>Elys Earn</v>
      </c>
      <c r="C1846" t="str">
        <v>Lending</v>
      </c>
      <c r="D1846" t="str">
        <v>-</v>
      </c>
      <c r="E1846">
        <v>2360173.6803099997</v>
      </c>
      <c r="F1846">
        <v>0</v>
      </c>
    </row>
    <row r="1847" spans="2:6" ht="15.75" customHeight="1" x14ac:dyDescent="0.25">
      <c r="B1847" t="str">
        <v>Elys Perpetual</v>
      </c>
      <c r="C1847" t="str">
        <v>Derivatives</v>
      </c>
      <c r="D1847" t="str">
        <v>-</v>
      </c>
      <c r="E1847">
        <v>0</v>
      </c>
      <c r="F1847">
        <v>0</v>
      </c>
    </row>
    <row r="1848" spans="2:6" ht="15.75" customHeight="1" x14ac:dyDescent="0.25">
      <c r="B1848" t="str">
        <v>Elysium Bridge</v>
      </c>
      <c r="C1848" t="str">
        <v>Bridge</v>
      </c>
      <c r="D1848" t="str">
        <v>-</v>
      </c>
      <c r="E1848">
        <v>702073.26477534219</v>
      </c>
      <c r="F1848">
        <v>0</v>
      </c>
    </row>
    <row r="1849" spans="2:6" ht="15.75" customHeight="1" x14ac:dyDescent="0.25">
      <c r="B1849" t="str">
        <v>ElysiumSwap</v>
      </c>
      <c r="C1849" t="str">
        <v>Dexs</v>
      </c>
      <c r="D1849" t="str">
        <v>-</v>
      </c>
      <c r="E1849">
        <v>133778.95086417673</v>
      </c>
      <c r="F1849">
        <v>0</v>
      </c>
    </row>
    <row r="1850" spans="2:6" ht="15.75" customHeight="1" x14ac:dyDescent="0.25">
      <c r="B1850" t="str">
        <v>Elyx Finance</v>
      </c>
      <c r="C1850" t="str">
        <v>Indexes</v>
      </c>
      <c r="D1850" t="str">
        <v>-</v>
      </c>
      <c r="E1850">
        <v>3112.0679721941319</v>
      </c>
      <c r="F1850">
        <v>0</v>
      </c>
    </row>
    <row r="1851" spans="2:6" ht="15.75" customHeight="1" x14ac:dyDescent="0.25">
      <c r="B1851" t="str">
        <v>Ember Protocol</v>
      </c>
      <c r="C1851" t="str">
        <v>Risk Curators</v>
      </c>
      <c r="D1851" t="str">
        <v>-</v>
      </c>
      <c r="E1851">
        <v>56615599.439023994</v>
      </c>
      <c r="F1851">
        <v>0</v>
      </c>
    </row>
    <row r="1852" spans="2:6" ht="15.75" customHeight="1" x14ac:dyDescent="0.25">
      <c r="B1852" t="str">
        <v>EmberSwap</v>
      </c>
      <c r="C1852" t="str">
        <v>Dexs</v>
      </c>
      <c r="D1852" t="str">
        <v>EMBER</v>
      </c>
      <c r="E1852">
        <v>104.52805711122929</v>
      </c>
      <c r="F1852">
        <v>0</v>
      </c>
    </row>
    <row r="1853" spans="2:6" ht="15.75" customHeight="1" x14ac:dyDescent="0.25">
      <c r="B1853" t="str">
        <v>Embr Bridge</v>
      </c>
      <c r="C1853" t="str">
        <v>Canonical Bridge</v>
      </c>
      <c r="D1853" t="str">
        <v>-</v>
      </c>
      <c r="E1853">
        <v>0</v>
      </c>
      <c r="F1853">
        <v>0</v>
      </c>
    </row>
    <row r="1854" spans="2:6" ht="15.75" customHeight="1" x14ac:dyDescent="0.25">
      <c r="B1854" t="str">
        <v>Embr Finance</v>
      </c>
      <c r="C1854" t="str">
        <v>Dexs</v>
      </c>
      <c r="D1854" t="str">
        <v>EMBR</v>
      </c>
      <c r="E1854">
        <v>9037.7426468985759</v>
      </c>
      <c r="F1854">
        <v>0</v>
      </c>
    </row>
    <row r="1855" spans="2:6" ht="15.75" customHeight="1" x14ac:dyDescent="0.25">
      <c r="B1855" t="str">
        <v>EMDX</v>
      </c>
      <c r="C1855" t="str">
        <v>Derivatives</v>
      </c>
      <c r="D1855" t="str">
        <v>EMDX</v>
      </c>
      <c r="E1855">
        <v>0</v>
      </c>
      <c r="F1855">
        <v>0</v>
      </c>
    </row>
    <row r="1856" spans="2:6" ht="15.75" customHeight="1" x14ac:dyDescent="0.25">
      <c r="B1856" t="str">
        <v>Emerald Swap</v>
      </c>
      <c r="C1856" t="str">
        <v>Yield</v>
      </c>
      <c r="D1856" t="str">
        <v>EMERALD</v>
      </c>
      <c r="E1856">
        <v>343.86746249285937</v>
      </c>
      <c r="F1856">
        <v>0</v>
      </c>
    </row>
    <row r="1857" spans="2:6" ht="15.75" customHeight="1" x14ac:dyDescent="0.25">
      <c r="B1857" t="str">
        <v>EmiSwap</v>
      </c>
      <c r="C1857" t="str">
        <v>Dexs</v>
      </c>
      <c r="D1857" t="str">
        <v>ESW</v>
      </c>
      <c r="E1857">
        <v>33547.838050059217</v>
      </c>
      <c r="F1857">
        <v>0</v>
      </c>
    </row>
    <row r="1858" spans="2:6" ht="15.75" customHeight="1" x14ac:dyDescent="0.25">
      <c r="B1858" t="str">
        <v>Emojicoin.fun</v>
      </c>
      <c r="C1858" t="str">
        <v>Launchpad</v>
      </c>
      <c r="D1858" t="str">
        <v>-</v>
      </c>
      <c r="E1858">
        <v>129145.32740158387</v>
      </c>
      <c r="F1858">
        <v>0</v>
      </c>
    </row>
    <row r="1859" spans="2:6" ht="15.75" customHeight="1" x14ac:dyDescent="0.25">
      <c r="B1859" t="str">
        <v>Emp Money</v>
      </c>
      <c r="C1859" t="str">
        <v>Algo-Stables</v>
      </c>
      <c r="D1859" t="str">
        <v>EMP</v>
      </c>
      <c r="E1859">
        <v>0</v>
      </c>
      <c r="F1859">
        <v>0</v>
      </c>
    </row>
    <row r="1860" spans="2:6" ht="15.75" customHeight="1" x14ac:dyDescent="0.25">
      <c r="B1860" t="str">
        <v>EmpireDEX</v>
      </c>
      <c r="C1860" t="str">
        <v>Dexs</v>
      </c>
      <c r="D1860" t="str">
        <v>EMPIRE</v>
      </c>
      <c r="E1860">
        <v>3571349.2489868468</v>
      </c>
      <c r="F1860">
        <v>0</v>
      </c>
    </row>
    <row r="1861" spans="2:6" ht="15.75" customHeight="1" x14ac:dyDescent="0.25">
      <c r="B1861" t="str">
        <v>Emporium</v>
      </c>
      <c r="C1861" t="str">
        <v>Physical TCG</v>
      </c>
      <c r="D1861" t="str">
        <v>-</v>
      </c>
      <c r="E1861">
        <v>0</v>
      </c>
      <c r="F1861">
        <v>0</v>
      </c>
    </row>
    <row r="1862" spans="2:6" ht="15.75" customHeight="1" x14ac:dyDescent="0.25">
      <c r="B1862" t="str">
        <v>Empyreal</v>
      </c>
      <c r="C1862" t="str">
        <v>Yield</v>
      </c>
      <c r="D1862" t="str">
        <v>EMP</v>
      </c>
      <c r="E1862">
        <v>0</v>
      </c>
      <c r="F1862">
        <v>3398856.2524442459</v>
      </c>
    </row>
    <row r="1863" spans="2:6" ht="15.75" customHeight="1" x14ac:dyDescent="0.25">
      <c r="B1863" t="str">
        <v>Empyrean DAO</v>
      </c>
      <c r="C1863" t="str">
        <v>Reserve Currency</v>
      </c>
      <c r="D1863" t="str">
        <v>EMPYR</v>
      </c>
      <c r="E1863">
        <v>0</v>
      </c>
      <c r="F1863">
        <v>0</v>
      </c>
    </row>
    <row r="1864" spans="2:6" ht="15.75" customHeight="1" x14ac:dyDescent="0.25">
      <c r="B1864" t="str">
        <v>Emu</v>
      </c>
      <c r="C1864" t="str">
        <v>Farm</v>
      </c>
      <c r="D1864" t="str">
        <v>EMU</v>
      </c>
      <c r="E1864">
        <v>0</v>
      </c>
      <c r="F1864">
        <v>0</v>
      </c>
    </row>
    <row r="1865" spans="2:6" ht="15.75" customHeight="1" x14ac:dyDescent="0.25">
      <c r="B1865" t="str">
        <v>Enclabs</v>
      </c>
      <c r="C1865" t="str">
        <v>Lending</v>
      </c>
      <c r="D1865" t="str">
        <v>-</v>
      </c>
      <c r="E1865">
        <v>84512.476194421208</v>
      </c>
      <c r="F1865">
        <v>0</v>
      </c>
    </row>
    <row r="1866" spans="2:6" ht="15.75" customHeight="1" x14ac:dyDescent="0.25">
      <c r="B1866" t="str">
        <v>Encoins</v>
      </c>
      <c r="C1866" t="str">
        <v>Privacy</v>
      </c>
      <c r="D1866" t="str">
        <v>ENCS</v>
      </c>
      <c r="E1866">
        <v>13642.040363965181</v>
      </c>
      <c r="F1866">
        <v>0</v>
      </c>
    </row>
    <row r="1867" spans="2:6" ht="15.75" customHeight="1" x14ac:dyDescent="0.25">
      <c r="B1867" t="str">
        <v>Endur</v>
      </c>
      <c r="C1867" t="str">
        <v>Liquid Staking</v>
      </c>
      <c r="D1867" t="str">
        <v>-</v>
      </c>
      <c r="E1867">
        <v>35888699.408218227</v>
      </c>
      <c r="F1867">
        <v>0</v>
      </c>
    </row>
    <row r="1868" spans="2:6" ht="15.75" customHeight="1" x14ac:dyDescent="0.25">
      <c r="B1868" t="str">
        <v>Endurance Bridge</v>
      </c>
      <c r="C1868" t="str">
        <v>Bridge</v>
      </c>
      <c r="D1868" t="str">
        <v>-</v>
      </c>
      <c r="E1868">
        <v>6769200.6371721569</v>
      </c>
      <c r="F1868">
        <v>0</v>
      </c>
    </row>
    <row r="1869" spans="2:6" ht="15.75" customHeight="1" x14ac:dyDescent="0.25">
      <c r="B1869" t="str">
        <v>Energiswap</v>
      </c>
      <c r="C1869" t="str">
        <v>Dexs</v>
      </c>
      <c r="D1869" t="str">
        <v>NRG</v>
      </c>
      <c r="E1869">
        <v>208718.63555827361</v>
      </c>
      <c r="F1869">
        <v>2129893.0268323938</v>
      </c>
    </row>
    <row r="1870" spans="2:6" ht="15.75" customHeight="1" x14ac:dyDescent="0.25">
      <c r="B1870" t="str">
        <v>Energon DEX</v>
      </c>
      <c r="C1870" t="str">
        <v>Dexs</v>
      </c>
      <c r="D1870" t="str">
        <v>EGD</v>
      </c>
      <c r="E1870">
        <v>1205.5020080945999</v>
      </c>
      <c r="F1870">
        <v>0</v>
      </c>
    </row>
    <row r="1871" spans="2:6" ht="15.75" customHeight="1" x14ac:dyDescent="0.25">
      <c r="B1871" t="str">
        <v>Energyfi</v>
      </c>
      <c r="C1871" t="str">
        <v>Dexs</v>
      </c>
      <c r="D1871" t="str">
        <v>EFT</v>
      </c>
      <c r="E1871">
        <v>48.623622393092042</v>
      </c>
      <c r="F1871">
        <v>0</v>
      </c>
    </row>
    <row r="1872" spans="2:6" ht="15.75" customHeight="1" x14ac:dyDescent="0.25">
      <c r="B1872" t="str">
        <v>ENIBridge</v>
      </c>
      <c r="C1872" t="str">
        <v>Canonical Bridge</v>
      </c>
      <c r="D1872" t="str">
        <v>-</v>
      </c>
      <c r="E1872">
        <v>3241853.9666616907</v>
      </c>
      <c r="F1872">
        <v>0</v>
      </c>
    </row>
    <row r="1873" spans="2:6" ht="15.75" customHeight="1" x14ac:dyDescent="0.25">
      <c r="B1873" t="str">
        <v>Enjoyoors</v>
      </c>
      <c r="C1873" t="str">
        <v>CDP</v>
      </c>
      <c r="D1873" t="str">
        <v>CETUS</v>
      </c>
      <c r="E1873">
        <v>14753.908946405576</v>
      </c>
      <c r="F1873">
        <v>0</v>
      </c>
    </row>
    <row r="1874" spans="2:6" ht="15.75" customHeight="1" x14ac:dyDescent="0.25">
      <c r="B1874" t="str">
        <v>ENKI Protocol</v>
      </c>
      <c r="C1874" t="str">
        <v>Liquid Staking</v>
      </c>
      <c r="D1874" t="str">
        <v>ENKI</v>
      </c>
      <c r="E1874">
        <v>447404.64023574779</v>
      </c>
      <c r="F1874">
        <v>48318.000029061011</v>
      </c>
    </row>
    <row r="1875" spans="2:6" ht="15.75" customHeight="1" x14ac:dyDescent="0.25">
      <c r="B1875" t="str">
        <v>Enosys AMM V2</v>
      </c>
      <c r="C1875" t="str">
        <v>Dexs</v>
      </c>
      <c r="D1875" t="str">
        <v>EXFI</v>
      </c>
      <c r="E1875">
        <v>373976.69867210859</v>
      </c>
      <c r="F1875">
        <v>0</v>
      </c>
    </row>
    <row r="1876" spans="2:6" ht="15.75" customHeight="1" x14ac:dyDescent="0.25">
      <c r="B1876" t="str">
        <v>Enosys AMM V3</v>
      </c>
      <c r="C1876" t="str">
        <v>Dexs</v>
      </c>
      <c r="D1876" t="str">
        <v>EXFI</v>
      </c>
      <c r="E1876">
        <v>11540623.702545488</v>
      </c>
      <c r="F1876">
        <v>0</v>
      </c>
    </row>
    <row r="1877" spans="2:6" ht="15.75" customHeight="1" x14ac:dyDescent="0.25">
      <c r="B1877" t="str">
        <v>Enosys Bridge</v>
      </c>
      <c r="C1877" t="str">
        <v>Bridge</v>
      </c>
      <c r="D1877" t="str">
        <v>-</v>
      </c>
      <c r="E1877">
        <v>798248.47392442625</v>
      </c>
      <c r="F1877">
        <v>0</v>
      </c>
    </row>
    <row r="1878" spans="2:6" ht="15.75" customHeight="1" x14ac:dyDescent="0.25">
      <c r="B1878" t="str">
        <v>Enosys Governance</v>
      </c>
      <c r="C1878" t="str">
        <v>Governance Incentives</v>
      </c>
      <c r="D1878" t="str">
        <v>-</v>
      </c>
      <c r="E1878">
        <v>0</v>
      </c>
      <c r="F1878">
        <v>0</v>
      </c>
    </row>
    <row r="1879" spans="2:6" ht="15.75" customHeight="1" x14ac:dyDescent="0.25">
      <c r="B1879" t="str">
        <v>Enosys Loans</v>
      </c>
      <c r="C1879" t="str">
        <v>CDP</v>
      </c>
      <c r="D1879" t="str">
        <v>EXFI</v>
      </c>
      <c r="E1879">
        <v>10477937.297130253</v>
      </c>
      <c r="F1879">
        <v>0</v>
      </c>
    </row>
    <row r="1880" spans="2:6" ht="15.75" customHeight="1" x14ac:dyDescent="0.25">
      <c r="B1880" t="str">
        <v>ENS</v>
      </c>
      <c r="C1880" t="str">
        <v>Domains</v>
      </c>
      <c r="D1880" t="str">
        <v>ENS</v>
      </c>
      <c r="E1880">
        <v>0</v>
      </c>
      <c r="F1880">
        <v>397149953.78350258</v>
      </c>
    </row>
    <row r="1881" spans="2:6" ht="15.75" customHeight="1" x14ac:dyDescent="0.25">
      <c r="B1881" t="str">
        <v>Enso</v>
      </c>
      <c r="C1881" t="str">
        <v>DEX Aggregator</v>
      </c>
      <c r="D1881" t="str">
        <v>ENSO</v>
      </c>
      <c r="E1881">
        <v>0</v>
      </c>
      <c r="F1881">
        <v>0</v>
      </c>
    </row>
    <row r="1882" spans="2:6" ht="15.75" customHeight="1" x14ac:dyDescent="0.25">
      <c r="B1882" t="str">
        <v>Ensuro</v>
      </c>
      <c r="C1882" t="str">
        <v>Insurance</v>
      </c>
      <c r="D1882" t="str">
        <v>-</v>
      </c>
      <c r="E1882">
        <v>504005.3072894807</v>
      </c>
      <c r="F1882">
        <v>0</v>
      </c>
    </row>
    <row r="1883" spans="2:6" ht="15.75" customHeight="1" x14ac:dyDescent="0.25">
      <c r="B1883" t="str">
        <v>EnterDAO</v>
      </c>
      <c r="C1883" t="str">
        <v>Gaming</v>
      </c>
      <c r="D1883" t="str">
        <v>ENTR</v>
      </c>
      <c r="E1883">
        <v>18355.889289217477</v>
      </c>
      <c r="F1883">
        <v>0</v>
      </c>
    </row>
    <row r="1884" spans="2:6" ht="15.75" customHeight="1" x14ac:dyDescent="0.25">
      <c r="B1884" t="str">
        <v>Entropyfi</v>
      </c>
      <c r="C1884" t="str">
        <v>Prediction Market</v>
      </c>
      <c r="D1884" t="str">
        <v>ERP</v>
      </c>
      <c r="E1884">
        <v>5236.0980292892091</v>
      </c>
      <c r="F1884">
        <v>0</v>
      </c>
    </row>
    <row r="1885" spans="2:6" ht="15.75" customHeight="1" x14ac:dyDescent="0.25">
      <c r="B1885" t="str">
        <v>Envelop</v>
      </c>
      <c r="C1885" t="str">
        <v>NftFi</v>
      </c>
      <c r="D1885" t="str">
        <v>NIFTSY</v>
      </c>
      <c r="E1885">
        <v>5116.5251910435491</v>
      </c>
      <c r="F1885">
        <v>0</v>
      </c>
    </row>
    <row r="1886" spans="2:6" ht="15.75" customHeight="1" x14ac:dyDescent="0.25">
      <c r="B1886" t="str">
        <v>ENZO Finance</v>
      </c>
      <c r="C1886" t="str">
        <v>Lending</v>
      </c>
      <c r="D1886" t="str">
        <v>-</v>
      </c>
      <c r="E1886">
        <v>22685.357611987198</v>
      </c>
      <c r="F1886">
        <v>0</v>
      </c>
    </row>
    <row r="1887" spans="2:6" ht="15.75" customHeight="1" x14ac:dyDescent="0.25">
      <c r="B1887" t="str">
        <v>Enzyme Finance</v>
      </c>
      <c r="C1887" t="str">
        <v>Indexes</v>
      </c>
      <c r="D1887" t="str">
        <v>MLN</v>
      </c>
      <c r="E1887">
        <v>128076376.74662933</v>
      </c>
      <c r="F1887">
        <v>14951733.821277499</v>
      </c>
    </row>
    <row r="1888" spans="2:6" ht="15.75" customHeight="1" x14ac:dyDescent="0.25">
      <c r="B1888" t="str">
        <v>EOS EVM Bridge</v>
      </c>
      <c r="C1888" t="str">
        <v>Bridge</v>
      </c>
      <c r="D1888" t="str">
        <v>-</v>
      </c>
      <c r="E1888">
        <v>0</v>
      </c>
      <c r="F1888">
        <v>0</v>
      </c>
    </row>
    <row r="1889" spans="2:6" ht="15.75" customHeight="1" x14ac:dyDescent="0.25">
      <c r="B1889" t="str">
        <v>EOSWAP Finance</v>
      </c>
      <c r="C1889" t="str">
        <v>Dexs</v>
      </c>
      <c r="D1889" t="str">
        <v>-</v>
      </c>
      <c r="E1889">
        <v>0</v>
      </c>
      <c r="F1889">
        <v>0</v>
      </c>
    </row>
    <row r="1890" spans="2:6" ht="15.75" customHeight="1" x14ac:dyDescent="0.25">
      <c r="B1890" t="str">
        <v>EPNS</v>
      </c>
      <c r="C1890" t="str">
        <v>Services</v>
      </c>
      <c r="D1890" t="str">
        <v>PUSH</v>
      </c>
      <c r="E1890">
        <v>0</v>
      </c>
      <c r="F1890">
        <v>1045398.9630005209</v>
      </c>
    </row>
    <row r="1891" spans="2:6" ht="15.75" customHeight="1" x14ac:dyDescent="0.25">
      <c r="B1891" t="str">
        <v>Epoch Island</v>
      </c>
      <c r="C1891" t="str">
        <v>Farm</v>
      </c>
      <c r="D1891" t="str">
        <v>EPOCH</v>
      </c>
      <c r="E1891">
        <v>7.5016511336682452</v>
      </c>
      <c r="F1891">
        <v>0</v>
      </c>
    </row>
    <row r="1892" spans="2:6" ht="15.75" customHeight="1" x14ac:dyDescent="0.25">
      <c r="B1892" t="str">
        <v>Epsylon Finance</v>
      </c>
      <c r="C1892" t="str">
        <v>Yield Aggregator</v>
      </c>
      <c r="D1892" t="str">
        <v>-</v>
      </c>
      <c r="E1892">
        <v>1602.0325580868591</v>
      </c>
      <c r="F1892">
        <v>0</v>
      </c>
    </row>
    <row r="1893" spans="2:6" ht="15.75" customHeight="1" x14ac:dyDescent="0.25">
      <c r="B1893" t="str">
        <v>Equalizer Exchange</v>
      </c>
      <c r="C1893" t="str">
        <v>Dexs</v>
      </c>
      <c r="D1893" t="str">
        <v>EQUAL</v>
      </c>
      <c r="E1893">
        <v>459291.38532229501</v>
      </c>
      <c r="F1893">
        <v>0</v>
      </c>
    </row>
    <row r="1894" spans="2:6" ht="15.75" customHeight="1" x14ac:dyDescent="0.25">
      <c r="B1894" t="str">
        <v>Equation V1</v>
      </c>
      <c r="C1894" t="str">
        <v>Derivatives</v>
      </c>
      <c r="D1894" t="str">
        <v>EQU</v>
      </c>
      <c r="E1894">
        <v>18.929118459664839</v>
      </c>
      <c r="F1894">
        <v>0</v>
      </c>
    </row>
    <row r="1895" spans="2:6" ht="15.75" customHeight="1" x14ac:dyDescent="0.25">
      <c r="B1895" t="str">
        <v>Equation V2</v>
      </c>
      <c r="C1895" t="str">
        <v>Derivatives</v>
      </c>
      <c r="D1895" t="str">
        <v>EQU</v>
      </c>
      <c r="E1895">
        <v>0.87575151033070953</v>
      </c>
      <c r="F1895">
        <v>0</v>
      </c>
    </row>
    <row r="1896" spans="2:6" ht="15.75" customHeight="1" x14ac:dyDescent="0.25">
      <c r="B1896" t="str">
        <v>Equation V3</v>
      </c>
      <c r="C1896" t="str">
        <v>Derivatives</v>
      </c>
      <c r="D1896" t="str">
        <v>EQU</v>
      </c>
      <c r="E1896">
        <v>0</v>
      </c>
      <c r="F1896">
        <v>0</v>
      </c>
    </row>
    <row r="1897" spans="2:6" ht="15.75" customHeight="1" x14ac:dyDescent="0.25">
      <c r="B1897" t="str">
        <v>Equilibre</v>
      </c>
      <c r="C1897" t="str">
        <v>Dexs</v>
      </c>
      <c r="D1897" t="str">
        <v>VARA</v>
      </c>
      <c r="E1897">
        <v>6874613.0075464901</v>
      </c>
      <c r="F1897">
        <v>0</v>
      </c>
    </row>
    <row r="1898" spans="2:6" ht="15.75" customHeight="1" x14ac:dyDescent="0.25">
      <c r="B1898" t="str">
        <v>Equilibria</v>
      </c>
      <c r="C1898" t="str">
        <v>Yield</v>
      </c>
      <c r="D1898" t="str">
        <v>EQB</v>
      </c>
      <c r="E1898">
        <v>61716127.548653528</v>
      </c>
      <c r="F1898">
        <v>7632780.2413344588</v>
      </c>
    </row>
    <row r="1899" spans="2:6" ht="15.75" customHeight="1" x14ac:dyDescent="0.25">
      <c r="B1899" t="str">
        <v>Equilibrium Lending</v>
      </c>
      <c r="C1899" t="str">
        <v>Lending</v>
      </c>
      <c r="D1899" t="str">
        <v>EQ</v>
      </c>
      <c r="E1899">
        <v>1134428.7005913283</v>
      </c>
      <c r="F1899">
        <v>0</v>
      </c>
    </row>
    <row r="1900" spans="2:6" ht="15.75" customHeight="1" x14ac:dyDescent="0.25">
      <c r="B1900" t="str">
        <v>Equito Finance</v>
      </c>
      <c r="C1900" t="str">
        <v>Bridge</v>
      </c>
      <c r="D1900" t="str">
        <v>-</v>
      </c>
      <c r="E1900">
        <v>14.309043275825772</v>
      </c>
      <c r="F1900">
        <v>0</v>
      </c>
    </row>
    <row r="1901" spans="2:6" ht="15.75" customHeight="1" x14ac:dyDescent="0.25">
      <c r="B1901" t="str">
        <v>Equity</v>
      </c>
      <c r="C1901" t="str">
        <v>Derivatives</v>
      </c>
      <c r="D1901" t="str">
        <v>EQUAL</v>
      </c>
      <c r="E1901">
        <v>26852.400869202167</v>
      </c>
      <c r="F1901">
        <v>0</v>
      </c>
    </row>
    <row r="1902" spans="2:6" ht="15.75" customHeight="1" x14ac:dyDescent="0.25">
      <c r="B1902" t="str">
        <v>EraLend</v>
      </c>
      <c r="C1902" t="str">
        <v>Lending</v>
      </c>
      <c r="D1902" t="str">
        <v>-</v>
      </c>
      <c r="E1902">
        <v>556401.72491509852</v>
      </c>
      <c r="F1902">
        <v>0</v>
      </c>
    </row>
    <row r="1903" spans="2:6" ht="15.75" customHeight="1" x14ac:dyDescent="0.25">
      <c r="B1903" t="str">
        <v>Erasure</v>
      </c>
      <c r="C1903" t="str">
        <v>Derivatives</v>
      </c>
      <c r="D1903" t="str">
        <v>NMR</v>
      </c>
      <c r="E1903">
        <v>2279562.9822403789</v>
      </c>
      <c r="F1903">
        <v>80782910.760792434</v>
      </c>
    </row>
    <row r="1904" spans="2:6" ht="15.75" customHeight="1" x14ac:dyDescent="0.25">
      <c r="B1904" t="str">
        <v>ERC Burner</v>
      </c>
      <c r="C1904" t="str">
        <v>DEX Aggregator</v>
      </c>
      <c r="D1904" t="str">
        <v>-</v>
      </c>
      <c r="E1904">
        <v>0</v>
      </c>
      <c r="F1904">
        <v>0</v>
      </c>
    </row>
    <row r="1905" spans="2:6" ht="15.75" customHeight="1" x14ac:dyDescent="0.25">
      <c r="B1905" t="str">
        <v>ErgoDEX</v>
      </c>
      <c r="C1905" t="str">
        <v>Dexs</v>
      </c>
      <c r="D1905" t="str">
        <v>-</v>
      </c>
      <c r="E1905">
        <v>751272.54372952774</v>
      </c>
      <c r="F1905">
        <v>0</v>
      </c>
    </row>
    <row r="1906" spans="2:6" ht="15.75" customHeight="1" x14ac:dyDescent="0.25">
      <c r="B1906" t="str">
        <v>ErgoPad</v>
      </c>
      <c r="C1906" t="str">
        <v>Launchpad</v>
      </c>
      <c r="D1906" t="str">
        <v>ERGOPAD</v>
      </c>
      <c r="E1906">
        <v>0</v>
      </c>
      <c r="F1906">
        <v>0</v>
      </c>
    </row>
    <row r="1907" spans="2:6" ht="15.75" customHeight="1" x14ac:dyDescent="0.25">
      <c r="B1907" t="str">
        <v>Erinaceus VRF</v>
      </c>
      <c r="C1907" t="str">
        <v>Oracle</v>
      </c>
      <c r="D1907" t="str">
        <v>-</v>
      </c>
      <c r="E1907">
        <v>0</v>
      </c>
      <c r="F1907">
        <v>0</v>
      </c>
    </row>
    <row r="1908" spans="2:6" ht="15.75" customHeight="1" x14ac:dyDescent="0.25">
      <c r="B1908" t="str">
        <v>Eris Protocol</v>
      </c>
      <c r="C1908" t="str">
        <v>Liquid Staking</v>
      </c>
      <c r="D1908" t="str">
        <v>-</v>
      </c>
      <c r="E1908">
        <v>2024973.4600179342</v>
      </c>
      <c r="F1908">
        <v>0</v>
      </c>
    </row>
    <row r="1909" spans="2:6" ht="15.75" customHeight="1" x14ac:dyDescent="0.25">
      <c r="B1909" t="str">
        <v>Escher</v>
      </c>
      <c r="C1909" t="str">
        <v>Liquid Staking</v>
      </c>
      <c r="D1909" t="str">
        <v>-</v>
      </c>
      <c r="E1909">
        <v>4186921.8330289479</v>
      </c>
      <c r="F1909">
        <v>0</v>
      </c>
    </row>
    <row r="1910" spans="2:6" ht="15.75" customHeight="1" x14ac:dyDescent="0.25">
      <c r="B1910" t="str">
        <v>ESCROW</v>
      </c>
      <c r="C1910" t="str">
        <v>Services</v>
      </c>
      <c r="D1910" t="str">
        <v>ESCROW</v>
      </c>
      <c r="E1910">
        <v>0</v>
      </c>
      <c r="F1910">
        <v>0</v>
      </c>
    </row>
    <row r="1911" spans="2:6" ht="15.75" customHeight="1" x14ac:dyDescent="0.25">
      <c r="B1911" t="str">
        <v>EsdtMarket</v>
      </c>
      <c r="C1911" t="str">
        <v>Dexs</v>
      </c>
      <c r="D1911" t="str">
        <v>-</v>
      </c>
      <c r="E1911">
        <v>287.93591012313823</v>
      </c>
      <c r="F1911">
        <v>0</v>
      </c>
    </row>
    <row r="1912" spans="2:6" ht="15.75" customHeight="1" x14ac:dyDescent="0.25">
      <c r="B1912" t="str">
        <v>Esper Finance</v>
      </c>
      <c r="C1912" t="str">
        <v>Dexs</v>
      </c>
      <c r="D1912" t="str">
        <v>-</v>
      </c>
      <c r="E1912">
        <v>27.338662628559316</v>
      </c>
      <c r="F1912">
        <v>0</v>
      </c>
    </row>
    <row r="1913" spans="2:6" ht="15.75" customHeight="1" x14ac:dyDescent="0.25">
      <c r="B1913" t="str">
        <v>Estate Protocol</v>
      </c>
      <c r="C1913" t="str">
        <v>RWA</v>
      </c>
      <c r="D1913" t="str">
        <v>-</v>
      </c>
      <c r="E1913">
        <v>12372053.057501089</v>
      </c>
      <c r="F1913">
        <v>0</v>
      </c>
    </row>
    <row r="1914" spans="2:6" ht="15.75" customHeight="1" x14ac:dyDescent="0.25">
      <c r="B1914" t="str">
        <v>Ester Finance</v>
      </c>
      <c r="C1914" t="str">
        <v>Yield</v>
      </c>
      <c r="D1914" t="str">
        <v>EST</v>
      </c>
      <c r="E1914">
        <v>0</v>
      </c>
      <c r="F1914">
        <v>0</v>
      </c>
    </row>
    <row r="1915" spans="2:6" ht="15.75" customHeight="1" x14ac:dyDescent="0.25">
      <c r="B1915" t="str">
        <v>EtaSwap</v>
      </c>
      <c r="C1915" t="str">
        <v>DEX Aggregator</v>
      </c>
      <c r="D1915" t="str">
        <v>-</v>
      </c>
      <c r="E1915">
        <v>0</v>
      </c>
      <c r="F1915">
        <v>0</v>
      </c>
    </row>
    <row r="1916" spans="2:6" ht="15.75" customHeight="1" x14ac:dyDescent="0.25">
      <c r="B1916" t="str">
        <v>ETCMC DEX</v>
      </c>
      <c r="C1916" t="str">
        <v>Dexs</v>
      </c>
      <c r="D1916" t="str">
        <v>ETCPOW</v>
      </c>
      <c r="E1916">
        <v>30840.275525792335</v>
      </c>
      <c r="F1916">
        <v>0</v>
      </c>
    </row>
    <row r="1917" spans="2:6" ht="15.75" customHeight="1" x14ac:dyDescent="0.25">
      <c r="B1917" t="str">
        <v>ETCswap V2</v>
      </c>
      <c r="C1917" t="str">
        <v>Dexs</v>
      </c>
      <c r="D1917" t="str">
        <v>-</v>
      </c>
      <c r="E1917">
        <v>5594.7407211312675</v>
      </c>
      <c r="F1917">
        <v>0</v>
      </c>
    </row>
    <row r="1918" spans="2:6" ht="15.75" customHeight="1" x14ac:dyDescent="0.25">
      <c r="B1918" t="str">
        <v>ETCswap V3</v>
      </c>
      <c r="C1918" t="str">
        <v>Dexs</v>
      </c>
      <c r="D1918" t="str">
        <v>-</v>
      </c>
      <c r="E1918">
        <v>52342.319288543877</v>
      </c>
      <c r="F1918">
        <v>0</v>
      </c>
    </row>
    <row r="1919" spans="2:6" ht="15.75" customHeight="1" x14ac:dyDescent="0.25">
      <c r="B1919" t="str">
        <v>Eternal Finance</v>
      </c>
      <c r="C1919" t="str">
        <v>Yield</v>
      </c>
      <c r="D1919" t="str">
        <v>ETERN</v>
      </c>
      <c r="E1919">
        <v>3845.6049479512744</v>
      </c>
      <c r="F1919">
        <v>0</v>
      </c>
    </row>
    <row r="1920" spans="2:6" ht="15.75" customHeight="1" x14ac:dyDescent="0.25">
      <c r="B1920" t="str">
        <v>Eternal Stake Finance</v>
      </c>
      <c r="C1920" t="str">
        <v>Yield</v>
      </c>
      <c r="D1920" t="str">
        <v>ESF</v>
      </c>
      <c r="E1920">
        <v>0</v>
      </c>
      <c r="F1920">
        <v>0</v>
      </c>
    </row>
    <row r="1921" spans="2:6" ht="15.75" customHeight="1" x14ac:dyDescent="0.25">
      <c r="B1921" t="str">
        <v>ETH Strategy</v>
      </c>
      <c r="C1921" t="str">
        <v>Onchain Capital Allocator</v>
      </c>
      <c r="D1921" t="str">
        <v>STRAT</v>
      </c>
      <c r="E1921">
        <v>3799008.7951585492</v>
      </c>
      <c r="F1921">
        <v>1178237.8573610724</v>
      </c>
    </row>
    <row r="1922" spans="2:6" ht="15.75" customHeight="1" x14ac:dyDescent="0.25">
      <c r="B1922" t="str">
        <v>ETHA Lend</v>
      </c>
      <c r="C1922" t="str">
        <v>Yield</v>
      </c>
      <c r="D1922" t="str">
        <v>ETHA</v>
      </c>
      <c r="E1922">
        <v>12214.34446652696</v>
      </c>
      <c r="F1922">
        <v>11222.434647344653</v>
      </c>
    </row>
    <row r="1923" spans="2:6" ht="15.75" customHeight="1" x14ac:dyDescent="0.25">
      <c r="B1923" t="str">
        <v>Ethena tsUSDe</v>
      </c>
      <c r="C1923" t="str">
        <v>Yield</v>
      </c>
      <c r="D1923" t="str">
        <v>-</v>
      </c>
      <c r="E1923">
        <v>6743720.1418581139</v>
      </c>
      <c r="F1923">
        <v>0</v>
      </c>
    </row>
    <row r="1924" spans="2:6" ht="15.75" customHeight="1" x14ac:dyDescent="0.25">
      <c r="B1924" t="str">
        <v>Ethena USDe</v>
      </c>
      <c r="C1924" t="str">
        <v>Basis Trading</v>
      </c>
      <c r="D1924" t="str">
        <v>ENA</v>
      </c>
      <c r="E1924">
        <v>6308815291.0779638</v>
      </c>
      <c r="F1924">
        <v>0</v>
      </c>
    </row>
    <row r="1925" spans="2:6" ht="15.75" customHeight="1" x14ac:dyDescent="0.25">
      <c r="B1925" t="str">
        <v>Ethena USDtb</v>
      </c>
      <c r="C1925" t="str">
        <v>RWA</v>
      </c>
      <c r="D1925" t="str">
        <v>ENA</v>
      </c>
      <c r="E1925">
        <v>847900667.63481224</v>
      </c>
      <c r="F1925">
        <v>0</v>
      </c>
    </row>
    <row r="1926" spans="2:6" ht="15.75" customHeight="1" x14ac:dyDescent="0.25">
      <c r="B1926" t="str">
        <v>Ether Strategy</v>
      </c>
      <c r="C1926" t="str">
        <v>Yield</v>
      </c>
      <c r="D1926" t="str">
        <v>-</v>
      </c>
      <c r="E1926">
        <v>0</v>
      </c>
      <c r="F1926">
        <v>0</v>
      </c>
    </row>
    <row r="1927" spans="2:6" ht="15.75" customHeight="1" x14ac:dyDescent="0.25">
      <c r="B1927" t="str">
        <v>ether.fi Liquid</v>
      </c>
      <c r="C1927" t="str">
        <v>Onchain Capital Allocator</v>
      </c>
      <c r="D1927" t="str">
        <v>ETHFI</v>
      </c>
      <c r="E1927">
        <v>677648852.34938693</v>
      </c>
      <c r="F1927">
        <v>0</v>
      </c>
    </row>
    <row r="1928" spans="2:6" ht="15.75" customHeight="1" x14ac:dyDescent="0.25">
      <c r="B1928" t="str">
        <v>ether.fi Stake</v>
      </c>
      <c r="C1928" t="str">
        <v>Liquid Restaking</v>
      </c>
      <c r="D1928" t="str">
        <v>ETHFI</v>
      </c>
      <c r="E1928">
        <v>8714032883.4505558</v>
      </c>
      <c r="F1928">
        <v>0</v>
      </c>
    </row>
    <row r="1929" spans="2:6" ht="15.75" customHeight="1" x14ac:dyDescent="0.25">
      <c r="B1929" t="str">
        <v>Etherberry Finance</v>
      </c>
      <c r="C1929" t="str">
        <v>Indexes</v>
      </c>
      <c r="D1929" t="str">
        <v>BERRY</v>
      </c>
      <c r="E1929">
        <v>296.14696160191323</v>
      </c>
      <c r="F1929">
        <v>0</v>
      </c>
    </row>
    <row r="1930" spans="2:6" ht="15.75" customHeight="1" x14ac:dyDescent="0.25">
      <c r="B1930" t="str">
        <v>Ethereal DEX</v>
      </c>
      <c r="C1930" t="str">
        <v>Derivatives</v>
      </c>
      <c r="D1930" t="str">
        <v>USDe</v>
      </c>
      <c r="E1930">
        <v>58053752.697484948</v>
      </c>
      <c r="F1930">
        <v>0</v>
      </c>
    </row>
    <row r="1931" spans="2:6" ht="15.75" customHeight="1" x14ac:dyDescent="0.25">
      <c r="B1931" t="str">
        <v>Ethereal Season Zero</v>
      </c>
      <c r="C1931" t="str">
        <v>Farm</v>
      </c>
      <c r="D1931" t="str">
        <v>-</v>
      </c>
      <c r="E1931">
        <v>11686075.959256895</v>
      </c>
      <c r="F1931">
        <v>0</v>
      </c>
    </row>
    <row r="1932" spans="2:6" ht="15.75" customHeight="1" x14ac:dyDescent="0.25">
      <c r="B1932" t="str">
        <v>Ethereum Classic Stable Dollar</v>
      </c>
      <c r="C1932" t="str">
        <v>Dual-Token Stablecoin</v>
      </c>
      <c r="D1932" t="str">
        <v>-</v>
      </c>
      <c r="E1932">
        <v>3927.7616200745188</v>
      </c>
      <c r="F1932">
        <v>0</v>
      </c>
    </row>
    <row r="1933" spans="2:6" ht="15.75" customHeight="1" x14ac:dyDescent="0.25">
      <c r="B1933" t="str">
        <v>Ethereum Foundation</v>
      </c>
      <c r="C1933" t="str">
        <v>Foundation</v>
      </c>
      <c r="D1933" t="str">
        <v>ETH</v>
      </c>
      <c r="E1933">
        <v>0</v>
      </c>
      <c r="F1933">
        <v>375196245494.23969</v>
      </c>
    </row>
    <row r="1934" spans="2:6" ht="15.75" customHeight="1" x14ac:dyDescent="0.25">
      <c r="B1934" t="str">
        <v>Etherex CL</v>
      </c>
      <c r="C1934" t="str">
        <v>Dexs</v>
      </c>
      <c r="D1934" t="str">
        <v>-</v>
      </c>
      <c r="E1934">
        <v>19442900.973069083</v>
      </c>
      <c r="F1934">
        <v>0</v>
      </c>
    </row>
    <row r="1935" spans="2:6" ht="15.75" customHeight="1" x14ac:dyDescent="0.25">
      <c r="B1935" t="str">
        <v>Etherex Legacy</v>
      </c>
      <c r="C1935" t="str">
        <v>Dexs</v>
      </c>
      <c r="D1935" t="str">
        <v>-</v>
      </c>
      <c r="E1935">
        <v>8414920.9858535901</v>
      </c>
      <c r="F1935">
        <v>0</v>
      </c>
    </row>
    <row r="1936" spans="2:6" ht="15.75" customHeight="1" x14ac:dyDescent="0.25">
      <c r="B1936" t="str">
        <v>EtherFi Borrowing Market</v>
      </c>
      <c r="C1936" t="str">
        <v>Lending</v>
      </c>
      <c r="D1936" t="str">
        <v>ETHFI</v>
      </c>
      <c r="E1936">
        <v>164006898.71747243</v>
      </c>
      <c r="F1936">
        <v>0</v>
      </c>
    </row>
    <row r="1937" spans="2:6" ht="15.75" customHeight="1" x14ac:dyDescent="0.25">
      <c r="B1937" t="str">
        <v>EtherFi Cash Liquid</v>
      </c>
      <c r="C1937" t="str">
        <v>Onchain Capital Allocator</v>
      </c>
      <c r="D1937" t="str">
        <v>ETHFI</v>
      </c>
      <c r="E1937">
        <v>140269391.61700892</v>
      </c>
      <c r="F1937">
        <v>0</v>
      </c>
    </row>
    <row r="1938" spans="2:6" ht="15.75" customHeight="1" x14ac:dyDescent="0.25">
      <c r="B1938" t="str">
        <v>EtherFlip</v>
      </c>
      <c r="C1938" t="str">
        <v>Luck Games</v>
      </c>
      <c r="D1938" t="str">
        <v>-</v>
      </c>
      <c r="E1938">
        <v>2332036.5290402123</v>
      </c>
      <c r="F1938">
        <v>0</v>
      </c>
    </row>
    <row r="1939" spans="2:6" ht="15.75" customHeight="1" x14ac:dyDescent="0.25">
      <c r="B1939" t="str">
        <v>Etherfuse</v>
      </c>
      <c r="C1939" t="str">
        <v>RWA</v>
      </c>
      <c r="D1939" t="str">
        <v>-</v>
      </c>
      <c r="E1939">
        <v>17220999.616099861</v>
      </c>
      <c r="F1939">
        <v>0</v>
      </c>
    </row>
    <row r="1940" spans="2:6" ht="15.75" customHeight="1" x14ac:dyDescent="0.25">
      <c r="B1940" t="str">
        <v>Ethernity Chain</v>
      </c>
      <c r="C1940" t="str">
        <v>Yield</v>
      </c>
      <c r="D1940" t="str">
        <v>ERN</v>
      </c>
      <c r="E1940">
        <v>60407.788268069511</v>
      </c>
      <c r="F1940">
        <v>1288992.7366606612</v>
      </c>
    </row>
    <row r="1941" spans="2:6" ht="15.75" customHeight="1" x14ac:dyDescent="0.25">
      <c r="B1941" t="str">
        <v>Ethers</v>
      </c>
      <c r="C1941" t="str">
        <v>Developer Tools</v>
      </c>
      <c r="D1941" t="str">
        <v>-</v>
      </c>
      <c r="E1941">
        <v>0</v>
      </c>
      <c r="F1941">
        <v>0</v>
      </c>
    </row>
    <row r="1942" spans="2:6" ht="15.75" customHeight="1" x14ac:dyDescent="0.25">
      <c r="B1942" t="str">
        <v>Ethervista</v>
      </c>
      <c r="C1942" t="str">
        <v>Dexs</v>
      </c>
      <c r="D1942" t="str">
        <v>VISTA</v>
      </c>
      <c r="E1942">
        <v>942683.9964230411</v>
      </c>
      <c r="F1942">
        <v>2729944.4511709712</v>
      </c>
    </row>
    <row r="1943" spans="2:6" ht="15.75" customHeight="1" x14ac:dyDescent="0.25">
      <c r="B1943" t="str">
        <v>ETHGlobal</v>
      </c>
      <c r="C1943" t="str">
        <v>Services</v>
      </c>
      <c r="D1943" t="str">
        <v>-</v>
      </c>
      <c r="E1943">
        <v>0</v>
      </c>
      <c r="F1943">
        <v>0</v>
      </c>
    </row>
    <row r="1944" spans="2:6" ht="15.75" customHeight="1" x14ac:dyDescent="0.25">
      <c r="B1944" t="str">
        <v>EthicHub</v>
      </c>
      <c r="C1944" t="str">
        <v>Lending</v>
      </c>
      <c r="D1944" t="str">
        <v>ETHIX</v>
      </c>
      <c r="E1944">
        <v>0</v>
      </c>
      <c r="F1944">
        <v>18580671.023930561</v>
      </c>
    </row>
    <row r="1945" spans="2:6" ht="15.75" customHeight="1" x14ac:dyDescent="0.25">
      <c r="B1945" t="str">
        <v>Ethos Markets</v>
      </c>
      <c r="C1945" t="str">
        <v>SoFi</v>
      </c>
      <c r="D1945" t="str">
        <v>-</v>
      </c>
      <c r="E1945">
        <v>461481.51675726997</v>
      </c>
      <c r="F1945">
        <v>0</v>
      </c>
    </row>
    <row r="1946" spans="2:6" ht="15.75" customHeight="1" x14ac:dyDescent="0.25">
      <c r="B1946" t="str">
        <v>Ethos Network</v>
      </c>
      <c r="C1946" t="str">
        <v>SoFi</v>
      </c>
      <c r="D1946" t="str">
        <v>-</v>
      </c>
      <c r="E1946">
        <v>2906637.2476779483</v>
      </c>
      <c r="F1946">
        <v>0</v>
      </c>
    </row>
    <row r="1947" spans="2:6" ht="15.75" customHeight="1" x14ac:dyDescent="0.25">
      <c r="B1947" t="str">
        <v>Ethos Reserve</v>
      </c>
      <c r="C1947" t="str">
        <v>CDP</v>
      </c>
      <c r="D1947" t="str">
        <v>OATH</v>
      </c>
      <c r="E1947">
        <v>267949.16941004898</v>
      </c>
      <c r="F1947">
        <v>0</v>
      </c>
    </row>
    <row r="1948" spans="2:6" ht="15.75" customHeight="1" x14ac:dyDescent="0.25">
      <c r="B1948" t="str">
        <v>EthosX</v>
      </c>
      <c r="C1948" t="str">
        <v>Derivatives</v>
      </c>
      <c r="D1948" t="str">
        <v>-</v>
      </c>
      <c r="E1948">
        <v>0</v>
      </c>
      <c r="F1948">
        <v>0</v>
      </c>
    </row>
    <row r="1949" spans="2:6" ht="15.75" customHeight="1" x14ac:dyDescent="0.25">
      <c r="B1949" t="str">
        <v>EthwSwap</v>
      </c>
      <c r="C1949" t="str">
        <v>Dexs</v>
      </c>
      <c r="D1949" t="str">
        <v>-</v>
      </c>
      <c r="E1949">
        <v>0</v>
      </c>
      <c r="F1949">
        <v>0</v>
      </c>
    </row>
    <row r="1950" spans="2:6" ht="15.75" customHeight="1" x14ac:dyDescent="0.25">
      <c r="B1950" t="str">
        <v>Euclid Finance</v>
      </c>
      <c r="C1950" t="str">
        <v>Liquid Restaking</v>
      </c>
      <c r="D1950" t="str">
        <v>-</v>
      </c>
      <c r="E1950">
        <v>369939.4620143713</v>
      </c>
      <c r="F1950">
        <v>0</v>
      </c>
    </row>
    <row r="1951" spans="2:6" ht="15.75" customHeight="1" x14ac:dyDescent="0.25">
      <c r="B1951" t="str">
        <v>Euler DAO</v>
      </c>
      <c r="C1951" t="str">
        <v>Risk Curators</v>
      </c>
      <c r="D1951" t="str">
        <v>EUL</v>
      </c>
      <c r="E1951">
        <v>112615929.2291131</v>
      </c>
      <c r="F1951">
        <v>0</v>
      </c>
    </row>
    <row r="1952" spans="2:6" ht="15.75" customHeight="1" x14ac:dyDescent="0.25">
      <c r="B1952" t="str">
        <v>Euler V1</v>
      </c>
      <c r="C1952" t="str">
        <v>Lending</v>
      </c>
      <c r="D1952" t="str">
        <v>EUL</v>
      </c>
      <c r="E1952">
        <v>51848.494674778078</v>
      </c>
      <c r="F1952">
        <v>0</v>
      </c>
    </row>
    <row r="1953" spans="2:6" ht="15.75" customHeight="1" x14ac:dyDescent="0.25">
      <c r="B1953" t="str">
        <v>Euler V2</v>
      </c>
      <c r="C1953" t="str">
        <v>Lending</v>
      </c>
      <c r="D1953" t="str">
        <v>EUL</v>
      </c>
      <c r="E1953">
        <v>1003115818.5008817</v>
      </c>
      <c r="F1953">
        <v>0</v>
      </c>
    </row>
    <row r="1954" spans="2:6" ht="15.75" customHeight="1" x14ac:dyDescent="0.25">
      <c r="B1954" t="str">
        <v>EulerDebt</v>
      </c>
      <c r="C1954" t="str">
        <v>Dexs</v>
      </c>
      <c r="D1954" t="str">
        <v>-</v>
      </c>
      <c r="E1954">
        <v>52281.824539489156</v>
      </c>
      <c r="F1954">
        <v>0</v>
      </c>
    </row>
    <row r="1955" spans="2:6" ht="15.75" customHeight="1" x14ac:dyDescent="0.25">
      <c r="B1955" t="str">
        <v>EulerSwap</v>
      </c>
      <c r="C1955" t="str">
        <v>Dexs</v>
      </c>
      <c r="D1955" t="str">
        <v>EUL</v>
      </c>
      <c r="E1955">
        <v>0</v>
      </c>
      <c r="F1955">
        <v>0</v>
      </c>
    </row>
    <row r="1956" spans="2:6" ht="15.75" customHeight="1" x14ac:dyDescent="0.25">
      <c r="B1956" t="str">
        <v>Euphoria</v>
      </c>
      <c r="C1956" t="str">
        <v>Reserve Currency</v>
      </c>
      <c r="D1956" t="str">
        <v>WAGMI</v>
      </c>
      <c r="E1956">
        <v>8.126734331236788E-3</v>
      </c>
      <c r="F1956">
        <v>8.0165819958180524</v>
      </c>
    </row>
    <row r="1957" spans="2:6" ht="15.75" customHeight="1" x14ac:dyDescent="0.25">
      <c r="B1957" t="str">
        <v>EVAA Protocol</v>
      </c>
      <c r="C1957" t="str">
        <v>Lending</v>
      </c>
      <c r="D1957" t="str">
        <v>-</v>
      </c>
      <c r="E1957">
        <v>13200810.756345317</v>
      </c>
      <c r="F1957">
        <v>0</v>
      </c>
    </row>
    <row r="1958" spans="2:6" ht="15.75" customHeight="1" x14ac:dyDescent="0.25">
      <c r="B1958" t="str">
        <v>Evedex</v>
      </c>
      <c r="C1958" t="str">
        <v>Derivatives</v>
      </c>
      <c r="D1958" t="str">
        <v>-</v>
      </c>
      <c r="E1958">
        <v>1337287.8964380822</v>
      </c>
      <c r="F1958">
        <v>0</v>
      </c>
    </row>
    <row r="1959" spans="2:6" ht="15.75" customHeight="1" x14ac:dyDescent="0.25">
      <c r="B1959" t="str">
        <v>Eventum Bridge</v>
      </c>
      <c r="C1959" t="str">
        <v>Canonical Bridge</v>
      </c>
      <c r="D1959" t="str">
        <v>-</v>
      </c>
      <c r="E1959">
        <v>1480727.8312561715</v>
      </c>
      <c r="F1959">
        <v>0</v>
      </c>
    </row>
    <row r="1960" spans="2:6" ht="15.75" customHeight="1" x14ac:dyDescent="0.25">
      <c r="B1960" t="str">
        <v>Everclear</v>
      </c>
      <c r="C1960" t="str">
        <v>Cross Chain Bridge</v>
      </c>
      <c r="D1960" t="str">
        <v>-</v>
      </c>
      <c r="E1960">
        <v>310107.26055844914</v>
      </c>
      <c r="F1960">
        <v>0</v>
      </c>
    </row>
    <row r="1961" spans="2:6" ht="15.75" customHeight="1" x14ac:dyDescent="0.25">
      <c r="B1961" t="str">
        <v>Everdex</v>
      </c>
      <c r="C1961" t="str">
        <v>Dexs</v>
      </c>
      <c r="D1961" t="str">
        <v>-</v>
      </c>
      <c r="E1961">
        <v>4330522.628412501</v>
      </c>
      <c r="F1961">
        <v>0</v>
      </c>
    </row>
    <row r="1962" spans="2:6" ht="15.75" customHeight="1" x14ac:dyDescent="0.25">
      <c r="B1962" t="str">
        <v>EverestDAO</v>
      </c>
      <c r="C1962" t="str">
        <v>DAO Service Provider</v>
      </c>
      <c r="D1962" t="str">
        <v>EVRT</v>
      </c>
      <c r="E1962">
        <v>0</v>
      </c>
      <c r="F1962">
        <v>0</v>
      </c>
    </row>
    <row r="1963" spans="2:6" ht="15.75" customHeight="1" x14ac:dyDescent="0.25">
      <c r="B1963" t="str">
        <v>Everlend</v>
      </c>
      <c r="C1963" t="str">
        <v>Lending</v>
      </c>
      <c r="D1963" t="str">
        <v>-</v>
      </c>
      <c r="E1963">
        <v>0</v>
      </c>
      <c r="F1963">
        <v>0</v>
      </c>
    </row>
    <row r="1964" spans="2:6" ht="15.75" customHeight="1" x14ac:dyDescent="0.25">
      <c r="B1964" t="str">
        <v>EverRise</v>
      </c>
      <c r="C1964" t="str">
        <v>Cross Chain Bridge</v>
      </c>
      <c r="D1964" t="str">
        <v>RISE</v>
      </c>
      <c r="E1964">
        <v>2184215.1057972983</v>
      </c>
      <c r="F1964">
        <v>2223149.5151490667</v>
      </c>
    </row>
    <row r="1965" spans="2:6" ht="15.75" customHeight="1" x14ac:dyDescent="0.25">
      <c r="B1965" t="str">
        <v>Eversol</v>
      </c>
      <c r="C1965" t="str">
        <v>Liquid Staking</v>
      </c>
      <c r="D1965" t="str">
        <v>-</v>
      </c>
      <c r="E1965">
        <v>20348.168580838959</v>
      </c>
      <c r="F1965">
        <v>0</v>
      </c>
    </row>
    <row r="1966" spans="2:6" ht="15.75" customHeight="1" x14ac:dyDescent="0.25">
      <c r="B1966" t="str">
        <v>EveryFinance</v>
      </c>
      <c r="C1966" t="str">
        <v>Indexes</v>
      </c>
      <c r="D1966" t="str">
        <v>-</v>
      </c>
      <c r="E1966">
        <v>5.6136943266698083</v>
      </c>
      <c r="F1966">
        <v>0</v>
      </c>
    </row>
    <row r="1967" spans="2:6" ht="15.75" customHeight="1" x14ac:dyDescent="0.25">
      <c r="B1967" t="str">
        <v>Evmos DAO</v>
      </c>
      <c r="C1967" t="str">
        <v>Canonical Bridge</v>
      </c>
      <c r="D1967" t="str">
        <v>-</v>
      </c>
      <c r="E1967">
        <v>0</v>
      </c>
      <c r="F1967">
        <v>0</v>
      </c>
    </row>
    <row r="1968" spans="2:6" ht="15.75" customHeight="1" x14ac:dyDescent="0.25">
      <c r="B1968" t="str">
        <v>EvmoSwap</v>
      </c>
      <c r="C1968" t="str">
        <v>Dexs</v>
      </c>
      <c r="D1968" t="str">
        <v>EMO</v>
      </c>
      <c r="E1968">
        <v>63585.394769599945</v>
      </c>
      <c r="F1968">
        <v>0</v>
      </c>
    </row>
    <row r="1969" spans="2:6" ht="15.75" customHeight="1" x14ac:dyDescent="0.25">
      <c r="B1969" t="str">
        <v>Evolve</v>
      </c>
      <c r="C1969" t="str">
        <v>Lending</v>
      </c>
      <c r="D1969" t="str">
        <v>-</v>
      </c>
      <c r="E1969">
        <v>554.14759836244025</v>
      </c>
      <c r="F1969">
        <v>0</v>
      </c>
    </row>
    <row r="1970" spans="2:6" ht="15.75" customHeight="1" x14ac:dyDescent="0.25">
      <c r="B1970" t="str">
        <v>Evoq Finance</v>
      </c>
      <c r="C1970" t="str">
        <v>Lending</v>
      </c>
      <c r="D1970" t="str">
        <v>-</v>
      </c>
      <c r="E1970">
        <v>260.91362260495299</v>
      </c>
      <c r="F1970">
        <v>0</v>
      </c>
    </row>
    <row r="1971" spans="2:6" ht="15.75" customHeight="1" x14ac:dyDescent="0.25">
      <c r="B1971" t="str">
        <v>Exactly</v>
      </c>
      <c r="C1971" t="str">
        <v>Lending</v>
      </c>
      <c r="D1971" t="str">
        <v>EXA</v>
      </c>
      <c r="E1971">
        <v>3942363.0332625913</v>
      </c>
      <c r="F1971">
        <v>1502583.9706252881</v>
      </c>
    </row>
    <row r="1972" spans="2:6" ht="15.75" customHeight="1" x14ac:dyDescent="0.25">
      <c r="B1972" t="str">
        <v>Excalibur</v>
      </c>
      <c r="C1972" t="str">
        <v>Dexs</v>
      </c>
      <c r="D1972" t="str">
        <v>EXC</v>
      </c>
      <c r="E1972">
        <v>5043.4366681126103</v>
      </c>
      <c r="F1972">
        <v>0</v>
      </c>
    </row>
    <row r="1973" spans="2:6" ht="15.75" customHeight="1" x14ac:dyDescent="0.25">
      <c r="B1973" t="str">
        <v>Excellar</v>
      </c>
      <c r="C1973" t="str">
        <v>Basis Trading</v>
      </c>
      <c r="D1973" t="str">
        <v>-</v>
      </c>
      <c r="E1973">
        <v>212573.98477489999</v>
      </c>
      <c r="F1973">
        <v>0</v>
      </c>
    </row>
    <row r="1974" spans="2:6" ht="15.75" customHeight="1" x14ac:dyDescent="0.25">
      <c r="B1974" t="str">
        <v>Excellion Finance</v>
      </c>
      <c r="C1974" t="str">
        <v>Risk Curators</v>
      </c>
      <c r="D1974" t="str">
        <v>-</v>
      </c>
      <c r="E1974">
        <v>192683.70991032492</v>
      </c>
      <c r="F1974">
        <v>0</v>
      </c>
    </row>
    <row r="1975" spans="2:6" ht="15.75" customHeight="1" x14ac:dyDescent="0.25">
      <c r="B1975" t="str">
        <v>ExinPool</v>
      </c>
      <c r="C1975" t="str">
        <v>Liquid Staking</v>
      </c>
      <c r="D1975" t="str">
        <v>-</v>
      </c>
      <c r="E1975">
        <v>11457076</v>
      </c>
      <c r="F1975">
        <v>0</v>
      </c>
    </row>
    <row r="1976" spans="2:6" ht="15.75" customHeight="1" x14ac:dyDescent="0.25">
      <c r="B1976" t="str">
        <v>ExinSwap</v>
      </c>
      <c r="C1976" t="str">
        <v>Dexs</v>
      </c>
      <c r="D1976" t="str">
        <v>-</v>
      </c>
      <c r="E1976">
        <v>21705.49</v>
      </c>
      <c r="F1976">
        <v>0</v>
      </c>
    </row>
    <row r="1977" spans="2:6" ht="15.75" customHeight="1" x14ac:dyDescent="0.25">
      <c r="B1977" t="str">
        <v>exit.tech</v>
      </c>
      <c r="C1977" t="str">
        <v>Liquidity manager</v>
      </c>
      <c r="D1977" t="str">
        <v>-</v>
      </c>
      <c r="E1977">
        <v>41730.432610517237</v>
      </c>
      <c r="F1977">
        <v>0</v>
      </c>
    </row>
    <row r="1978" spans="2:6" ht="15.75" customHeight="1" x14ac:dyDescent="0.25">
      <c r="B1978" t="str">
        <v>EXIT10</v>
      </c>
      <c r="C1978" t="str">
        <v>Yield Aggregator</v>
      </c>
      <c r="D1978" t="str">
        <v>-</v>
      </c>
      <c r="E1978">
        <v>49102.554221609578</v>
      </c>
      <c r="F1978">
        <v>0</v>
      </c>
    </row>
    <row r="1979" spans="2:6" ht="15.75" customHeight="1" x14ac:dyDescent="0.25">
      <c r="B1979" t="str">
        <v>Exodia</v>
      </c>
      <c r="C1979" t="str">
        <v>Reserve Currency</v>
      </c>
      <c r="D1979" t="str">
        <v>EXOD</v>
      </c>
      <c r="E1979">
        <v>0</v>
      </c>
      <c r="F1979">
        <v>0</v>
      </c>
    </row>
    <row r="1980" spans="2:6" ht="15.75" customHeight="1" x14ac:dyDescent="0.25">
      <c r="B1980" t="str">
        <v>Exotic Finance</v>
      </c>
      <c r="C1980" t="str">
        <v>Indexes</v>
      </c>
      <c r="D1980" t="str">
        <v>-</v>
      </c>
      <c r="E1980">
        <v>18151.550793804672</v>
      </c>
      <c r="F1980">
        <v>0</v>
      </c>
    </row>
    <row r="1981" spans="2:6" ht="15.75" customHeight="1" x14ac:dyDescent="0.25">
      <c r="B1981" t="str">
        <v>Exotic Markets</v>
      </c>
      <c r="C1981" t="str">
        <v>Exotic Options</v>
      </c>
      <c r="D1981" t="str">
        <v>EXO</v>
      </c>
      <c r="E1981">
        <v>41325.870968813229</v>
      </c>
      <c r="F1981">
        <v>0</v>
      </c>
    </row>
    <row r="1982" spans="2:6" ht="15.75" customHeight="1" x14ac:dyDescent="0.25">
      <c r="B1982" t="str">
        <v>Exponent</v>
      </c>
      <c r="C1982" t="str">
        <v>Yield</v>
      </c>
      <c r="D1982" t="str">
        <v>-</v>
      </c>
      <c r="E1982">
        <v>107534764.26313286</v>
      </c>
      <c r="F1982">
        <v>0</v>
      </c>
    </row>
    <row r="1983" spans="2:6" ht="15.75" customHeight="1" x14ac:dyDescent="0.25">
      <c r="B1983" t="str">
        <v>exSat Bridge</v>
      </c>
      <c r="C1983" t="str">
        <v>Bridge</v>
      </c>
      <c r="D1983" t="str">
        <v>-</v>
      </c>
      <c r="E1983">
        <v>12955610.661359256</v>
      </c>
      <c r="F1983">
        <v>0</v>
      </c>
    </row>
    <row r="1984" spans="2:6" ht="15.75" customHeight="1" x14ac:dyDescent="0.25">
      <c r="B1984" t="str">
        <v>exSat Staking BTC</v>
      </c>
      <c r="C1984" t="str">
        <v>Bridge</v>
      </c>
      <c r="D1984" t="str">
        <v>-</v>
      </c>
      <c r="E1984">
        <v>262844014.52297407</v>
      </c>
      <c r="F1984">
        <v>0</v>
      </c>
    </row>
    <row r="1985" spans="2:6" ht="15.75" customHeight="1" x14ac:dyDescent="0.25">
      <c r="B1985" t="str">
        <v>Extended</v>
      </c>
      <c r="C1985" t="str">
        <v>Derivatives</v>
      </c>
      <c r="D1985" t="str">
        <v>-</v>
      </c>
      <c r="E1985">
        <v>158704254.26334828</v>
      </c>
      <c r="F1985">
        <v>0</v>
      </c>
    </row>
    <row r="1986" spans="2:6" ht="15.75" customHeight="1" x14ac:dyDescent="0.25">
      <c r="B1986" t="str">
        <v>Extra Finance Leverage Farming</v>
      </c>
      <c r="C1986" t="str">
        <v>Leveraged Farming</v>
      </c>
      <c r="D1986" t="str">
        <v>EXTRA</v>
      </c>
      <c r="E1986">
        <v>44523898.234154738</v>
      </c>
      <c r="F1986">
        <v>0</v>
      </c>
    </row>
    <row r="1987" spans="2:6" ht="15.75" customHeight="1" x14ac:dyDescent="0.25">
      <c r="B1987" t="str">
        <v>Extra Finance Vaults</v>
      </c>
      <c r="C1987" t="str">
        <v>Onchain Capital Allocator</v>
      </c>
      <c r="D1987" t="str">
        <v>EXTRA</v>
      </c>
      <c r="E1987">
        <v>17003078.159881927</v>
      </c>
      <c r="F1987">
        <v>0</v>
      </c>
    </row>
    <row r="1988" spans="2:6" ht="15.75" customHeight="1" x14ac:dyDescent="0.25">
      <c r="B1988" t="str">
        <v>Extra Finance Xlend</v>
      </c>
      <c r="C1988" t="str">
        <v>Lending</v>
      </c>
      <c r="D1988" t="str">
        <v>EXTRA</v>
      </c>
      <c r="E1988">
        <v>6489721.7857323904</v>
      </c>
      <c r="F1988">
        <v>0</v>
      </c>
    </row>
    <row r="1989" spans="2:6" ht="15.75" customHeight="1" x14ac:dyDescent="0.25">
      <c r="B1989" t="str">
        <v>eZKalibur</v>
      </c>
      <c r="C1989" t="str">
        <v>Dexs</v>
      </c>
      <c r="D1989" t="str">
        <v>SWORD</v>
      </c>
      <c r="E1989">
        <v>60521.293953749169</v>
      </c>
      <c r="F1989">
        <v>0</v>
      </c>
    </row>
    <row r="1990" spans="2:6" ht="15.75" customHeight="1" x14ac:dyDescent="0.25">
      <c r="B1990" t="str">
        <v>Fabric</v>
      </c>
      <c r="C1990" t="str">
        <v>Yield</v>
      </c>
      <c r="D1990" t="str">
        <v>FAB</v>
      </c>
      <c r="E1990">
        <v>0</v>
      </c>
      <c r="F1990">
        <v>67.284865753481213</v>
      </c>
    </row>
    <row r="1991" spans="2:6" ht="15.75" customHeight="1" x14ac:dyDescent="0.25">
      <c r="B1991" t="str">
        <v>Factor Leverage Vault</v>
      </c>
      <c r="C1991" t="str">
        <v>Leveraged Farming</v>
      </c>
      <c r="D1991" t="str">
        <v>FCTR</v>
      </c>
      <c r="E1991">
        <v>15609229.035057429</v>
      </c>
      <c r="F1991">
        <v>0</v>
      </c>
    </row>
    <row r="1992" spans="2:6" ht="15.75" customHeight="1" x14ac:dyDescent="0.25">
      <c r="B1992" t="str">
        <v>Factor V1</v>
      </c>
      <c r="C1992" t="str">
        <v>Indexes</v>
      </c>
      <c r="D1992" t="str">
        <v>FCTR</v>
      </c>
      <c r="E1992">
        <v>644.37805145923141</v>
      </c>
      <c r="F1992">
        <v>0</v>
      </c>
    </row>
    <row r="1993" spans="2:6" ht="15.75" customHeight="1" x14ac:dyDescent="0.25">
      <c r="B1993" t="str">
        <v>Factor V2</v>
      </c>
      <c r="C1993" t="str">
        <v>Yield</v>
      </c>
      <c r="D1993" t="str">
        <v>FCTR</v>
      </c>
      <c r="E1993">
        <v>14274.608273751808</v>
      </c>
      <c r="F1993">
        <v>0</v>
      </c>
    </row>
    <row r="1994" spans="2:6" ht="15.75" customHeight="1" x14ac:dyDescent="0.25">
      <c r="B1994" t="str">
        <v>FAET</v>
      </c>
      <c r="C1994" t="str">
        <v>Farm</v>
      </c>
      <c r="D1994" t="str">
        <v>FAET</v>
      </c>
      <c r="E1994">
        <v>0</v>
      </c>
      <c r="F1994">
        <v>0</v>
      </c>
    </row>
    <row r="1995" spans="2:6" ht="15.75" customHeight="1" x14ac:dyDescent="0.25">
      <c r="B1995" t="str">
        <v>FairFi</v>
      </c>
      <c r="C1995" t="str">
        <v>Yield Aggregator</v>
      </c>
      <c r="D1995" t="str">
        <v>-</v>
      </c>
      <c r="E1995">
        <v>0</v>
      </c>
      <c r="F1995">
        <v>0</v>
      </c>
    </row>
    <row r="1996" spans="2:6" ht="15.75" customHeight="1" x14ac:dyDescent="0.25">
      <c r="B1996" t="str">
        <v>FairySwap V1</v>
      </c>
      <c r="C1996" t="str">
        <v>Dexs</v>
      </c>
      <c r="D1996" t="str">
        <v>FAIRY</v>
      </c>
      <c r="E1996">
        <v>45510.000658049641</v>
      </c>
      <c r="F1996">
        <v>0</v>
      </c>
    </row>
    <row r="1997" spans="2:6" ht="15.75" customHeight="1" x14ac:dyDescent="0.25">
      <c r="B1997" t="str">
        <v>FairySwap V2</v>
      </c>
      <c r="C1997" t="str">
        <v>Dexs</v>
      </c>
      <c r="D1997" t="str">
        <v>FAY</v>
      </c>
      <c r="E1997">
        <v>2714.4395586157825</v>
      </c>
      <c r="F1997">
        <v>0</v>
      </c>
    </row>
    <row r="1998" spans="2:6" ht="15.75" customHeight="1" x14ac:dyDescent="0.25">
      <c r="B1998" t="str">
        <v>FAITH Protocol</v>
      </c>
      <c r="C1998" t="str">
        <v>Gamified Mining</v>
      </c>
      <c r="D1998" t="str">
        <v>FAITH</v>
      </c>
      <c r="E1998">
        <v>0</v>
      </c>
      <c r="F1998">
        <v>0</v>
      </c>
    </row>
    <row r="1999" spans="2:6" ht="15.75" customHeight="1" x14ac:dyDescent="0.25">
      <c r="B1999" t="str">
        <v>Falcon Bot</v>
      </c>
      <c r="C1999" t="str">
        <v>Telegram Bot</v>
      </c>
      <c r="D1999" t="str">
        <v>-</v>
      </c>
      <c r="E1999">
        <v>0</v>
      </c>
      <c r="F1999">
        <v>0</v>
      </c>
    </row>
    <row r="2000" spans="2:6" ht="15.75" customHeight="1" x14ac:dyDescent="0.25">
      <c r="B2000" t="str">
        <v>Falcon Finance</v>
      </c>
      <c r="C2000" t="str">
        <v>Basis Trading</v>
      </c>
      <c r="D2000" t="str">
        <v>-</v>
      </c>
      <c r="E2000">
        <v>2049658487.4188764</v>
      </c>
      <c r="F2000">
        <v>0</v>
      </c>
    </row>
    <row r="2001" spans="2:6" ht="15.75" customHeight="1" x14ac:dyDescent="0.25">
      <c r="B2001" t="str">
        <v>Fan Token Staking</v>
      </c>
      <c r="C2001" t="str">
        <v>Farm</v>
      </c>
      <c r="D2001" t="str">
        <v>-</v>
      </c>
      <c r="E2001">
        <v>0</v>
      </c>
      <c r="F2001">
        <v>0</v>
      </c>
    </row>
    <row r="2002" spans="2:6" ht="15.75" customHeight="1" x14ac:dyDescent="0.25">
      <c r="B2002" t="str">
        <v>fan.fun</v>
      </c>
      <c r="C2002" t="str">
        <v>SoFi</v>
      </c>
      <c r="D2002" t="str">
        <v>-</v>
      </c>
      <c r="E2002">
        <v>17104.116473623355</v>
      </c>
      <c r="F2002">
        <v>0</v>
      </c>
    </row>
    <row r="2003" spans="2:6" ht="15.75" customHeight="1" x14ac:dyDescent="0.25">
      <c r="B2003" t="str">
        <v>fan.tech</v>
      </c>
      <c r="C2003" t="str">
        <v>SoFi</v>
      </c>
      <c r="D2003" t="str">
        <v>-</v>
      </c>
      <c r="E2003">
        <v>94076.086830304164</v>
      </c>
      <c r="F2003">
        <v>0</v>
      </c>
    </row>
    <row r="2004" spans="2:6" ht="15.75" customHeight="1" x14ac:dyDescent="0.25">
      <c r="B2004" t="str">
        <v>Fantasm</v>
      </c>
      <c r="C2004" t="str">
        <v>Algo-Stables</v>
      </c>
      <c r="D2004" t="str">
        <v>FSM</v>
      </c>
      <c r="E2004">
        <v>8.3028500971733358E-20</v>
      </c>
      <c r="F2004">
        <v>0</v>
      </c>
    </row>
    <row r="2005" spans="2:6" ht="15.75" customHeight="1" x14ac:dyDescent="0.25">
      <c r="B2005" t="str">
        <v>fantasy.top</v>
      </c>
      <c r="C2005" t="str">
        <v>SoFi</v>
      </c>
      <c r="D2005" t="str">
        <v>-</v>
      </c>
      <c r="E2005">
        <v>0</v>
      </c>
      <c r="F2005">
        <v>0</v>
      </c>
    </row>
    <row r="2006" spans="2:6" ht="15.75" customHeight="1" x14ac:dyDescent="0.25">
      <c r="B2006" t="str">
        <v>Fantohm</v>
      </c>
      <c r="C2006" t="str">
        <v>Reserve Currency</v>
      </c>
      <c r="D2006" t="str">
        <v>FHM</v>
      </c>
      <c r="E2006">
        <v>0</v>
      </c>
      <c r="F2006">
        <v>878981.25610809878</v>
      </c>
    </row>
    <row r="2007" spans="2:6" ht="15.75" customHeight="1" x14ac:dyDescent="0.25">
      <c r="B2007" t="str">
        <v>FantomPup</v>
      </c>
      <c r="C2007" t="str">
        <v>Yield</v>
      </c>
      <c r="D2007" t="str">
        <v>FPUP</v>
      </c>
      <c r="E2007">
        <v>272.45715155835012</v>
      </c>
      <c r="F2007">
        <v>0</v>
      </c>
    </row>
    <row r="2008" spans="2:6" ht="15.75" customHeight="1" x14ac:dyDescent="0.25">
      <c r="B2008" t="str">
        <v>FanX Protocol</v>
      </c>
      <c r="C2008" t="str">
        <v>Dexs</v>
      </c>
      <c r="D2008" t="str">
        <v>-</v>
      </c>
      <c r="E2008">
        <v>5995649.469932097</v>
      </c>
      <c r="F2008">
        <v>0</v>
      </c>
    </row>
    <row r="2009" spans="2:6" ht="15.75" customHeight="1" x14ac:dyDescent="0.25">
      <c r="B2009" t="str">
        <v>Farcaster SoFi</v>
      </c>
      <c r="C2009" t="str">
        <v>SoFi</v>
      </c>
      <c r="D2009" t="str">
        <v>-</v>
      </c>
      <c r="E2009">
        <v>0</v>
      </c>
      <c r="F2009">
        <v>0</v>
      </c>
    </row>
    <row r="2010" spans="2:6" ht="15.75" customHeight="1" x14ac:dyDescent="0.25">
      <c r="B2010" t="str">
        <v>Farm Hero</v>
      </c>
      <c r="C2010" t="str">
        <v>Gaming</v>
      </c>
      <c r="D2010" t="str">
        <v>HERO</v>
      </c>
      <c r="E2010">
        <v>1688.831534920716</v>
      </c>
      <c r="F2010">
        <v>0</v>
      </c>
    </row>
    <row r="2011" spans="2:6" ht="15.75" customHeight="1" x14ac:dyDescent="0.25">
      <c r="B2011" t="str">
        <v>Farmix</v>
      </c>
      <c r="C2011" t="str">
        <v>Leveraged Farming</v>
      </c>
      <c r="D2011" t="str">
        <v>-</v>
      </c>
      <c r="E2011">
        <v>3467.0851202887443</v>
      </c>
      <c r="F2011">
        <v>0</v>
      </c>
    </row>
    <row r="2012" spans="2:6" ht="15.75" customHeight="1" x14ac:dyDescent="0.25">
      <c r="B2012" t="str">
        <v>Farmtom</v>
      </c>
      <c r="C2012" t="str">
        <v>Yield</v>
      </c>
      <c r="D2012" t="str">
        <v>FRTM</v>
      </c>
      <c r="E2012">
        <v>1016.3587486182211</v>
      </c>
      <c r="F2012">
        <v>0</v>
      </c>
    </row>
    <row r="2013" spans="2:6" ht="15.75" customHeight="1" x14ac:dyDescent="0.25">
      <c r="B2013" t="str">
        <v>FAssets</v>
      </c>
      <c r="C2013" t="str">
        <v>Bridge</v>
      </c>
      <c r="D2013" t="str">
        <v>-</v>
      </c>
      <c r="E2013">
        <v>201609951.25486669</v>
      </c>
      <c r="F2013">
        <v>0</v>
      </c>
    </row>
    <row r="2014" spans="2:6" ht="15.75" customHeight="1" x14ac:dyDescent="0.25">
      <c r="B2014" t="str">
        <v>FastJPEG</v>
      </c>
      <c r="C2014" t="str">
        <v>Launchpad</v>
      </c>
      <c r="D2014" t="str">
        <v>-</v>
      </c>
      <c r="E2014">
        <v>0</v>
      </c>
      <c r="F2014">
        <v>0</v>
      </c>
    </row>
    <row r="2015" spans="2:6" ht="15.75" customHeight="1" x14ac:dyDescent="0.25">
      <c r="B2015" t="str">
        <v>Fastlane</v>
      </c>
      <c r="C2015" t="str">
        <v>MEV</v>
      </c>
      <c r="D2015" t="str">
        <v>-</v>
      </c>
      <c r="E2015">
        <v>0</v>
      </c>
      <c r="F2015">
        <v>0</v>
      </c>
    </row>
    <row r="2016" spans="2:6" ht="15.75" customHeight="1" x14ac:dyDescent="0.25">
      <c r="B2016" t="str">
        <v>Fastyield Finance</v>
      </c>
      <c r="C2016" t="str">
        <v>Yield Aggregator</v>
      </c>
      <c r="D2016" t="str">
        <v>FAST</v>
      </c>
      <c r="E2016">
        <v>87.918206719783555</v>
      </c>
      <c r="F2016">
        <v>0</v>
      </c>
    </row>
    <row r="2017" spans="2:6" ht="15.75" customHeight="1" x14ac:dyDescent="0.25">
      <c r="B2017" t="str">
        <v>FATExFi</v>
      </c>
      <c r="C2017" t="str">
        <v>Dexs</v>
      </c>
      <c r="D2017" t="str">
        <v>FATE</v>
      </c>
      <c r="E2017">
        <v>51.104414325743733</v>
      </c>
      <c r="F2017">
        <v>0</v>
      </c>
    </row>
    <row r="2018" spans="2:6" ht="15.75" customHeight="1" x14ac:dyDescent="0.25">
      <c r="B2018" t="str">
        <v>FATFIRE DEFI</v>
      </c>
      <c r="C2018" t="str">
        <v>Yield</v>
      </c>
      <c r="D2018" t="str">
        <v>FATFIRE</v>
      </c>
      <c r="E2018">
        <v>371.01692543639126</v>
      </c>
      <c r="F2018">
        <v>0</v>
      </c>
    </row>
    <row r="2019" spans="2:6" ht="15.75" customHeight="1" x14ac:dyDescent="0.25">
      <c r="B2019" t="str">
        <v>Fathom AMM</v>
      </c>
      <c r="C2019" t="str">
        <v>Dexs</v>
      </c>
      <c r="D2019" t="str">
        <v>FTHM</v>
      </c>
      <c r="E2019">
        <v>68711.879722503538</v>
      </c>
      <c r="F2019">
        <v>0</v>
      </c>
    </row>
    <row r="2020" spans="2:6" ht="15.75" customHeight="1" x14ac:dyDescent="0.25">
      <c r="B2020" t="str">
        <v>Fathom CDP</v>
      </c>
      <c r="C2020" t="str">
        <v>CDP</v>
      </c>
      <c r="D2020" t="str">
        <v>FTHM</v>
      </c>
      <c r="E2020">
        <v>3872748.4953539479</v>
      </c>
      <c r="F2020">
        <v>0</v>
      </c>
    </row>
    <row r="2021" spans="2:6" ht="15.75" customHeight="1" x14ac:dyDescent="0.25">
      <c r="B2021" t="str">
        <v>Fathom Lending</v>
      </c>
      <c r="C2021" t="str">
        <v>Lending</v>
      </c>
      <c r="D2021" t="str">
        <v>FTHM</v>
      </c>
      <c r="E2021">
        <v>166806.06547526846</v>
      </c>
      <c r="F2021">
        <v>0</v>
      </c>
    </row>
    <row r="2022" spans="2:6" ht="15.75" customHeight="1" x14ac:dyDescent="0.25">
      <c r="B2022" t="str">
        <v>Fathom Vault</v>
      </c>
      <c r="C2022" t="str">
        <v>Yield</v>
      </c>
      <c r="D2022" t="str">
        <v>FTHM</v>
      </c>
      <c r="E2022">
        <v>14584.097203015768</v>
      </c>
      <c r="F2022">
        <v>0</v>
      </c>
    </row>
    <row r="2023" spans="2:6" ht="15.75" customHeight="1" x14ac:dyDescent="0.25">
      <c r="B2023" t="str">
        <v>FCON DEX</v>
      </c>
      <c r="C2023" t="str">
        <v>Dexs</v>
      </c>
      <c r="D2023" t="str">
        <v>FCON</v>
      </c>
      <c r="E2023">
        <v>159.32545388529837</v>
      </c>
      <c r="F2023">
        <v>0</v>
      </c>
    </row>
    <row r="2024" spans="2:6" ht="15.75" customHeight="1" x14ac:dyDescent="0.25">
      <c r="B2024" t="str">
        <v>FDoge Finance</v>
      </c>
      <c r="C2024" t="str">
        <v>Algo-Stables</v>
      </c>
      <c r="D2024" t="str">
        <v>FDOGE</v>
      </c>
      <c r="E2024">
        <v>0</v>
      </c>
      <c r="F2024">
        <v>0</v>
      </c>
    </row>
    <row r="2025" spans="2:6" ht="15.75" customHeight="1" x14ac:dyDescent="0.25">
      <c r="B2025" t="str">
        <v>Feather</v>
      </c>
      <c r="C2025" t="str">
        <v>Risk Curators</v>
      </c>
      <c r="D2025" t="str">
        <v>-</v>
      </c>
      <c r="E2025">
        <v>1880380.8393654951</v>
      </c>
      <c r="F2025">
        <v>0</v>
      </c>
    </row>
    <row r="2026" spans="2:6" ht="15.75" customHeight="1" x14ac:dyDescent="0.25">
      <c r="B2026" t="str">
        <v>FeDex Finance</v>
      </c>
      <c r="C2026" t="str">
        <v>Dexs</v>
      </c>
      <c r="D2026" t="str">
        <v>FED</v>
      </c>
      <c r="E2026">
        <v>70.174656863042756</v>
      </c>
      <c r="F2026">
        <v>0</v>
      </c>
    </row>
    <row r="2027" spans="2:6" ht="15.75" customHeight="1" x14ac:dyDescent="0.25">
      <c r="B2027" t="str">
        <v>Feeder Finance</v>
      </c>
      <c r="C2027" t="str">
        <v>Yield</v>
      </c>
      <c r="D2027" t="str">
        <v>FEED</v>
      </c>
      <c r="E2027">
        <v>5.9908718204732851</v>
      </c>
      <c r="F2027">
        <v>24132.741542822729</v>
      </c>
    </row>
    <row r="2028" spans="2:6" ht="15.75" customHeight="1" x14ac:dyDescent="0.25">
      <c r="B2028" t="str">
        <v>FeeFree</v>
      </c>
      <c r="C2028" t="str">
        <v>Dexs</v>
      </c>
      <c r="D2028" t="str">
        <v>-</v>
      </c>
      <c r="E2028">
        <v>20089.309670687671</v>
      </c>
      <c r="F2028">
        <v>0</v>
      </c>
    </row>
    <row r="2029" spans="2:6" ht="15.75" customHeight="1" x14ac:dyDescent="0.25">
      <c r="B2029" t="str">
        <v>fees.wtf</v>
      </c>
      <c r="C2029" t="str">
        <v>Services</v>
      </c>
      <c r="D2029" t="str">
        <v>WTF</v>
      </c>
      <c r="E2029">
        <v>0</v>
      </c>
      <c r="F2029">
        <v>74071.201321019515</v>
      </c>
    </row>
    <row r="2030" spans="2:6" ht="15.75" customHeight="1" x14ac:dyDescent="0.25">
      <c r="B2030" t="str">
        <v>Fegex</v>
      </c>
      <c r="C2030" t="str">
        <v>Services</v>
      </c>
      <c r="D2030" t="str">
        <v>FEG</v>
      </c>
      <c r="E2030">
        <v>0</v>
      </c>
      <c r="F2030">
        <v>0</v>
      </c>
    </row>
    <row r="2031" spans="2:6" ht="15.75" customHeight="1" x14ac:dyDescent="0.25">
      <c r="B2031" t="str">
        <v>Fei Protocol</v>
      </c>
      <c r="C2031" t="str">
        <v>Algo-Stables</v>
      </c>
      <c r="D2031" t="str">
        <v>TRIBE</v>
      </c>
      <c r="E2031">
        <v>9.2342826000883527</v>
      </c>
      <c r="F2031">
        <v>18513953.843937781</v>
      </c>
    </row>
    <row r="2032" spans="2:6" ht="15.75" customHeight="1" x14ac:dyDescent="0.25">
      <c r="B2032" t="str">
        <v>Felix CDP</v>
      </c>
      <c r="C2032" t="str">
        <v>CDP</v>
      </c>
      <c r="D2032" t="str">
        <v>-</v>
      </c>
      <c r="E2032">
        <v>41295732.387589723</v>
      </c>
      <c r="F2032">
        <v>0</v>
      </c>
    </row>
    <row r="2033" spans="2:6" ht="15.75" customHeight="1" x14ac:dyDescent="0.25">
      <c r="B2033" t="str">
        <v>Felix Perps</v>
      </c>
      <c r="C2033" t="str">
        <v>Interface</v>
      </c>
      <c r="D2033" t="str">
        <v>-</v>
      </c>
      <c r="E2033">
        <v>0</v>
      </c>
      <c r="F2033">
        <v>0</v>
      </c>
    </row>
    <row r="2034" spans="2:6" ht="15.75" customHeight="1" x14ac:dyDescent="0.25">
      <c r="B2034" t="str">
        <v>Felix USDhl</v>
      </c>
      <c r="C2034" t="str">
        <v>Yield</v>
      </c>
      <c r="D2034" t="str">
        <v>-</v>
      </c>
      <c r="E2034">
        <v>23025571.171561372</v>
      </c>
      <c r="F2034">
        <v>0</v>
      </c>
    </row>
    <row r="2035" spans="2:6" ht="15.75" customHeight="1" x14ac:dyDescent="0.25">
      <c r="B2035" t="str">
        <v>Felix Vaults</v>
      </c>
      <c r="C2035" t="str">
        <v>Onchain Capital Allocator</v>
      </c>
      <c r="D2035" t="str">
        <v>-</v>
      </c>
      <c r="E2035">
        <v>104541519.14954092</v>
      </c>
      <c r="F2035">
        <v>0</v>
      </c>
    </row>
    <row r="2036" spans="2:6" ht="15.75" customHeight="1" x14ac:dyDescent="0.25">
      <c r="B2036" t="str">
        <v>FemboyDAO</v>
      </c>
      <c r="C2036" t="str">
        <v>Services</v>
      </c>
      <c r="D2036" t="str">
        <v>FEM</v>
      </c>
      <c r="E2036">
        <v>0</v>
      </c>
      <c r="F2036">
        <v>0</v>
      </c>
    </row>
    <row r="2037" spans="2:6" ht="15.75" customHeight="1" x14ac:dyDescent="0.25">
      <c r="B2037" t="str">
        <v>Fence Finance</v>
      </c>
      <c r="C2037" t="str">
        <v>Risk Curators</v>
      </c>
      <c r="D2037" t="str">
        <v>-</v>
      </c>
      <c r="E2037">
        <v>1355.7687502180513</v>
      </c>
      <c r="F2037">
        <v>0</v>
      </c>
    </row>
    <row r="2038" spans="2:6" ht="15.75" customHeight="1" x14ac:dyDescent="0.25">
      <c r="B2038" t="str">
        <v>Fenix Concentrated Liquidity</v>
      </c>
      <c r="C2038" t="str">
        <v>Dexs</v>
      </c>
      <c r="D2038" t="str">
        <v>FNX</v>
      </c>
      <c r="E2038">
        <v>7489337.8814544575</v>
      </c>
      <c r="F2038">
        <v>0</v>
      </c>
    </row>
    <row r="2039" spans="2:6" ht="15.75" customHeight="1" x14ac:dyDescent="0.25">
      <c r="B2039" t="str">
        <v>Fenix Standard Pools</v>
      </c>
      <c r="C2039" t="str">
        <v>Dexs</v>
      </c>
      <c r="D2039" t="str">
        <v>FNX</v>
      </c>
      <c r="E2039">
        <v>6009.9513734687634</v>
      </c>
      <c r="F2039">
        <v>0</v>
      </c>
    </row>
    <row r="2040" spans="2:6" ht="15.75" customHeight="1" x14ac:dyDescent="0.25">
      <c r="B2040" t="str">
        <v>Fenrir Finance</v>
      </c>
      <c r="C2040" t="str">
        <v>Lending</v>
      </c>
      <c r="D2040" t="str">
        <v>FNR</v>
      </c>
      <c r="E2040">
        <v>2.6709227747887523E-3</v>
      </c>
      <c r="F2040">
        <v>0</v>
      </c>
    </row>
    <row r="2041" spans="2:6" ht="15.75" customHeight="1" x14ac:dyDescent="0.25">
      <c r="B2041" t="str">
        <v>FerdyFlip</v>
      </c>
      <c r="C2041" t="str">
        <v>Luck Games</v>
      </c>
      <c r="D2041" t="str">
        <v>-</v>
      </c>
      <c r="E2041">
        <v>0.42592387089658651</v>
      </c>
      <c r="F2041">
        <v>0</v>
      </c>
    </row>
    <row r="2042" spans="2:6" ht="15.75" customHeight="1" x14ac:dyDescent="0.25">
      <c r="B2042" t="str">
        <v>Ferra CLMM</v>
      </c>
      <c r="C2042" t="str">
        <v>Dexs</v>
      </c>
      <c r="D2042" t="str">
        <v>-</v>
      </c>
      <c r="E2042">
        <v>131584.36108121893</v>
      </c>
      <c r="F2042">
        <v>0</v>
      </c>
    </row>
    <row r="2043" spans="2:6" ht="15.75" customHeight="1" x14ac:dyDescent="0.25">
      <c r="B2043" t="str">
        <v>Ferra DLMM</v>
      </c>
      <c r="C2043" t="str">
        <v>Dexs</v>
      </c>
      <c r="D2043" t="str">
        <v>-</v>
      </c>
      <c r="E2043">
        <v>7609104.0069333781</v>
      </c>
      <c r="F2043">
        <v>0</v>
      </c>
    </row>
    <row r="2044" spans="2:6" ht="15.75" customHeight="1" x14ac:dyDescent="0.25">
      <c r="B2044" t="str">
        <v>Ferro</v>
      </c>
      <c r="C2044" t="str">
        <v>Dexs</v>
      </c>
      <c r="D2044" t="str">
        <v>FER</v>
      </c>
      <c r="E2044">
        <v>8596422.080981072</v>
      </c>
      <c r="F2044">
        <v>711630.76336469478</v>
      </c>
    </row>
    <row r="2045" spans="2:6" ht="15.75" customHeight="1" x14ac:dyDescent="0.25">
      <c r="B2045" t="str">
        <v>Ferrum</v>
      </c>
      <c r="C2045" t="str">
        <v>Services</v>
      </c>
      <c r="D2045" t="str">
        <v>FRM</v>
      </c>
      <c r="E2045">
        <v>0</v>
      </c>
      <c r="F2045">
        <v>63363.797135354376</v>
      </c>
    </row>
    <row r="2046" spans="2:6" ht="15.75" customHeight="1" x14ac:dyDescent="0.25">
      <c r="B2046" t="str">
        <v>Fiamma</v>
      </c>
      <c r="C2046" t="str">
        <v>Bridge</v>
      </c>
      <c r="D2046" t="str">
        <v>-</v>
      </c>
      <c r="E2046">
        <v>1406938.4766923836</v>
      </c>
      <c r="F2046">
        <v>0</v>
      </c>
    </row>
    <row r="2047" spans="2:6" ht="15.75" customHeight="1" x14ac:dyDescent="0.25">
      <c r="B2047" t="str">
        <v>FIAT DAO</v>
      </c>
      <c r="C2047" t="str">
        <v>Yield</v>
      </c>
      <c r="D2047" t="str">
        <v>FDT</v>
      </c>
      <c r="E2047">
        <v>118439.78817290826</v>
      </c>
      <c r="F2047">
        <v>0</v>
      </c>
    </row>
    <row r="2048" spans="2:6" ht="15.75" customHeight="1" x14ac:dyDescent="0.25">
      <c r="B2048" t="str">
        <v>Fibonacci Dex</v>
      </c>
      <c r="C2048" t="str">
        <v>Dexs</v>
      </c>
      <c r="D2048" t="str">
        <v>-</v>
      </c>
      <c r="E2048">
        <v>1523.9172314089801</v>
      </c>
      <c r="F2048">
        <v>0</v>
      </c>
    </row>
    <row r="2049" spans="2:6" ht="15.75" customHeight="1" x14ac:dyDescent="0.25">
      <c r="B2049" t="str">
        <v>Fibrous Finance</v>
      </c>
      <c r="C2049" t="str">
        <v>DEX Aggregator</v>
      </c>
      <c r="D2049" t="str">
        <v>-</v>
      </c>
      <c r="E2049">
        <v>0</v>
      </c>
      <c r="F2049">
        <v>0</v>
      </c>
    </row>
    <row r="2050" spans="2:6" ht="15.75" customHeight="1" x14ac:dyDescent="0.25">
      <c r="B2050" t="str">
        <v>Figure Markets Democratized Prime</v>
      </c>
      <c r="C2050" t="str">
        <v>RWA Lending</v>
      </c>
      <c r="D2050" t="str">
        <v>-</v>
      </c>
      <c r="E2050">
        <v>28342220.610684186</v>
      </c>
      <c r="F2050">
        <v>0</v>
      </c>
    </row>
    <row r="2051" spans="2:6" ht="15.75" customHeight="1" x14ac:dyDescent="0.25">
      <c r="B2051" t="str">
        <v>Figure Markets Exchange</v>
      </c>
      <c r="C2051" t="str">
        <v>OTC Marketplace</v>
      </c>
      <c r="D2051" t="str">
        <v>-</v>
      </c>
      <c r="E2051">
        <v>590612863.94099998</v>
      </c>
      <c r="F2051">
        <v>0</v>
      </c>
    </row>
    <row r="2052" spans="2:6" ht="15.75" customHeight="1" x14ac:dyDescent="0.25">
      <c r="B2052" t="str">
        <v>Filament Beta</v>
      </c>
      <c r="C2052" t="str">
        <v>Derivatives</v>
      </c>
      <c r="D2052" t="str">
        <v>-</v>
      </c>
      <c r="E2052">
        <v>0</v>
      </c>
      <c r="F2052">
        <v>0</v>
      </c>
    </row>
    <row r="2053" spans="2:6" ht="15.75" customHeight="1" x14ac:dyDescent="0.25">
      <c r="B2053" t="str">
        <v>Filament V1</v>
      </c>
      <c r="C2053" t="str">
        <v>Derivatives</v>
      </c>
      <c r="D2053" t="str">
        <v>-</v>
      </c>
      <c r="E2053">
        <v>0</v>
      </c>
      <c r="F2053">
        <v>0</v>
      </c>
    </row>
    <row r="2054" spans="2:6" ht="15.75" customHeight="1" x14ac:dyDescent="0.25">
      <c r="B2054" t="str">
        <v>FilDA</v>
      </c>
      <c r="C2054" t="str">
        <v>Lending</v>
      </c>
      <c r="D2054" t="str">
        <v>FILDA</v>
      </c>
      <c r="E2054">
        <v>81199.814327597735</v>
      </c>
      <c r="F2054">
        <v>215911.85703191115</v>
      </c>
    </row>
    <row r="2055" spans="2:6" ht="15.75" customHeight="1" x14ac:dyDescent="0.25">
      <c r="B2055" t="str">
        <v>Filet Finance</v>
      </c>
      <c r="C2055" t="str">
        <v>Liquid Staking</v>
      </c>
      <c r="D2055" t="str">
        <v>-</v>
      </c>
      <c r="E2055">
        <v>2199468.2190221497</v>
      </c>
      <c r="F2055">
        <v>0</v>
      </c>
    </row>
    <row r="2056" spans="2:6" ht="15.75" customHeight="1" x14ac:dyDescent="0.25">
      <c r="B2056" t="str">
        <v>FilFi</v>
      </c>
      <c r="C2056" t="str">
        <v>Staking Pool</v>
      </c>
      <c r="D2056" t="str">
        <v>-</v>
      </c>
      <c r="E2056">
        <v>308407.26373553934</v>
      </c>
      <c r="F2056">
        <v>0</v>
      </c>
    </row>
    <row r="2057" spans="2:6" ht="15.75" customHeight="1" x14ac:dyDescent="0.25">
      <c r="B2057" t="str">
        <v>FILLiquid</v>
      </c>
      <c r="C2057" t="str">
        <v>Liquid Staking</v>
      </c>
      <c r="D2057" t="str">
        <v>-</v>
      </c>
      <c r="E2057">
        <v>1853770.0380431355</v>
      </c>
      <c r="F2057">
        <v>0</v>
      </c>
    </row>
    <row r="2058" spans="2:6" ht="15.75" customHeight="1" x14ac:dyDescent="0.25">
      <c r="B2058" t="str">
        <v>FIN</v>
      </c>
      <c r="C2058" t="str">
        <v>Dexs</v>
      </c>
      <c r="D2058" t="str">
        <v>-</v>
      </c>
      <c r="E2058">
        <v>244876.77303912729</v>
      </c>
      <c r="F2058">
        <v>0</v>
      </c>
    </row>
    <row r="2059" spans="2:6" ht="15.75" customHeight="1" x14ac:dyDescent="0.25">
      <c r="B2059" t="str">
        <v>Finceptor</v>
      </c>
      <c r="C2059" t="str">
        <v>Launchpad</v>
      </c>
      <c r="D2059" t="str">
        <v>FINC</v>
      </c>
      <c r="E2059">
        <v>0</v>
      </c>
      <c r="F2059">
        <v>193048.49196373273</v>
      </c>
    </row>
    <row r="2060" spans="2:6" ht="15.75" customHeight="1" x14ac:dyDescent="0.25">
      <c r="B2060" t="str">
        <v>Finder Bot</v>
      </c>
      <c r="C2060" t="str">
        <v>AI Agents</v>
      </c>
      <c r="D2060" t="str">
        <v>FINDER</v>
      </c>
      <c r="E2060">
        <v>0</v>
      </c>
      <c r="F2060">
        <v>0</v>
      </c>
    </row>
    <row r="2061" spans="2:6" ht="15.75" customHeight="1" x14ac:dyDescent="0.25">
      <c r="B2061" t="str">
        <v>Finext Finance</v>
      </c>
      <c r="C2061" t="str">
        <v>Algo-Stables</v>
      </c>
      <c r="D2061" t="str">
        <v>FINX</v>
      </c>
      <c r="E2061">
        <v>61732.480716807739</v>
      </c>
      <c r="F2061">
        <v>0</v>
      </c>
    </row>
    <row r="2062" spans="2:6" ht="15.75" customHeight="1" x14ac:dyDescent="0.25">
      <c r="B2062" t="str">
        <v>FinNexus</v>
      </c>
      <c r="C2062" t="str">
        <v>Options</v>
      </c>
      <c r="D2062" t="str">
        <v>FNX</v>
      </c>
      <c r="E2062">
        <v>232498.83709676634</v>
      </c>
      <c r="F2062">
        <v>0</v>
      </c>
    </row>
    <row r="2063" spans="2:6" ht="15.75" customHeight="1" x14ac:dyDescent="0.25">
      <c r="B2063" t="str">
        <v>Firebird</v>
      </c>
      <c r="C2063" t="str">
        <v>DEX Aggregator</v>
      </c>
      <c r="D2063" t="str">
        <v>HOPE</v>
      </c>
      <c r="E2063">
        <v>19132.694212092185</v>
      </c>
      <c r="F2063">
        <v>0</v>
      </c>
    </row>
    <row r="2064" spans="2:6" ht="15.75" customHeight="1" x14ac:dyDescent="0.25">
      <c r="B2064" t="str">
        <v>FireBot</v>
      </c>
      <c r="C2064" t="str">
        <v>Yield</v>
      </c>
      <c r="D2064" t="str">
        <v>FBX</v>
      </c>
      <c r="E2064">
        <v>0</v>
      </c>
      <c r="F2064">
        <v>0</v>
      </c>
    </row>
    <row r="2065" spans="2:6" ht="15.75" customHeight="1" x14ac:dyDescent="0.25">
      <c r="B2065" t="str">
        <v>FireDAO</v>
      </c>
      <c r="C2065" t="str">
        <v>Yield</v>
      </c>
      <c r="D2065" t="str">
        <v>-</v>
      </c>
      <c r="E2065">
        <v>2391.1090990619414</v>
      </c>
      <c r="F2065">
        <v>0</v>
      </c>
    </row>
    <row r="2066" spans="2:6" ht="15.75" customHeight="1" x14ac:dyDescent="0.25">
      <c r="B2066" t="str">
        <v>firefly</v>
      </c>
      <c r="C2066" t="str">
        <v>Dexs</v>
      </c>
      <c r="D2066" t="str">
        <v>-</v>
      </c>
      <c r="E2066">
        <v>99504.558884574319</v>
      </c>
      <c r="F2066">
        <v>0</v>
      </c>
    </row>
    <row r="2067" spans="2:6" ht="15.75" customHeight="1" x14ac:dyDescent="0.25">
      <c r="B2067" t="str">
        <v>Firelight</v>
      </c>
      <c r="C2067" t="str">
        <v>Liquid Staking</v>
      </c>
      <c r="D2067" t="str">
        <v>-</v>
      </c>
      <c r="E2067">
        <v>54013867.383239783</v>
      </c>
      <c r="F2067">
        <v>0</v>
      </c>
    </row>
    <row r="2068" spans="2:6" ht="15.75" customHeight="1" x14ac:dyDescent="0.25">
      <c r="B2068" t="str">
        <v>FirepotSwap</v>
      </c>
      <c r="C2068" t="str">
        <v>Dexs</v>
      </c>
      <c r="D2068" t="str">
        <v>-</v>
      </c>
      <c r="E2068">
        <v>0</v>
      </c>
      <c r="F2068">
        <v>0</v>
      </c>
    </row>
    <row r="2069" spans="2:6" ht="15.75" customHeight="1" x14ac:dyDescent="0.25">
      <c r="B2069" t="str">
        <v>Firoza Finance</v>
      </c>
      <c r="C2069" t="str">
        <v>Lending</v>
      </c>
      <c r="D2069" t="str">
        <v>-</v>
      </c>
      <c r="E2069">
        <v>0</v>
      </c>
      <c r="F2069">
        <v>0</v>
      </c>
    </row>
    <row r="2070" spans="2:6" ht="15.75" customHeight="1" x14ac:dyDescent="0.25">
      <c r="B2070" t="str">
        <v>Fisclend Finance</v>
      </c>
      <c r="C2070" t="str">
        <v>Lending</v>
      </c>
      <c r="D2070" t="str">
        <v>-</v>
      </c>
      <c r="E2070">
        <v>59.093730346219111</v>
      </c>
      <c r="F2070">
        <v>0</v>
      </c>
    </row>
    <row r="2071" spans="2:6" ht="15.75" customHeight="1" x14ac:dyDescent="0.25">
      <c r="B2071" t="str">
        <v>FIVA</v>
      </c>
      <c r="C2071" t="str">
        <v>Yield</v>
      </c>
      <c r="D2071" t="str">
        <v>-</v>
      </c>
      <c r="E2071">
        <v>44388.895586879022</v>
      </c>
      <c r="F2071">
        <v>0</v>
      </c>
    </row>
    <row r="2072" spans="2:6" ht="15.75" customHeight="1" x14ac:dyDescent="0.25">
      <c r="B2072" t="str">
        <v>Fixes frc20</v>
      </c>
      <c r="C2072" t="str">
        <v>Services</v>
      </c>
      <c r="D2072" t="str">
        <v>-</v>
      </c>
      <c r="E2072">
        <v>6544.1253919148576</v>
      </c>
      <c r="F2072">
        <v>0</v>
      </c>
    </row>
    <row r="2073" spans="2:6" ht="15.75" customHeight="1" x14ac:dyDescent="0.25">
      <c r="B2073" t="str">
        <v>Fixes frc20 Staking</v>
      </c>
      <c r="C2073" t="str">
        <v>Staking Pool</v>
      </c>
      <c r="D2073" t="str">
        <v>-</v>
      </c>
      <c r="E2073">
        <v>5244.6137677015195</v>
      </c>
      <c r="F2073">
        <v>0</v>
      </c>
    </row>
    <row r="2074" spans="2:6" ht="15.75" customHeight="1" x14ac:dyDescent="0.25">
      <c r="B2074" t="str">
        <v>Fixes Launchpad</v>
      </c>
      <c r="C2074" t="str">
        <v>Launchpad</v>
      </c>
      <c r="D2074" t="str">
        <v>-</v>
      </c>
      <c r="E2074">
        <v>226.97391937891169</v>
      </c>
      <c r="F2074">
        <v>0</v>
      </c>
    </row>
    <row r="2075" spans="2:6" ht="15.75" customHeight="1" x14ac:dyDescent="0.25">
      <c r="B2075" t="str">
        <v>Fizzswap V2</v>
      </c>
      <c r="C2075" t="str">
        <v>Dexs</v>
      </c>
      <c r="D2075" t="str">
        <v>-</v>
      </c>
      <c r="E2075">
        <v>1874.8150174190389</v>
      </c>
      <c r="F2075">
        <v>0</v>
      </c>
    </row>
    <row r="2076" spans="2:6" ht="15.75" customHeight="1" x14ac:dyDescent="0.25">
      <c r="B2076" t="str">
        <v>Fizzswap V3</v>
      </c>
      <c r="C2076" t="str">
        <v>Dexs</v>
      </c>
      <c r="D2076" t="str">
        <v>-</v>
      </c>
      <c r="E2076">
        <v>6175.705907810172</v>
      </c>
      <c r="F2076">
        <v>0</v>
      </c>
    </row>
    <row r="2077" spans="2:6" ht="15.75" customHeight="1" x14ac:dyDescent="0.25">
      <c r="B2077" t="str">
        <v>Fjord V1</v>
      </c>
      <c r="C2077" t="str">
        <v>Launchpad</v>
      </c>
      <c r="D2077" t="str">
        <v>FJO</v>
      </c>
      <c r="E2077">
        <v>0</v>
      </c>
      <c r="F2077">
        <v>0</v>
      </c>
    </row>
    <row r="2078" spans="2:6" ht="15.75" customHeight="1" x14ac:dyDescent="0.25">
      <c r="B2078" t="str">
        <v>Fjord V2</v>
      </c>
      <c r="C2078" t="str">
        <v>Launchpad</v>
      </c>
      <c r="D2078" t="str">
        <v>FJO</v>
      </c>
      <c r="E2078">
        <v>0</v>
      </c>
      <c r="F2078">
        <v>0</v>
      </c>
    </row>
    <row r="2079" spans="2:6" ht="15.75" customHeight="1" x14ac:dyDescent="0.25">
      <c r="B2079" t="str">
        <v>Flair Dex</v>
      </c>
      <c r="C2079" t="str">
        <v>Dexs</v>
      </c>
      <c r="D2079" t="str">
        <v>FLDX</v>
      </c>
      <c r="E2079">
        <v>50682.501471773518</v>
      </c>
      <c r="F2079">
        <v>0</v>
      </c>
    </row>
    <row r="2080" spans="2:6" ht="15.75" customHeight="1" x14ac:dyDescent="0.25">
      <c r="B2080" t="str">
        <v>Flame DeFi</v>
      </c>
      <c r="C2080" t="str">
        <v>Yield</v>
      </c>
      <c r="D2080" t="str">
        <v>FLAME</v>
      </c>
      <c r="E2080">
        <v>1983.2118320560244</v>
      </c>
      <c r="F2080">
        <v>0</v>
      </c>
    </row>
    <row r="2081" spans="2:6" ht="15.75" customHeight="1" x14ac:dyDescent="0.25">
      <c r="B2081" t="str">
        <v>Flamincome</v>
      </c>
      <c r="C2081" t="str">
        <v>Yield Aggregator</v>
      </c>
      <c r="D2081" t="str">
        <v>FLAG</v>
      </c>
      <c r="E2081">
        <v>0</v>
      </c>
      <c r="F2081">
        <v>0</v>
      </c>
    </row>
    <row r="2082" spans="2:6" ht="15.75" customHeight="1" x14ac:dyDescent="0.25">
      <c r="B2082" t="str">
        <v>Flamingo Finance</v>
      </c>
      <c r="C2082" t="str">
        <v>Dexs</v>
      </c>
      <c r="D2082" t="str">
        <v>FLM</v>
      </c>
      <c r="E2082">
        <v>3229506.7470165784</v>
      </c>
      <c r="F2082">
        <v>0</v>
      </c>
    </row>
    <row r="2083" spans="2:6" ht="15.75" customHeight="1" x14ac:dyDescent="0.25">
      <c r="B2083" t="str">
        <v>Flamingo Lend</v>
      </c>
      <c r="C2083" t="str">
        <v>Lending</v>
      </c>
      <c r="D2083" t="str">
        <v>FLM</v>
      </c>
      <c r="E2083">
        <v>1620101.5534043061</v>
      </c>
      <c r="F2083">
        <v>0</v>
      </c>
    </row>
    <row r="2084" spans="2:6" ht="15.75" customHeight="1" x14ac:dyDescent="0.25">
      <c r="B2084" t="str">
        <v>Flap sh</v>
      </c>
      <c r="C2084" t="str">
        <v>Launchpad</v>
      </c>
      <c r="D2084" t="str">
        <v>-</v>
      </c>
      <c r="E2084">
        <v>177093.77680193449</v>
      </c>
      <c r="F2084">
        <v>0</v>
      </c>
    </row>
    <row r="2085" spans="2:6" ht="15.75" customHeight="1" x14ac:dyDescent="0.25">
      <c r="B2085" t="str">
        <v>FlareBank</v>
      </c>
      <c r="C2085" t="str">
        <v>Reserve Currency</v>
      </c>
      <c r="D2085" t="str">
        <v>BANK</v>
      </c>
      <c r="E2085">
        <v>428394.15228962759</v>
      </c>
      <c r="F2085">
        <v>0</v>
      </c>
    </row>
    <row r="2086" spans="2:6" ht="15.75" customHeight="1" x14ac:dyDescent="0.25">
      <c r="B2086" t="str">
        <v>Flashbots</v>
      </c>
      <c r="C2086" t="str">
        <v>MEV</v>
      </c>
      <c r="D2086" t="str">
        <v>-</v>
      </c>
      <c r="E2086">
        <v>0</v>
      </c>
      <c r="F2086">
        <v>0</v>
      </c>
    </row>
    <row r="2087" spans="2:6" ht="15.75" customHeight="1" x14ac:dyDescent="0.25">
      <c r="B2087" t="str">
        <v>FlashLiquidity</v>
      </c>
      <c r="C2087" t="str">
        <v>Dexs</v>
      </c>
      <c r="D2087" t="str">
        <v>FLIQ</v>
      </c>
      <c r="E2087">
        <v>121.50808788823666</v>
      </c>
      <c r="F2087">
        <v>0</v>
      </c>
    </row>
    <row r="2088" spans="2:6" ht="15.75" customHeight="1" x14ac:dyDescent="0.25">
      <c r="B2088" t="str">
        <v>FlashPulse</v>
      </c>
      <c r="C2088" t="str">
        <v>Farm</v>
      </c>
      <c r="D2088" t="str">
        <v>FlashToken</v>
      </c>
      <c r="E2088">
        <v>2.4544883789084024E-2</v>
      </c>
      <c r="F2088">
        <v>0</v>
      </c>
    </row>
    <row r="2089" spans="2:6" ht="15.75" customHeight="1" x14ac:dyDescent="0.25">
      <c r="B2089" t="str">
        <v>Flashstake</v>
      </c>
      <c r="C2089" t="str">
        <v>Yield</v>
      </c>
      <c r="D2089" t="str">
        <v>FLASH</v>
      </c>
      <c r="E2089">
        <v>64198.86309616387</v>
      </c>
      <c r="F2089">
        <v>499999.83229489677</v>
      </c>
    </row>
    <row r="2090" spans="2:6" ht="15.75" customHeight="1" x14ac:dyDescent="0.25">
      <c r="B2090" t="str">
        <v>Flashstake OLD</v>
      </c>
      <c r="C2090" t="str">
        <v>Yield</v>
      </c>
      <c r="D2090" t="str">
        <v>FLASH</v>
      </c>
      <c r="E2090">
        <v>6374.9021605599291</v>
      </c>
      <c r="F2090">
        <v>0</v>
      </c>
    </row>
    <row r="2091" spans="2:6" ht="15.75" customHeight="1" x14ac:dyDescent="0.25">
      <c r="B2091" t="str">
        <v>FlashTrade</v>
      </c>
      <c r="C2091" t="str">
        <v>Derivatives</v>
      </c>
      <c r="D2091" t="str">
        <v>FAF</v>
      </c>
      <c r="E2091">
        <v>14846609.687679185</v>
      </c>
      <c r="F2091">
        <v>5607052.0889836429</v>
      </c>
    </row>
    <row r="2092" spans="2:6" ht="15.75" customHeight="1" x14ac:dyDescent="0.25">
      <c r="B2092" t="str">
        <v>Flast Protocol</v>
      </c>
      <c r="C2092" t="str">
        <v>Liquid Staking</v>
      </c>
      <c r="D2092" t="str">
        <v>-</v>
      </c>
      <c r="E2092">
        <v>0</v>
      </c>
      <c r="F2092">
        <v>0</v>
      </c>
    </row>
    <row r="2093" spans="2:6" ht="15.75" customHeight="1" x14ac:dyDescent="0.25">
      <c r="B2093" t="str">
        <v>Flat Money V1</v>
      </c>
      <c r="C2093" t="str">
        <v>Partially Algorithmic Stablecoin</v>
      </c>
      <c r="D2093" t="str">
        <v>DHT</v>
      </c>
      <c r="E2093">
        <v>174237.37217484959</v>
      </c>
      <c r="F2093">
        <v>0</v>
      </c>
    </row>
    <row r="2094" spans="2:6" ht="15.75" customHeight="1" x14ac:dyDescent="0.25">
      <c r="B2094" t="str">
        <v>Flat Money V2</v>
      </c>
      <c r="C2094" t="str">
        <v>Partially Algorithmic Stablecoin</v>
      </c>
      <c r="D2094" t="str">
        <v>DHT</v>
      </c>
      <c r="E2094">
        <v>2350821.1607450056</v>
      </c>
      <c r="F2094">
        <v>0</v>
      </c>
    </row>
    <row r="2095" spans="2:6" ht="15.75" customHeight="1" x14ac:dyDescent="0.25">
      <c r="B2095" t="str">
        <v>FlatCoin DEX</v>
      </c>
      <c r="C2095" t="str">
        <v>Farm</v>
      </c>
      <c r="D2095" t="str">
        <v>FLAT</v>
      </c>
      <c r="E2095">
        <v>12.492663343111966</v>
      </c>
      <c r="F2095">
        <v>0</v>
      </c>
    </row>
    <row r="2096" spans="2:6" ht="15.75" customHeight="1" x14ac:dyDescent="0.25">
      <c r="B2096" t="str">
        <v>FlatQube</v>
      </c>
      <c r="C2096" t="str">
        <v>Dexs</v>
      </c>
      <c r="D2096" t="str">
        <v>QUBE</v>
      </c>
      <c r="E2096">
        <v>259752</v>
      </c>
      <c r="F2096">
        <v>14329.90510846685</v>
      </c>
    </row>
    <row r="2097" spans="2:6" ht="15.75" customHeight="1" x14ac:dyDescent="0.25">
      <c r="B2097" t="str">
        <v>flaunch</v>
      </c>
      <c r="C2097" t="str">
        <v>Launchpad</v>
      </c>
      <c r="D2097" t="str">
        <v>-</v>
      </c>
      <c r="E2097">
        <v>1964840.3057534944</v>
      </c>
      <c r="F2097">
        <v>0</v>
      </c>
    </row>
    <row r="2098" spans="2:6" ht="15.75" customHeight="1" x14ac:dyDescent="0.25">
      <c r="B2098" t="str">
        <v>Flex Perpetuals</v>
      </c>
      <c r="C2098" t="str">
        <v>Derivatives</v>
      </c>
      <c r="D2098" t="str">
        <v>FDX</v>
      </c>
      <c r="E2098">
        <v>794031.31907873414</v>
      </c>
      <c r="F2098">
        <v>1461290.0022282491</v>
      </c>
    </row>
    <row r="2099" spans="2:6" ht="15.75" customHeight="1" x14ac:dyDescent="0.25">
      <c r="B2099" t="str">
        <v>Flexa</v>
      </c>
      <c r="C2099" t="str">
        <v>Payments</v>
      </c>
      <c r="D2099" t="str">
        <v>AMP</v>
      </c>
      <c r="E2099">
        <v>10288471.954022843</v>
      </c>
      <c r="F2099">
        <v>188584839.42808837</v>
      </c>
    </row>
    <row r="2100" spans="2:6" ht="15.75" customHeight="1" x14ac:dyDescent="0.25">
      <c r="B2100" t="str">
        <v>Fliperino</v>
      </c>
      <c r="C2100" t="str">
        <v>Luck Games</v>
      </c>
      <c r="D2100" t="str">
        <v>-</v>
      </c>
      <c r="E2100">
        <v>0.49547818960994999</v>
      </c>
      <c r="F2100">
        <v>0</v>
      </c>
    </row>
    <row r="2101" spans="2:6" ht="15.75" customHeight="1" x14ac:dyDescent="0.25">
      <c r="B2101" t="str">
        <v>FlitSwap</v>
      </c>
      <c r="C2101" t="str">
        <v>Dexs</v>
      </c>
      <c r="D2101" t="str">
        <v>-</v>
      </c>
      <c r="E2101">
        <v>79.898445537298429</v>
      </c>
      <c r="F2101">
        <v>0</v>
      </c>
    </row>
    <row r="2102" spans="2:6" ht="15.75" customHeight="1" x14ac:dyDescent="0.25">
      <c r="B2102" t="str">
        <v>Float</v>
      </c>
      <c r="C2102" t="str">
        <v>Derivatives</v>
      </c>
      <c r="D2102" t="str">
        <v>FLT</v>
      </c>
      <c r="E2102">
        <v>144122.08443493905</v>
      </c>
      <c r="F2102">
        <v>0</v>
      </c>
    </row>
    <row r="2103" spans="2:6" ht="15.75" customHeight="1" x14ac:dyDescent="0.25">
      <c r="B2103" t="str">
        <v>Float Protocol</v>
      </c>
      <c r="C2103" t="str">
        <v>Yield</v>
      </c>
      <c r="D2103" t="str">
        <v>BANK</v>
      </c>
      <c r="E2103">
        <v>270143.5702978872</v>
      </c>
      <c r="F2103">
        <v>32564.479394326398</v>
      </c>
    </row>
    <row r="2104" spans="2:6" ht="15.75" customHeight="1" x14ac:dyDescent="0.25">
      <c r="B2104" t="str">
        <v>FlokiFi Locker</v>
      </c>
      <c r="C2104" t="str">
        <v>Token Locker</v>
      </c>
      <c r="D2104" t="str">
        <v>FLOKI</v>
      </c>
      <c r="E2104">
        <v>17201419.269734994</v>
      </c>
      <c r="F2104">
        <v>512591957.51923847</v>
      </c>
    </row>
    <row r="2105" spans="2:6" ht="15.75" customHeight="1" x14ac:dyDescent="0.25">
      <c r="B2105" t="str">
        <v>Floor Dao</v>
      </c>
      <c r="C2105" t="str">
        <v>Reserve Currency</v>
      </c>
      <c r="D2105" t="str">
        <v>FLOOR</v>
      </c>
      <c r="E2105">
        <v>0</v>
      </c>
      <c r="F2105">
        <v>4386538.8763337936</v>
      </c>
    </row>
    <row r="2106" spans="2:6" ht="15.75" customHeight="1" x14ac:dyDescent="0.25">
      <c r="B2106" t="str">
        <v>Flooring Protocol</v>
      </c>
      <c r="C2106" t="str">
        <v>NFT Marketplace</v>
      </c>
      <c r="D2106" t="str">
        <v>FLC</v>
      </c>
      <c r="E2106">
        <v>16.534861478658591</v>
      </c>
      <c r="F2106">
        <v>21403.258200121636</v>
      </c>
    </row>
    <row r="2107" spans="2:6" ht="15.75" customHeight="1" x14ac:dyDescent="0.25">
      <c r="B2107" t="str">
        <v>Florence Finance</v>
      </c>
      <c r="C2107" t="str">
        <v>RWA Lending</v>
      </c>
      <c r="D2107" t="str">
        <v>FFM</v>
      </c>
      <c r="E2107">
        <v>0</v>
      </c>
      <c r="F2107">
        <v>103692.06691629662</v>
      </c>
    </row>
    <row r="2108" spans="2:6" ht="15.75" customHeight="1" x14ac:dyDescent="0.25">
      <c r="B2108" t="str">
        <v>FlowSwap V2</v>
      </c>
      <c r="C2108" t="str">
        <v>Dexs</v>
      </c>
      <c r="D2108" t="str">
        <v>-</v>
      </c>
      <c r="E2108">
        <v>0.33343720624081175</v>
      </c>
      <c r="F2108">
        <v>0</v>
      </c>
    </row>
    <row r="2109" spans="2:6" ht="15.75" customHeight="1" x14ac:dyDescent="0.25">
      <c r="B2109" t="str">
        <v>FlowSwap V3</v>
      </c>
      <c r="C2109" t="str">
        <v>Dexs</v>
      </c>
      <c r="D2109" t="str">
        <v>-</v>
      </c>
      <c r="E2109">
        <v>3761338.2803372908</v>
      </c>
      <c r="F2109">
        <v>0</v>
      </c>
    </row>
    <row r="2110" spans="2:6" ht="15.75" customHeight="1" x14ac:dyDescent="0.25">
      <c r="B2110" t="str">
        <v>FlowX Aggregator</v>
      </c>
      <c r="C2110" t="str">
        <v>DEX Aggregator</v>
      </c>
      <c r="D2110" t="str">
        <v>FLX</v>
      </c>
      <c r="E2110">
        <v>0</v>
      </c>
      <c r="F2110">
        <v>0</v>
      </c>
    </row>
    <row r="2111" spans="2:6" ht="15.75" customHeight="1" x14ac:dyDescent="0.25">
      <c r="B2111" t="str">
        <v>FlowX Perps</v>
      </c>
      <c r="C2111" t="str">
        <v>Interface</v>
      </c>
      <c r="D2111" t="str">
        <v>FLX</v>
      </c>
      <c r="E2111">
        <v>0</v>
      </c>
      <c r="F2111">
        <v>0</v>
      </c>
    </row>
    <row r="2112" spans="2:6" ht="15.75" customHeight="1" x14ac:dyDescent="0.25">
      <c r="B2112" t="str">
        <v>FlowX V2</v>
      </c>
      <c r="C2112" t="str">
        <v>Dexs</v>
      </c>
      <c r="D2112" t="str">
        <v>FLX</v>
      </c>
      <c r="E2112">
        <v>550188.12700242887</v>
      </c>
      <c r="F2112">
        <v>0</v>
      </c>
    </row>
    <row r="2113" spans="2:6" ht="15.75" customHeight="1" x14ac:dyDescent="0.25">
      <c r="B2113" t="str">
        <v>FlowX V3</v>
      </c>
      <c r="C2113" t="str">
        <v>Dexs</v>
      </c>
      <c r="D2113" t="str">
        <v>FLX</v>
      </c>
      <c r="E2113">
        <v>1594432.8048570722</v>
      </c>
      <c r="F2113">
        <v>0</v>
      </c>
    </row>
    <row r="2114" spans="2:6" ht="15.75" customHeight="1" x14ac:dyDescent="0.25">
      <c r="B2114" t="str">
        <v>FLRFarm</v>
      </c>
      <c r="C2114" t="str">
        <v>Yield</v>
      </c>
      <c r="D2114" t="str">
        <v>SFIN</v>
      </c>
      <c r="E2114">
        <v>186308.886251936</v>
      </c>
      <c r="F2114">
        <v>0</v>
      </c>
    </row>
    <row r="2115" spans="2:6" ht="15.75" customHeight="1" x14ac:dyDescent="0.25">
      <c r="B2115" t="str">
        <v>FLRLoans</v>
      </c>
      <c r="C2115" t="str">
        <v>CDP</v>
      </c>
      <c r="D2115" t="str">
        <v>-</v>
      </c>
      <c r="E2115">
        <v>1083.5938294325413</v>
      </c>
      <c r="F2115">
        <v>0</v>
      </c>
    </row>
    <row r="2116" spans="2:6" ht="15.75" customHeight="1" x14ac:dyDescent="0.25">
      <c r="B2116" t="str">
        <v>Fluid DEX</v>
      </c>
      <c r="C2116" t="str">
        <v>Dexs</v>
      </c>
      <c r="D2116" t="str">
        <v>FLUID</v>
      </c>
      <c r="E2116">
        <v>0</v>
      </c>
      <c r="F2116">
        <v>0</v>
      </c>
    </row>
    <row r="2117" spans="2:6" ht="15.75" customHeight="1" x14ac:dyDescent="0.25">
      <c r="B2117" t="str">
        <v>Fluid DEX Lite</v>
      </c>
      <c r="C2117" t="str">
        <v>Dexs</v>
      </c>
      <c r="D2117" t="str">
        <v>-</v>
      </c>
      <c r="E2117">
        <v>0</v>
      </c>
      <c r="F2117">
        <v>0</v>
      </c>
    </row>
    <row r="2118" spans="2:6" ht="15.75" customHeight="1" x14ac:dyDescent="0.25">
      <c r="B2118" t="str">
        <v>Fluid Lending</v>
      </c>
      <c r="C2118" t="str">
        <v>Lending</v>
      </c>
      <c r="D2118" t="str">
        <v>-</v>
      </c>
      <c r="E2118">
        <v>1589736939.6359439</v>
      </c>
      <c r="F2118">
        <v>0</v>
      </c>
    </row>
    <row r="2119" spans="2:6" ht="15.75" customHeight="1" x14ac:dyDescent="0.25">
      <c r="B2119" t="str">
        <v>Fluid Lite</v>
      </c>
      <c r="C2119" t="str">
        <v>Yield Aggregator</v>
      </c>
      <c r="D2119" t="str">
        <v>FLUID</v>
      </c>
      <c r="E2119">
        <v>285120239.77028608</v>
      </c>
      <c r="F2119">
        <v>0</v>
      </c>
    </row>
    <row r="2120" spans="2:6" ht="15.75" customHeight="1" x14ac:dyDescent="0.25">
      <c r="B2120" t="str">
        <v>Fluid Protocol</v>
      </c>
      <c r="C2120" t="str">
        <v>CDP</v>
      </c>
      <c r="D2120" t="str">
        <v>FTP</v>
      </c>
      <c r="E2120">
        <v>69075.084704314766</v>
      </c>
      <c r="F2120">
        <v>0</v>
      </c>
    </row>
    <row r="2121" spans="2:6" ht="15.75" customHeight="1" x14ac:dyDescent="0.25">
      <c r="B2121" t="str">
        <v>Fluidity Money</v>
      </c>
      <c r="C2121" t="str">
        <v>CDP</v>
      </c>
      <c r="D2121" t="str">
        <v>FLY</v>
      </c>
      <c r="E2121">
        <v>66625.64451967302</v>
      </c>
      <c r="F2121">
        <v>0</v>
      </c>
    </row>
    <row r="2122" spans="2:6" ht="15.75" customHeight="1" x14ac:dyDescent="0.25">
      <c r="B2122" t="str">
        <v>FluidTokens</v>
      </c>
      <c r="C2122" t="str">
        <v>Lending</v>
      </c>
      <c r="D2122" t="str">
        <v>FLDT</v>
      </c>
      <c r="E2122">
        <v>1711211.8473439992</v>
      </c>
      <c r="F2122">
        <v>0</v>
      </c>
    </row>
    <row r="2123" spans="2:6" ht="15.75" customHeight="1" x14ac:dyDescent="0.25">
      <c r="B2123" t="str">
        <v>Fluity</v>
      </c>
      <c r="C2123" t="str">
        <v>CDP</v>
      </c>
      <c r="D2123" t="str">
        <v>FLTY</v>
      </c>
      <c r="E2123">
        <v>44461.149929337465</v>
      </c>
      <c r="F2123">
        <v>0</v>
      </c>
    </row>
    <row r="2124" spans="2:6" ht="15.75" customHeight="1" x14ac:dyDescent="0.25">
      <c r="B2124" t="str">
        <v>Flux</v>
      </c>
      <c r="C2124" t="str">
        <v>CDP</v>
      </c>
      <c r="D2124" t="str">
        <v>-</v>
      </c>
      <c r="E2124">
        <v>10243.510929044694</v>
      </c>
      <c r="F2124">
        <v>0</v>
      </c>
    </row>
    <row r="2125" spans="2:6" ht="15.75" customHeight="1" x14ac:dyDescent="0.25">
      <c r="B2125" t="str">
        <v>Flux Exchange</v>
      </c>
      <c r="C2125" t="str">
        <v>Derivatives</v>
      </c>
      <c r="D2125" t="str">
        <v>-</v>
      </c>
      <c r="E2125">
        <v>23912.55710092662</v>
      </c>
      <c r="F2125">
        <v>0</v>
      </c>
    </row>
    <row r="2126" spans="2:6" ht="15.75" customHeight="1" x14ac:dyDescent="0.25">
      <c r="B2126" t="str">
        <v>Flux Finance</v>
      </c>
      <c r="C2126" t="str">
        <v>Lending</v>
      </c>
      <c r="D2126" t="str">
        <v>-</v>
      </c>
      <c r="E2126">
        <v>42423455.636910006</v>
      </c>
      <c r="F2126">
        <v>0</v>
      </c>
    </row>
    <row r="2127" spans="2:6" ht="15.75" customHeight="1" x14ac:dyDescent="0.25">
      <c r="B2127" t="str">
        <v>Flux Protocol</v>
      </c>
      <c r="C2127" t="str">
        <v>Lending</v>
      </c>
      <c r="D2127" t="str">
        <v>FLUX</v>
      </c>
      <c r="E2127">
        <v>71.630451727448687</v>
      </c>
      <c r="F2127">
        <v>0</v>
      </c>
    </row>
    <row r="2128" spans="2:6" ht="15.75" customHeight="1" x14ac:dyDescent="0.25">
      <c r="B2128" t="str">
        <v>Fluxa</v>
      </c>
      <c r="C2128" t="str">
        <v>DEX Aggregator</v>
      </c>
      <c r="D2128" t="str">
        <v>-</v>
      </c>
      <c r="E2128">
        <v>0</v>
      </c>
      <c r="F2128">
        <v>0</v>
      </c>
    </row>
    <row r="2129" spans="2:6" ht="15.75" customHeight="1" x14ac:dyDescent="0.25">
      <c r="B2129" t="str">
        <v>FluxBeam</v>
      </c>
      <c r="C2129" t="str">
        <v>Dexs</v>
      </c>
      <c r="D2129" t="str">
        <v>-</v>
      </c>
      <c r="E2129">
        <v>17071083.080915164</v>
      </c>
      <c r="F2129">
        <v>0</v>
      </c>
    </row>
    <row r="2130" spans="2:6" ht="15.75" customHeight="1" x14ac:dyDescent="0.25">
      <c r="B2130" t="str">
        <v>Fluxion Network</v>
      </c>
      <c r="C2130" t="str">
        <v>Dexs</v>
      </c>
      <c r="D2130" t="str">
        <v>-</v>
      </c>
      <c r="E2130">
        <v>183630.03827515399</v>
      </c>
      <c r="F2130">
        <v>0</v>
      </c>
    </row>
    <row r="2131" spans="2:6" ht="15.75" customHeight="1" x14ac:dyDescent="0.25">
      <c r="B2131" t="str">
        <v>Fluxtra</v>
      </c>
      <c r="C2131" t="str">
        <v>Liquid Staking</v>
      </c>
      <c r="D2131" t="str">
        <v>-</v>
      </c>
      <c r="E2131">
        <v>31579.907574286604</v>
      </c>
      <c r="F2131">
        <v>0</v>
      </c>
    </row>
    <row r="2132" spans="2:6" ht="15.75" customHeight="1" x14ac:dyDescent="0.25">
      <c r="B2132" t="str">
        <v>FluxusFi</v>
      </c>
      <c r="C2132" t="str">
        <v>Dexs</v>
      </c>
      <c r="D2132" t="str">
        <v>FLX</v>
      </c>
      <c r="E2132">
        <v>65.008808256041007</v>
      </c>
      <c r="F2132">
        <v>0</v>
      </c>
    </row>
    <row r="2133" spans="2:6" ht="15.75" customHeight="1" x14ac:dyDescent="0.25">
      <c r="B2133" t="str">
        <v>fly.trade</v>
      </c>
      <c r="C2133" t="str">
        <v>Cross Chain Bridge</v>
      </c>
      <c r="D2133" t="str">
        <v>FLY</v>
      </c>
      <c r="E2133">
        <v>0</v>
      </c>
      <c r="F2133">
        <v>378397.63045073423</v>
      </c>
    </row>
    <row r="2134" spans="2:6" ht="15.75" customHeight="1" x14ac:dyDescent="0.25">
      <c r="B2134" t="str">
        <v>fMoney</v>
      </c>
      <c r="C2134" t="str">
        <v>Lending</v>
      </c>
      <c r="D2134" t="str">
        <v>fBUX</v>
      </c>
      <c r="E2134">
        <v>3297.2849219403156</v>
      </c>
      <c r="F2134">
        <v>0</v>
      </c>
    </row>
    <row r="2135" spans="2:6" ht="15.75" customHeight="1" x14ac:dyDescent="0.25">
      <c r="B2135" t="str">
        <v>FNDZ</v>
      </c>
      <c r="C2135" t="str">
        <v>Dexs</v>
      </c>
      <c r="D2135" t="str">
        <v>FNDZ</v>
      </c>
      <c r="E2135">
        <v>4027.1009542448646</v>
      </c>
      <c r="F2135">
        <v>160475.43163131815</v>
      </c>
    </row>
    <row r="2136" spans="2:6" ht="15.75" customHeight="1" x14ac:dyDescent="0.25">
      <c r="B2136" t="str">
        <v>FODL Finance</v>
      </c>
      <c r="C2136" t="str">
        <v>Leveraged Farming</v>
      </c>
      <c r="D2136" t="str">
        <v>FODL</v>
      </c>
      <c r="E2136">
        <v>0</v>
      </c>
      <c r="F2136">
        <v>134924.52211058667</v>
      </c>
    </row>
    <row r="2137" spans="2:6" ht="15.75" customHeight="1" x14ac:dyDescent="0.25">
      <c r="B2137" t="str">
        <v>Folks Finance Lending</v>
      </c>
      <c r="C2137" t="str">
        <v>Lending</v>
      </c>
      <c r="D2137" t="str">
        <v>-</v>
      </c>
      <c r="E2137">
        <v>35371078.384752773</v>
      </c>
      <c r="F2137">
        <v>0</v>
      </c>
    </row>
    <row r="2138" spans="2:6" ht="15.75" customHeight="1" x14ac:dyDescent="0.25">
      <c r="B2138" t="str">
        <v>Folks Finance xChain</v>
      </c>
      <c r="C2138" t="str">
        <v>Lending</v>
      </c>
      <c r="D2138" t="str">
        <v>-</v>
      </c>
      <c r="E2138">
        <v>22128039.19086029</v>
      </c>
      <c r="F2138">
        <v>0</v>
      </c>
    </row>
    <row r="2139" spans="2:6" ht="15.75" customHeight="1" x14ac:dyDescent="0.25">
      <c r="B2139" t="str">
        <v>Follows</v>
      </c>
      <c r="C2139" t="str">
        <v>SoFi</v>
      </c>
      <c r="D2139" t="str">
        <v>-</v>
      </c>
      <c r="E2139">
        <v>1422.8751771576749</v>
      </c>
      <c r="F2139">
        <v>0</v>
      </c>
    </row>
    <row r="2140" spans="2:6" ht="15.75" customHeight="1" x14ac:dyDescent="0.25">
      <c r="B2140" t="str">
        <v>fomo</v>
      </c>
      <c r="C2140" t="str">
        <v>Trading App</v>
      </c>
      <c r="D2140" t="str">
        <v>-</v>
      </c>
      <c r="E2140">
        <v>0</v>
      </c>
      <c r="F2140">
        <v>0</v>
      </c>
    </row>
    <row r="2141" spans="2:6" ht="15.75" customHeight="1" x14ac:dyDescent="0.25">
      <c r="B2141" t="str">
        <v>Fomo3D</v>
      </c>
      <c r="C2141" t="str">
        <v>Farm</v>
      </c>
      <c r="D2141" t="str">
        <v>-</v>
      </c>
      <c r="E2141">
        <v>3753611.471377234</v>
      </c>
      <c r="F2141">
        <v>0</v>
      </c>
    </row>
    <row r="2142" spans="2:6" ht="15.75" customHeight="1" x14ac:dyDescent="0.25">
      <c r="B2142" t="str">
        <v>FomoSwap V2</v>
      </c>
      <c r="C2142" t="str">
        <v>Dexs</v>
      </c>
      <c r="D2142" t="str">
        <v>-</v>
      </c>
      <c r="E2142">
        <v>5764.2750358089988</v>
      </c>
      <c r="F2142">
        <v>0</v>
      </c>
    </row>
    <row r="2143" spans="2:6" ht="15.75" customHeight="1" x14ac:dyDescent="0.25">
      <c r="B2143" t="str">
        <v>FomoSwap V4</v>
      </c>
      <c r="C2143" t="str">
        <v>Dexs</v>
      </c>
      <c r="D2143" t="str">
        <v>-</v>
      </c>
      <c r="E2143">
        <v>0.44218430962001271</v>
      </c>
      <c r="F2143">
        <v>0</v>
      </c>
    </row>
    <row r="2144" spans="2:6" ht="15.75" customHeight="1" x14ac:dyDescent="0.25">
      <c r="B2144" t="str">
        <v>Foodcourt</v>
      </c>
      <c r="C2144" t="str">
        <v>Dexs</v>
      </c>
      <c r="D2144" t="str">
        <v>COUPON</v>
      </c>
      <c r="E2144">
        <v>45314.750515631917</v>
      </c>
      <c r="F2144">
        <v>0</v>
      </c>
    </row>
    <row r="2145" spans="2:6" ht="15.75" customHeight="1" x14ac:dyDescent="0.25">
      <c r="B2145" t="str">
        <v>FOOM</v>
      </c>
      <c r="C2145" t="str">
        <v>Derivatives</v>
      </c>
      <c r="D2145" t="str">
        <v>FOOM</v>
      </c>
      <c r="E2145">
        <v>0</v>
      </c>
      <c r="F2145">
        <v>22861719.674616463</v>
      </c>
    </row>
    <row r="2146" spans="2:6" ht="15.75" customHeight="1" x14ac:dyDescent="0.25">
      <c r="B2146" t="str">
        <v>FOOM Cash</v>
      </c>
      <c r="C2146" t="str">
        <v>Privacy</v>
      </c>
      <c r="D2146" t="str">
        <v>-</v>
      </c>
      <c r="E2146">
        <v>0</v>
      </c>
      <c r="F2146">
        <v>0</v>
      </c>
    </row>
    <row r="2147" spans="2:6" ht="15.75" customHeight="1" x14ac:dyDescent="0.25">
      <c r="B2147" t="str">
        <v>Football.Fun</v>
      </c>
      <c r="C2147" t="str">
        <v>Prediction Market</v>
      </c>
      <c r="D2147" t="str">
        <v>-</v>
      </c>
      <c r="E2147">
        <v>5788230.6970942076</v>
      </c>
      <c r="F2147">
        <v>0</v>
      </c>
    </row>
    <row r="2148" spans="2:6" ht="15.75" customHeight="1" x14ac:dyDescent="0.25">
      <c r="B2148" t="str">
        <v>FootballManager</v>
      </c>
      <c r="C2148" t="str">
        <v>Gaming</v>
      </c>
      <c r="D2148" t="str">
        <v>GFM</v>
      </c>
      <c r="E2148">
        <v>0</v>
      </c>
      <c r="F2148">
        <v>0</v>
      </c>
    </row>
    <row r="2149" spans="2:6" ht="15.75" customHeight="1" x14ac:dyDescent="0.25">
      <c r="B2149" t="str">
        <v>Forge</v>
      </c>
      <c r="C2149" t="str">
        <v>Dexs</v>
      </c>
      <c r="D2149" t="str">
        <v>-</v>
      </c>
      <c r="E2149">
        <v>6117.6257065651907</v>
      </c>
      <c r="F2149">
        <v>0</v>
      </c>
    </row>
    <row r="2150" spans="2:6" ht="15.75" customHeight="1" x14ac:dyDescent="0.25">
      <c r="B2150" t="str">
        <v>Forge Game</v>
      </c>
      <c r="C2150" t="str">
        <v>Gaming</v>
      </c>
      <c r="D2150" t="str">
        <v>-</v>
      </c>
      <c r="E2150">
        <v>0.23648164513207137</v>
      </c>
      <c r="F2150">
        <v>0</v>
      </c>
    </row>
    <row r="2151" spans="2:6" ht="15.75" customHeight="1" x14ac:dyDescent="0.25">
      <c r="B2151" t="str">
        <v>Forge SX Ovens</v>
      </c>
      <c r="C2151" t="str">
        <v>Synthetics</v>
      </c>
      <c r="D2151" t="str">
        <v>FORGE</v>
      </c>
      <c r="E2151">
        <v>15345.965423222686</v>
      </c>
      <c r="F2151">
        <v>0</v>
      </c>
    </row>
    <row r="2152" spans="2:6" ht="15.75" customHeight="1" x14ac:dyDescent="0.25">
      <c r="B2152" t="str">
        <v>Forge SX Trade</v>
      </c>
      <c r="C2152" t="str">
        <v>Dexs</v>
      </c>
      <c r="D2152" t="str">
        <v>FORGE</v>
      </c>
      <c r="E2152">
        <v>1211.9791049897988</v>
      </c>
      <c r="F2152">
        <v>0</v>
      </c>
    </row>
    <row r="2153" spans="2:6" ht="15.75" customHeight="1" x14ac:dyDescent="0.25">
      <c r="B2153" t="str">
        <v>ForgeYields</v>
      </c>
      <c r="C2153" t="str">
        <v>Onchain Capital Allocator</v>
      </c>
      <c r="D2153" t="str">
        <v>-</v>
      </c>
      <c r="E2153">
        <v>599447.20880516153</v>
      </c>
      <c r="F2153">
        <v>0</v>
      </c>
    </row>
    <row r="2154" spans="2:6" ht="15.75" customHeight="1" x14ac:dyDescent="0.25">
      <c r="B2154" t="str">
        <v>forlend</v>
      </c>
      <c r="C2154" t="str">
        <v>Lending</v>
      </c>
      <c r="D2154" t="str">
        <v>FLD</v>
      </c>
      <c r="E2154">
        <v>1737.4190233408706</v>
      </c>
      <c r="F2154">
        <v>0</v>
      </c>
    </row>
    <row r="2155" spans="2:6" ht="15.75" customHeight="1" x14ac:dyDescent="0.25">
      <c r="B2155" t="str">
        <v>Forta</v>
      </c>
      <c r="C2155" t="str">
        <v>Services</v>
      </c>
      <c r="D2155" t="str">
        <v>FORT</v>
      </c>
      <c r="E2155">
        <v>0</v>
      </c>
      <c r="F2155">
        <v>13380924.619231788</v>
      </c>
    </row>
    <row r="2156" spans="2:6" ht="15.75" customHeight="1" x14ac:dyDescent="0.25">
      <c r="B2156" t="str">
        <v>Forteswap</v>
      </c>
      <c r="C2156" t="str">
        <v>Dexs</v>
      </c>
      <c r="D2156" t="str">
        <v>-</v>
      </c>
      <c r="E2156">
        <v>20719.053812946215</v>
      </c>
      <c r="F2156">
        <v>0</v>
      </c>
    </row>
    <row r="2157" spans="2:6" ht="15.75" customHeight="1" x14ac:dyDescent="0.25">
      <c r="B2157" t="str">
        <v>FORTH DAO</v>
      </c>
      <c r="C2157" t="str">
        <v>Services</v>
      </c>
      <c r="D2157" t="str">
        <v>FORTH</v>
      </c>
      <c r="E2157">
        <v>0</v>
      </c>
      <c r="F2157">
        <v>0</v>
      </c>
    </row>
    <row r="2158" spans="2:6" ht="15.75" customHeight="1" x14ac:dyDescent="0.25">
      <c r="B2158" t="str">
        <v>Forthewin Network</v>
      </c>
      <c r="C2158" t="str">
        <v>Dexs</v>
      </c>
      <c r="D2158" t="str">
        <v>NEP</v>
      </c>
      <c r="E2158">
        <v>425672.55815461016</v>
      </c>
      <c r="F2158">
        <v>0</v>
      </c>
    </row>
    <row r="2159" spans="2:6" ht="15.75" customHeight="1" x14ac:dyDescent="0.25">
      <c r="B2159" t="str">
        <v>FortiFi</v>
      </c>
      <c r="C2159" t="str">
        <v>Yield Aggregator</v>
      </c>
      <c r="D2159" t="str">
        <v>-</v>
      </c>
      <c r="E2159">
        <v>551487.69294165866</v>
      </c>
      <c r="F2159">
        <v>0</v>
      </c>
    </row>
    <row r="2160" spans="2:6" ht="15.75" customHeight="1" x14ac:dyDescent="0.25">
      <c r="B2160" t="str">
        <v>Fortress</v>
      </c>
      <c r="C2160" t="str">
        <v>Reserve Currency</v>
      </c>
      <c r="D2160" t="str">
        <v>FORT</v>
      </c>
      <c r="E2160">
        <v>0</v>
      </c>
      <c r="F2160">
        <v>11903.956436151178</v>
      </c>
    </row>
    <row r="2161" spans="2:6" ht="15.75" customHeight="1" x14ac:dyDescent="0.25">
      <c r="B2161" t="str">
        <v>Fortress Loans</v>
      </c>
      <c r="C2161" t="str">
        <v>Lending</v>
      </c>
      <c r="D2161" t="str">
        <v>FTS</v>
      </c>
      <c r="E2161">
        <v>1168.1215533885545</v>
      </c>
      <c r="F2161">
        <v>13943.811110918248</v>
      </c>
    </row>
    <row r="2162" spans="2:6" ht="15.75" customHeight="1" x14ac:dyDescent="0.25">
      <c r="B2162" t="str">
        <v>ForTube</v>
      </c>
      <c r="C2162" t="str">
        <v>Lending</v>
      </c>
      <c r="D2162" t="str">
        <v>FOR</v>
      </c>
      <c r="E2162">
        <v>344.33031740959126</v>
      </c>
      <c r="F2162">
        <v>289529.28579303942</v>
      </c>
    </row>
    <row r="2163" spans="2:6" ht="15.75" customHeight="1" x14ac:dyDescent="0.25">
      <c r="B2163" t="str">
        <v>Fortunafi</v>
      </c>
      <c r="C2163" t="str">
        <v>RWA</v>
      </c>
      <c r="D2163" t="str">
        <v>-</v>
      </c>
      <c r="E2163">
        <v>221821.20394590544</v>
      </c>
      <c r="F2163">
        <v>0</v>
      </c>
    </row>
    <row r="2164" spans="2:6" ht="15.75" customHeight="1" x14ac:dyDescent="0.25">
      <c r="B2164" t="str">
        <v>Fortune DAO</v>
      </c>
      <c r="C2164" t="str">
        <v>Reserve Currency</v>
      </c>
      <c r="D2164" t="str">
        <v>FORT</v>
      </c>
      <c r="E2164">
        <v>0</v>
      </c>
      <c r="F2164">
        <v>0</v>
      </c>
    </row>
    <row r="2165" spans="2:6" ht="15.75" customHeight="1" x14ac:dyDescent="0.25">
      <c r="B2165" t="str">
        <v>Forward Industries SOL</v>
      </c>
      <c r="C2165" t="str">
        <v>Liquid Staking</v>
      </c>
      <c r="D2165" t="str">
        <v>-</v>
      </c>
      <c r="E2165">
        <v>0</v>
      </c>
      <c r="F2165">
        <v>0</v>
      </c>
    </row>
    <row r="2166" spans="2:6" ht="15.75" customHeight="1" x14ac:dyDescent="0.25">
      <c r="B2166" t="str">
        <v>Foundation</v>
      </c>
      <c r="C2166" t="str">
        <v>NFT Marketplace</v>
      </c>
      <c r="D2166" t="str">
        <v>-</v>
      </c>
      <c r="E2166">
        <v>0</v>
      </c>
      <c r="F2166">
        <v>0</v>
      </c>
    </row>
    <row r="2167" spans="2:6" ht="15.75" customHeight="1" x14ac:dyDescent="0.25">
      <c r="B2167" t="str">
        <v>Fountain Finance</v>
      </c>
      <c r="C2167" t="str">
        <v>Yield</v>
      </c>
      <c r="D2167" t="str">
        <v>-</v>
      </c>
      <c r="E2167">
        <v>0</v>
      </c>
      <c r="F2167">
        <v>0</v>
      </c>
    </row>
    <row r="2168" spans="2:6" ht="15.75" customHeight="1" x14ac:dyDescent="0.25">
      <c r="B2168" t="str">
        <v>Fountain Protocol</v>
      </c>
      <c r="C2168" t="str">
        <v>Lending</v>
      </c>
      <c r="D2168" t="str">
        <v>FTP</v>
      </c>
      <c r="E2168">
        <v>102215.47700606698</v>
      </c>
      <c r="F2168">
        <v>0</v>
      </c>
    </row>
    <row r="2169" spans="2:6" ht="15.75" customHeight="1" x14ac:dyDescent="0.25">
      <c r="B2169" t="str">
        <v>four.meme</v>
      </c>
      <c r="C2169" t="str">
        <v>Launchpad</v>
      </c>
      <c r="D2169" t="str">
        <v>-</v>
      </c>
      <c r="E2169">
        <v>5077525.4897844456</v>
      </c>
      <c r="F2169">
        <v>0</v>
      </c>
    </row>
    <row r="2170" spans="2:6" ht="15.75" customHeight="1" x14ac:dyDescent="0.25">
      <c r="B2170" t="str">
        <v>FourDex</v>
      </c>
      <c r="C2170" t="str">
        <v>Dexs</v>
      </c>
      <c r="D2170" t="str">
        <v>FDEX</v>
      </c>
      <c r="E2170">
        <v>8119.7974304816662</v>
      </c>
      <c r="F2170">
        <v>0</v>
      </c>
    </row>
    <row r="2171" spans="2:6" ht="15.75" customHeight="1" x14ac:dyDescent="0.25">
      <c r="B2171" t="str">
        <v>foxify</v>
      </c>
      <c r="C2171" t="str">
        <v>Derivatives</v>
      </c>
      <c r="D2171" t="str">
        <v>FoxifyMAXI</v>
      </c>
      <c r="E2171">
        <v>9.9980953091913789E-7</v>
      </c>
      <c r="F2171">
        <v>0</v>
      </c>
    </row>
    <row r="2172" spans="2:6" ht="15.75" customHeight="1" x14ac:dyDescent="0.25">
      <c r="B2172" t="str">
        <v>FoxSwap</v>
      </c>
      <c r="C2172" t="str">
        <v>Yield</v>
      </c>
      <c r="D2172" t="str">
        <v>FOX</v>
      </c>
      <c r="E2172">
        <v>26133.002019433152</v>
      </c>
      <c r="F2172">
        <v>0</v>
      </c>
    </row>
    <row r="2173" spans="2:6" ht="15.75" customHeight="1" x14ac:dyDescent="0.25">
      <c r="B2173" t="str">
        <v>Fractal Protocol</v>
      </c>
      <c r="C2173" t="str">
        <v>Yield</v>
      </c>
      <c r="D2173" t="str">
        <v>-</v>
      </c>
      <c r="E2173">
        <v>31334.162266169344</v>
      </c>
      <c r="F2173">
        <v>0</v>
      </c>
    </row>
    <row r="2174" spans="2:6" ht="15.75" customHeight="1" x14ac:dyDescent="0.25">
      <c r="B2174" t="str">
        <v>Fractional Art</v>
      </c>
      <c r="C2174" t="str">
        <v>Indexes</v>
      </c>
      <c r="D2174" t="str">
        <v>-</v>
      </c>
      <c r="E2174">
        <v>99656.597631786222</v>
      </c>
      <c r="F2174">
        <v>0</v>
      </c>
    </row>
    <row r="2175" spans="2:6" ht="15.75" customHeight="1" x14ac:dyDescent="0.25">
      <c r="B2175" t="str">
        <v>Fractit Fleet</v>
      </c>
      <c r="C2175" t="str">
        <v>RWA</v>
      </c>
      <c r="D2175" t="str">
        <v>FLEET</v>
      </c>
      <c r="E2175">
        <v>9.0057165803458794</v>
      </c>
      <c r="F2175">
        <v>0</v>
      </c>
    </row>
    <row r="2176" spans="2:6" ht="15.75" customHeight="1" x14ac:dyDescent="0.25">
      <c r="B2176" t="str">
        <v>Fragment</v>
      </c>
      <c r="C2176" t="str">
        <v>NFT Marketplace</v>
      </c>
      <c r="D2176" t="str">
        <v>-</v>
      </c>
      <c r="E2176">
        <v>0</v>
      </c>
      <c r="F2176">
        <v>0</v>
      </c>
    </row>
    <row r="2177" spans="2:6" ht="15.75" customHeight="1" x14ac:dyDescent="0.25">
      <c r="B2177" t="str">
        <v>Fragmetric</v>
      </c>
      <c r="C2177" t="str">
        <v>Liquid Restaking</v>
      </c>
      <c r="D2177" t="str">
        <v>-</v>
      </c>
      <c r="E2177">
        <v>33663247.463233911</v>
      </c>
      <c r="F2177">
        <v>0</v>
      </c>
    </row>
    <row r="2178" spans="2:6" ht="15.75" customHeight="1" x14ac:dyDescent="0.25">
      <c r="B2178" t="str">
        <v>FRAKT</v>
      </c>
      <c r="C2178" t="str">
        <v>NFT Lending</v>
      </c>
      <c r="D2178" t="str">
        <v>FRKT</v>
      </c>
      <c r="E2178">
        <v>0</v>
      </c>
      <c r="F2178">
        <v>4821.3435644140336</v>
      </c>
    </row>
    <row r="2179" spans="2:6" ht="15.75" customHeight="1" x14ac:dyDescent="0.25">
      <c r="B2179" t="str">
        <v>Francium</v>
      </c>
      <c r="C2179" t="str">
        <v>Yield</v>
      </c>
      <c r="D2179" t="str">
        <v>-</v>
      </c>
      <c r="E2179">
        <v>6144136</v>
      </c>
      <c r="F2179">
        <v>0</v>
      </c>
    </row>
    <row r="2180" spans="2:6" ht="15.75" customHeight="1" x14ac:dyDescent="0.25">
      <c r="B2180" t="str">
        <v>Frankencoin</v>
      </c>
      <c r="C2180" t="str">
        <v>CDP</v>
      </c>
      <c r="D2180" t="str">
        <v>ZCHF</v>
      </c>
      <c r="E2180">
        <v>26018098.664498195</v>
      </c>
      <c r="F2180">
        <v>20111264.185315803</v>
      </c>
    </row>
    <row r="2181" spans="2:6" ht="15.75" customHeight="1" x14ac:dyDescent="0.25">
      <c r="B2181" t="str">
        <v>Frax</v>
      </c>
      <c r="C2181" t="str">
        <v>Algo-Stables</v>
      </c>
      <c r="D2181" t="str">
        <v>FRAX</v>
      </c>
      <c r="E2181">
        <v>63010776.154379964</v>
      </c>
      <c r="F2181">
        <v>0</v>
      </c>
    </row>
    <row r="2182" spans="2:6" ht="15.75" customHeight="1" x14ac:dyDescent="0.25">
      <c r="B2182" t="str">
        <v>Frax AMO</v>
      </c>
      <c r="C2182" t="str">
        <v>Services</v>
      </c>
      <c r="D2182" t="str">
        <v>FRAX</v>
      </c>
      <c r="E2182">
        <v>0</v>
      </c>
      <c r="F2182">
        <v>0</v>
      </c>
    </row>
    <row r="2183" spans="2:6" ht="15.75" customHeight="1" x14ac:dyDescent="0.25">
      <c r="B2183" t="str">
        <v>Frax Ether</v>
      </c>
      <c r="C2183" t="str">
        <v>Liquid Staking</v>
      </c>
      <c r="D2183" t="str">
        <v>FRAX</v>
      </c>
      <c r="E2183">
        <v>260106178.7433596</v>
      </c>
      <c r="F2183">
        <v>0</v>
      </c>
    </row>
    <row r="2184" spans="2:6" ht="15.75" customHeight="1" x14ac:dyDescent="0.25">
      <c r="B2184" t="str">
        <v>Frax FPI</v>
      </c>
      <c r="C2184" t="str">
        <v>Algo-Stables</v>
      </c>
      <c r="D2184" t="str">
        <v>FPIS</v>
      </c>
      <c r="E2184">
        <v>335146.06632260361</v>
      </c>
      <c r="F2184">
        <v>5402059.8741116822</v>
      </c>
    </row>
    <row r="2185" spans="2:6" ht="15.75" customHeight="1" x14ac:dyDescent="0.25">
      <c r="B2185" t="str">
        <v>Frax Swap</v>
      </c>
      <c r="C2185" t="str">
        <v>Dexs</v>
      </c>
      <c r="D2185" t="str">
        <v>FRAX</v>
      </c>
      <c r="E2185">
        <v>16526102.833326092</v>
      </c>
      <c r="F2185">
        <v>0</v>
      </c>
    </row>
    <row r="2186" spans="2:6" ht="15.75" customHeight="1" x14ac:dyDescent="0.25">
      <c r="B2186" t="str">
        <v>Frax USD</v>
      </c>
      <c r="C2186" t="str">
        <v>RWA</v>
      </c>
      <c r="D2186" t="str">
        <v>FRAX</v>
      </c>
      <c r="E2186">
        <v>76223579.261440024</v>
      </c>
      <c r="F2186">
        <v>0</v>
      </c>
    </row>
    <row r="2187" spans="2:6" ht="15.75" customHeight="1" x14ac:dyDescent="0.25">
      <c r="B2187" t="str">
        <v>Fraxlend</v>
      </c>
      <c r="C2187" t="str">
        <v>Lending</v>
      </c>
      <c r="D2187" t="str">
        <v>FRAX</v>
      </c>
      <c r="E2187">
        <v>36338130.021725841</v>
      </c>
      <c r="F2187">
        <v>0</v>
      </c>
    </row>
    <row r="2188" spans="2:6" ht="15.75" customHeight="1" x14ac:dyDescent="0.25">
      <c r="B2188" t="str">
        <v>Free Protocol</v>
      </c>
      <c r="C2188" t="str">
        <v>Bridge</v>
      </c>
      <c r="D2188" t="str">
        <v>-</v>
      </c>
      <c r="E2188">
        <v>553181430.13319898</v>
      </c>
      <c r="F2188">
        <v>0</v>
      </c>
    </row>
    <row r="2189" spans="2:6" ht="15.75" customHeight="1" x14ac:dyDescent="0.25">
      <c r="B2189" t="str">
        <v>Freebie Life Finance</v>
      </c>
      <c r="C2189" t="str">
        <v>Yield Lottery</v>
      </c>
      <c r="D2189" t="str">
        <v>FRB</v>
      </c>
      <c r="E2189">
        <v>0</v>
      </c>
      <c r="F2189">
        <v>0</v>
      </c>
    </row>
    <row r="2190" spans="2:6" ht="15.75" customHeight="1" x14ac:dyDescent="0.25">
      <c r="B2190" t="str">
        <v>FreeLiquid</v>
      </c>
      <c r="C2190" t="str">
        <v>Lending</v>
      </c>
      <c r="D2190" t="str">
        <v>FL</v>
      </c>
      <c r="E2190">
        <v>0</v>
      </c>
      <c r="F2190">
        <v>0</v>
      </c>
    </row>
    <row r="2191" spans="2:6" ht="15.75" customHeight="1" x14ac:dyDescent="0.25">
      <c r="B2191" t="str">
        <v>FreeRiver</v>
      </c>
      <c r="C2191" t="str">
        <v>Dexs</v>
      </c>
      <c r="D2191" t="str">
        <v>FREE</v>
      </c>
      <c r="E2191">
        <v>9645.5322098196539</v>
      </c>
      <c r="F2191">
        <v>0</v>
      </c>
    </row>
    <row r="2192" spans="2:6" ht="15.75" customHeight="1" x14ac:dyDescent="0.25">
      <c r="B2192" t="str">
        <v>Fren Pets</v>
      </c>
      <c r="C2192" t="str">
        <v>Gaming</v>
      </c>
      <c r="D2192" t="str">
        <v>-</v>
      </c>
      <c r="E2192">
        <v>74532.806645204852</v>
      </c>
      <c r="F2192">
        <v>0</v>
      </c>
    </row>
    <row r="2193" spans="2:6" ht="15.75" customHeight="1" x14ac:dyDescent="0.25">
      <c r="B2193" t="str">
        <v>Frensly</v>
      </c>
      <c r="C2193" t="str">
        <v>SoFi</v>
      </c>
      <c r="D2193" t="str">
        <v>-</v>
      </c>
      <c r="E2193">
        <v>7472.0915463770871</v>
      </c>
      <c r="F2193">
        <v>0</v>
      </c>
    </row>
    <row r="2194" spans="2:6" ht="15.75" customHeight="1" x14ac:dyDescent="0.25">
      <c r="B2194" t="str">
        <v>friend.tech V1</v>
      </c>
      <c r="C2194" t="str">
        <v>SoFi</v>
      </c>
      <c r="D2194" t="str">
        <v>FRIEND</v>
      </c>
      <c r="E2194">
        <v>3061863.2172054388</v>
      </c>
      <c r="F2194">
        <v>0</v>
      </c>
    </row>
    <row r="2195" spans="2:6" ht="15.75" customHeight="1" x14ac:dyDescent="0.25">
      <c r="B2195" t="str">
        <v>friend.tech v2</v>
      </c>
      <c r="C2195" t="str">
        <v>SoFi</v>
      </c>
      <c r="D2195" t="str">
        <v>FRIEND</v>
      </c>
      <c r="E2195">
        <v>0</v>
      </c>
      <c r="F2195">
        <v>0</v>
      </c>
    </row>
    <row r="2196" spans="2:6" ht="15.75" customHeight="1" x14ac:dyDescent="0.25">
      <c r="B2196" t="str">
        <v>Friend3</v>
      </c>
      <c r="C2196" t="str">
        <v>SoFi</v>
      </c>
      <c r="D2196" t="str">
        <v>F3</v>
      </c>
      <c r="E2196">
        <v>103080.83223499038</v>
      </c>
      <c r="F2196">
        <v>0</v>
      </c>
    </row>
    <row r="2197" spans="2:6" ht="15.75" customHeight="1" x14ac:dyDescent="0.25">
      <c r="B2197" t="str">
        <v>Friendly Market</v>
      </c>
      <c r="C2197" t="str">
        <v>Lending</v>
      </c>
      <c r="D2197" t="str">
        <v>-</v>
      </c>
      <c r="E2197">
        <v>108442.7936175857</v>
      </c>
      <c r="F2197">
        <v>0</v>
      </c>
    </row>
    <row r="2198" spans="2:6" ht="15.75" customHeight="1" x14ac:dyDescent="0.25">
      <c r="B2198" t="str">
        <v>FriendRoom</v>
      </c>
      <c r="C2198" t="str">
        <v>SoFi</v>
      </c>
      <c r="D2198" t="str">
        <v>FRIEND</v>
      </c>
      <c r="E2198">
        <v>5468.6526013344028</v>
      </c>
      <c r="F2198">
        <v>1862133.080575245</v>
      </c>
    </row>
    <row r="2199" spans="2:6" ht="15.75" customHeight="1" x14ac:dyDescent="0.25">
      <c r="B2199" t="str">
        <v>Friends With Benefits</v>
      </c>
      <c r="C2199" t="str">
        <v>SoFi</v>
      </c>
      <c r="D2199" t="str">
        <v>FWB</v>
      </c>
      <c r="E2199">
        <v>0</v>
      </c>
      <c r="F2199">
        <v>204569.5257324444</v>
      </c>
    </row>
    <row r="2200" spans="2:6" ht="15.75" customHeight="1" x14ac:dyDescent="0.25">
      <c r="B2200" t="str">
        <v>Friendzy</v>
      </c>
      <c r="C2200" t="str">
        <v>SoFi</v>
      </c>
      <c r="D2200" t="str">
        <v>-</v>
      </c>
      <c r="E2200">
        <v>0</v>
      </c>
      <c r="F2200">
        <v>0</v>
      </c>
    </row>
    <row r="2201" spans="2:6" ht="15.75" customHeight="1" x14ac:dyDescent="0.25">
      <c r="B2201" t="str">
        <v>Frigg.eco</v>
      </c>
      <c r="C2201" t="str">
        <v>RWA</v>
      </c>
      <c r="D2201" t="str">
        <v>ATT</v>
      </c>
      <c r="E2201">
        <v>182532.15086299999</v>
      </c>
      <c r="F2201">
        <v>0</v>
      </c>
    </row>
    <row r="2202" spans="2:6" ht="15.75" customHeight="1" x14ac:dyDescent="0.25">
      <c r="B2202" t="str">
        <v>Friktion</v>
      </c>
      <c r="C2202" t="str">
        <v>Options Vault</v>
      </c>
      <c r="D2202" t="str">
        <v>-</v>
      </c>
      <c r="E2202">
        <v>0</v>
      </c>
      <c r="F2202">
        <v>0</v>
      </c>
    </row>
    <row r="2203" spans="2:6" ht="15.75" customHeight="1" x14ac:dyDescent="0.25">
      <c r="B2203" t="str">
        <v>Fringe V1</v>
      </c>
      <c r="C2203" t="str">
        <v>Lending</v>
      </c>
      <c r="D2203" t="str">
        <v>FRIN</v>
      </c>
      <c r="E2203">
        <v>15130.762733423247</v>
      </c>
      <c r="F2203">
        <v>0</v>
      </c>
    </row>
    <row r="2204" spans="2:6" ht="15.75" customHeight="1" x14ac:dyDescent="0.25">
      <c r="B2204" t="str">
        <v>Fringe V2</v>
      </c>
      <c r="C2204" t="str">
        <v>Lending</v>
      </c>
      <c r="D2204" t="str">
        <v>FRIN</v>
      </c>
      <c r="E2204">
        <v>16834.246865900168</v>
      </c>
      <c r="F2204">
        <v>0</v>
      </c>
    </row>
    <row r="2205" spans="2:6" ht="15.75" customHeight="1" x14ac:dyDescent="0.25">
      <c r="B2205" t="str">
        <v>Frog Nation Farm</v>
      </c>
      <c r="C2205" t="str">
        <v>Farm</v>
      </c>
      <c r="D2205" t="str">
        <v>FROG</v>
      </c>
      <c r="E2205">
        <v>209.43165879727388</v>
      </c>
      <c r="F2205">
        <v>0</v>
      </c>
    </row>
    <row r="2206" spans="2:6" ht="15.75" customHeight="1" x14ac:dyDescent="0.25">
      <c r="B2206" t="str">
        <v>Frog Swap</v>
      </c>
      <c r="C2206" t="str">
        <v>Dexs</v>
      </c>
      <c r="D2206" t="str">
        <v>FROG</v>
      </c>
      <c r="E2206">
        <v>0</v>
      </c>
      <c r="F2206">
        <v>0</v>
      </c>
    </row>
    <row r="2207" spans="2:6" ht="15.75" customHeight="1" x14ac:dyDescent="0.25">
      <c r="B2207" t="str">
        <v>Frogge.Finance</v>
      </c>
      <c r="C2207" t="str">
        <v>Dexs</v>
      </c>
      <c r="D2207" t="str">
        <v>-</v>
      </c>
      <c r="E2207">
        <v>0</v>
      </c>
      <c r="F2207">
        <v>0</v>
      </c>
    </row>
    <row r="2208" spans="2:6" ht="15.75" customHeight="1" x14ac:dyDescent="0.25">
      <c r="B2208" t="str">
        <v>Froggy Protocol</v>
      </c>
      <c r="C2208" t="str">
        <v>Yield Aggregator</v>
      </c>
      <c r="D2208" t="str">
        <v>FROG</v>
      </c>
      <c r="E2208">
        <v>0</v>
      </c>
      <c r="F2208">
        <v>0</v>
      </c>
    </row>
    <row r="2209" spans="2:6" ht="15.75" customHeight="1" x14ac:dyDescent="0.25">
      <c r="B2209" t="str">
        <v>Frogswap AMM</v>
      </c>
      <c r="C2209" t="str">
        <v>Dexs</v>
      </c>
      <c r="D2209" t="str">
        <v>-</v>
      </c>
      <c r="E2209">
        <v>0</v>
      </c>
      <c r="F2209">
        <v>0</v>
      </c>
    </row>
    <row r="2210" spans="2:6" ht="15.75" customHeight="1" x14ac:dyDescent="0.25">
      <c r="B2210" t="str">
        <v>Frogswap Farm</v>
      </c>
      <c r="C2210" t="str">
        <v>Farm</v>
      </c>
      <c r="D2210" t="str">
        <v>-</v>
      </c>
      <c r="E2210">
        <v>0</v>
      </c>
      <c r="F2210">
        <v>0</v>
      </c>
    </row>
    <row r="2211" spans="2:6" ht="15.75" customHeight="1" x14ac:dyDescent="0.25">
      <c r="B2211" t="str">
        <v>Frontrun Market</v>
      </c>
      <c r="C2211" t="str">
        <v>Services</v>
      </c>
      <c r="D2211" t="str">
        <v>-</v>
      </c>
      <c r="E2211">
        <v>42477.692672644596</v>
      </c>
      <c r="F2211">
        <v>0</v>
      </c>
    </row>
    <row r="2212" spans="2:6" ht="15.75" customHeight="1" x14ac:dyDescent="0.25">
      <c r="B2212" t="str">
        <v>Frost Finance</v>
      </c>
      <c r="C2212" t="str">
        <v>Yield</v>
      </c>
      <c r="D2212" t="str">
        <v>TUN</v>
      </c>
      <c r="E2212">
        <v>52483.312216128761</v>
      </c>
      <c r="F2212">
        <v>0</v>
      </c>
    </row>
    <row r="2213" spans="2:6" ht="15.75" customHeight="1" x14ac:dyDescent="0.25">
      <c r="B2213" t="str">
        <v>Frozen Walrus Finance</v>
      </c>
      <c r="C2213" t="str">
        <v>Algo-Stables</v>
      </c>
      <c r="D2213" t="str">
        <v>WLRS</v>
      </c>
      <c r="E2213">
        <v>0</v>
      </c>
      <c r="F2213">
        <v>0</v>
      </c>
    </row>
    <row r="2214" spans="2:6" ht="15.75" customHeight="1" x14ac:dyDescent="0.25">
      <c r="B2214" t="str">
        <v>Fruits of Ryoshi</v>
      </c>
      <c r="C2214" t="str">
        <v>Farm</v>
      </c>
      <c r="D2214" t="str">
        <v>NONI</v>
      </c>
      <c r="E2214">
        <v>2262.6380034604499</v>
      </c>
      <c r="F2214">
        <v>31870.537933786018</v>
      </c>
    </row>
    <row r="2215" spans="2:6" ht="15.75" customHeight="1" x14ac:dyDescent="0.25">
      <c r="B2215" t="str">
        <v>FstSwap</v>
      </c>
      <c r="C2215" t="str">
        <v>Dexs</v>
      </c>
      <c r="D2215" t="str">
        <v>-</v>
      </c>
      <c r="E2215">
        <v>15270382.940999966</v>
      </c>
      <c r="F2215">
        <v>0</v>
      </c>
    </row>
    <row r="2216" spans="2:6" ht="15.75" customHeight="1" x14ac:dyDescent="0.25">
      <c r="B2216" t="str">
        <v>FT33 DAO</v>
      </c>
      <c r="C2216" t="str">
        <v>Reserve Currency</v>
      </c>
      <c r="D2216" t="str">
        <v>WSFTW</v>
      </c>
      <c r="E2216">
        <v>0</v>
      </c>
      <c r="F2216">
        <v>0</v>
      </c>
    </row>
    <row r="2217" spans="2:6" ht="15.75" customHeight="1" x14ac:dyDescent="0.25">
      <c r="B2217" t="str">
        <v>FTM Frens</v>
      </c>
      <c r="C2217" t="str">
        <v>Yield</v>
      </c>
      <c r="D2217" t="str">
        <v>FRENS</v>
      </c>
      <c r="E2217">
        <v>1.9486779414823254</v>
      </c>
      <c r="F2217">
        <v>0</v>
      </c>
    </row>
    <row r="2218" spans="2:6" ht="15.75" customHeight="1" x14ac:dyDescent="0.25">
      <c r="B2218" t="str">
        <v>Fuel Bridge</v>
      </c>
      <c r="C2218" t="str">
        <v>Bridge</v>
      </c>
      <c r="D2218" t="str">
        <v>-</v>
      </c>
      <c r="E2218">
        <v>17756477.775987372</v>
      </c>
      <c r="F2218">
        <v>0</v>
      </c>
    </row>
    <row r="2219" spans="2:6" ht="15.75" customHeight="1" x14ac:dyDescent="0.25">
      <c r="B2219" t="str">
        <v>Fufuture Contract</v>
      </c>
      <c r="C2219" t="str">
        <v>Derivatives</v>
      </c>
      <c r="D2219" t="str">
        <v>-</v>
      </c>
      <c r="E2219">
        <v>1.056647150004645</v>
      </c>
      <c r="F2219">
        <v>0</v>
      </c>
    </row>
    <row r="2220" spans="2:6" ht="15.75" customHeight="1" x14ac:dyDescent="0.25">
      <c r="B2220" t="str">
        <v>Fufuture V1</v>
      </c>
      <c r="C2220" t="str">
        <v>Derivatives</v>
      </c>
      <c r="D2220" t="str">
        <v>-</v>
      </c>
      <c r="E2220">
        <v>19108.458178025252</v>
      </c>
      <c r="F2220">
        <v>0</v>
      </c>
    </row>
    <row r="2221" spans="2:6" ht="15.75" customHeight="1" x14ac:dyDescent="0.25">
      <c r="B2221" t="str">
        <v>Fufuture V2</v>
      </c>
      <c r="C2221" t="str">
        <v>Options</v>
      </c>
      <c r="D2221" t="str">
        <v>-</v>
      </c>
      <c r="E2221">
        <v>15226.70320180712</v>
      </c>
      <c r="F2221">
        <v>0</v>
      </c>
    </row>
    <row r="2222" spans="2:6" ht="15.75" customHeight="1" x14ac:dyDescent="0.25">
      <c r="B2222" t="str">
        <v>Fuji V1</v>
      </c>
      <c r="C2222" t="str">
        <v>Lending</v>
      </c>
      <c r="D2222" t="str">
        <v>-</v>
      </c>
      <c r="E2222">
        <v>254774.16813374835</v>
      </c>
      <c r="F2222">
        <v>0</v>
      </c>
    </row>
    <row r="2223" spans="2:6" ht="15.75" customHeight="1" x14ac:dyDescent="0.25">
      <c r="B2223" t="str">
        <v>Fuji V2</v>
      </c>
      <c r="C2223" t="str">
        <v>Lending</v>
      </c>
      <c r="D2223" t="str">
        <v>-</v>
      </c>
      <c r="E2223">
        <v>2702.8157154629293</v>
      </c>
      <c r="F2223">
        <v>0</v>
      </c>
    </row>
    <row r="2224" spans="2:6" ht="15.75" customHeight="1" x14ac:dyDescent="0.25">
      <c r="B2224" t="str">
        <v>Fulcrom AMM</v>
      </c>
      <c r="C2224" t="str">
        <v>Dexs</v>
      </c>
      <c r="D2224" t="str">
        <v>FUL</v>
      </c>
      <c r="E2224">
        <v>0</v>
      </c>
      <c r="F2224">
        <v>0</v>
      </c>
    </row>
    <row r="2225" spans="2:6" ht="15.75" customHeight="1" x14ac:dyDescent="0.25">
      <c r="B2225" t="str">
        <v>Fulcrom Perps</v>
      </c>
      <c r="C2225" t="str">
        <v>Derivatives</v>
      </c>
      <c r="D2225" t="str">
        <v>FUL</v>
      </c>
      <c r="E2225">
        <v>20442309.241858952</v>
      </c>
      <c r="F2225">
        <v>0</v>
      </c>
    </row>
    <row r="2226" spans="2:6" ht="15.75" customHeight="1" x14ac:dyDescent="0.25">
      <c r="B2226" t="str">
        <v>Full Sail</v>
      </c>
      <c r="C2226" t="str">
        <v>Dexs</v>
      </c>
      <c r="D2226" t="str">
        <v>SAIL</v>
      </c>
      <c r="E2226">
        <v>4647615.8599642022</v>
      </c>
      <c r="F2226">
        <v>392015.81346340536</v>
      </c>
    </row>
    <row r="2227" spans="2:6" ht="15.75" customHeight="1" x14ac:dyDescent="0.25">
      <c r="B2227" t="str">
        <v>FunBear</v>
      </c>
      <c r="C2227" t="str">
        <v>Services</v>
      </c>
      <c r="D2227" t="str">
        <v>FUNB</v>
      </c>
      <c r="E2227">
        <v>0</v>
      </c>
      <c r="F2227">
        <v>0</v>
      </c>
    </row>
    <row r="2228" spans="2:6" ht="15.75" customHeight="1" x14ac:dyDescent="0.25">
      <c r="B2228" t="str">
        <v>FunBeast</v>
      </c>
      <c r="C2228" t="str">
        <v>Dexs</v>
      </c>
      <c r="D2228" t="str">
        <v>BEAST</v>
      </c>
      <c r="E2228">
        <v>2224.0563051000217</v>
      </c>
      <c r="F2228">
        <v>0</v>
      </c>
    </row>
    <row r="2229" spans="2:6" ht="15.75" customHeight="1" x14ac:dyDescent="0.25">
      <c r="B2229" t="str">
        <v>Function FBTC</v>
      </c>
      <c r="C2229" t="str">
        <v>Bridge</v>
      </c>
      <c r="D2229" t="str">
        <v>-</v>
      </c>
      <c r="E2229">
        <v>999182892.03038669</v>
      </c>
      <c r="F2229">
        <v>0</v>
      </c>
    </row>
    <row r="2230" spans="2:6" ht="15.75" customHeight="1" x14ac:dyDescent="0.25">
      <c r="B2230" t="str">
        <v>FunDex</v>
      </c>
      <c r="C2230" t="str">
        <v>Dexs</v>
      </c>
      <c r="D2230" t="str">
        <v>FUN</v>
      </c>
      <c r="E2230">
        <v>0.19815361750000002</v>
      </c>
      <c r="F2230">
        <v>0</v>
      </c>
    </row>
    <row r="2231" spans="2:6" ht="15.75" customHeight="1" x14ac:dyDescent="0.25">
      <c r="B2231" t="str">
        <v>Fungify</v>
      </c>
      <c r="C2231" t="str">
        <v>Lending</v>
      </c>
      <c r="D2231" t="str">
        <v>FUNG</v>
      </c>
      <c r="E2231">
        <v>224142.11246293996</v>
      </c>
      <c r="F2231">
        <v>0</v>
      </c>
    </row>
    <row r="2232" spans="2:6" ht="15.75" customHeight="1" x14ac:dyDescent="0.25">
      <c r="B2232" t="str">
        <v>Furucombo</v>
      </c>
      <c r="C2232" t="str">
        <v>Services</v>
      </c>
      <c r="D2232" t="str">
        <v>COMBO</v>
      </c>
      <c r="E2232">
        <v>0</v>
      </c>
      <c r="F2232">
        <v>25181.288204971541</v>
      </c>
    </row>
    <row r="2233" spans="2:6" ht="15.75" customHeight="1" x14ac:dyDescent="0.25">
      <c r="B2233" t="str">
        <v>FuryLabs Finance</v>
      </c>
      <c r="C2233" t="str">
        <v>Farm</v>
      </c>
      <c r="D2233" t="str">
        <v>FURY</v>
      </c>
      <c r="E2233">
        <v>643.15543587733305</v>
      </c>
      <c r="F2233">
        <v>0</v>
      </c>
    </row>
    <row r="2234" spans="2:6" ht="15.75" customHeight="1" x14ac:dyDescent="0.25">
      <c r="B2234" t="str">
        <v>Fusefi Lending</v>
      </c>
      <c r="C2234" t="str">
        <v>Lending</v>
      </c>
      <c r="D2234" t="str">
        <v>VOLT</v>
      </c>
      <c r="E2234">
        <v>0.70163721596614181</v>
      </c>
      <c r="F2234">
        <v>0</v>
      </c>
    </row>
    <row r="2235" spans="2:6" ht="15.75" customHeight="1" x14ac:dyDescent="0.25">
      <c r="B2235" t="str">
        <v>Fuseon</v>
      </c>
      <c r="C2235" t="str">
        <v>Dexs</v>
      </c>
      <c r="D2235" t="str">
        <v>FUS</v>
      </c>
      <c r="E2235">
        <v>4903.1430782727912</v>
      </c>
      <c r="F2235">
        <v>0</v>
      </c>
    </row>
    <row r="2236" spans="2:6" ht="15.75" customHeight="1" x14ac:dyDescent="0.25">
      <c r="B2236" t="str">
        <v>Fusion Dex</v>
      </c>
      <c r="C2236" t="str">
        <v>Dexs</v>
      </c>
      <c r="D2236" t="str">
        <v>-</v>
      </c>
      <c r="E2236">
        <v>387.14865603197916</v>
      </c>
      <c r="F2236">
        <v>0</v>
      </c>
    </row>
    <row r="2237" spans="2:6" ht="15.75" customHeight="1" x14ac:dyDescent="0.25">
      <c r="B2237" t="str">
        <v>FusionX V2</v>
      </c>
      <c r="C2237" t="str">
        <v>Dexs</v>
      </c>
      <c r="D2237" t="str">
        <v>-</v>
      </c>
      <c r="E2237">
        <v>34432.727176799424</v>
      </c>
      <c r="F2237">
        <v>0</v>
      </c>
    </row>
    <row r="2238" spans="2:6" ht="15.75" customHeight="1" x14ac:dyDescent="0.25">
      <c r="B2238" t="str">
        <v>FusionX V3</v>
      </c>
      <c r="C2238" t="str">
        <v>Dexs</v>
      </c>
      <c r="D2238" t="str">
        <v>-</v>
      </c>
      <c r="E2238">
        <v>115208.33813879306</v>
      </c>
      <c r="F2238">
        <v>0</v>
      </c>
    </row>
    <row r="2239" spans="2:6" ht="15.75" customHeight="1" x14ac:dyDescent="0.25">
      <c r="B2239" t="str">
        <v>Future Swap</v>
      </c>
      <c r="C2239" t="str">
        <v>Dexs</v>
      </c>
      <c r="D2239" t="str">
        <v>-</v>
      </c>
      <c r="E2239">
        <v>300.67777696459831</v>
      </c>
      <c r="F2239">
        <v>0</v>
      </c>
    </row>
    <row r="2240" spans="2:6" ht="15.75" customHeight="1" x14ac:dyDescent="0.25">
      <c r="B2240" t="str">
        <v>FutureSwap</v>
      </c>
      <c r="C2240" t="str">
        <v>Derivatives</v>
      </c>
      <c r="D2240" t="str">
        <v>FST</v>
      </c>
      <c r="E2240">
        <v>618497.23549225612</v>
      </c>
      <c r="F2240">
        <v>6888.4205153354142</v>
      </c>
    </row>
    <row r="2241" spans="2:6" ht="15.75" customHeight="1" x14ac:dyDescent="0.25">
      <c r="B2241" t="str">
        <v>Fuzio</v>
      </c>
      <c r="C2241" t="str">
        <v>Dexs</v>
      </c>
      <c r="D2241" t="str">
        <v>-</v>
      </c>
      <c r="E2241">
        <v>5846.1829753889479</v>
      </c>
      <c r="F2241">
        <v>0</v>
      </c>
    </row>
    <row r="2242" spans="2:6" ht="15.75" customHeight="1" x14ac:dyDescent="0.25">
      <c r="B2242" t="str">
        <v>Fuzion Bonds</v>
      </c>
      <c r="C2242" t="str">
        <v>Services</v>
      </c>
      <c r="D2242" t="str">
        <v>FUZN</v>
      </c>
      <c r="E2242">
        <v>9.9806961469158432E-7</v>
      </c>
      <c r="F2242">
        <v>0</v>
      </c>
    </row>
    <row r="2243" spans="2:6" ht="15.75" customHeight="1" x14ac:dyDescent="0.25">
      <c r="B2243" t="str">
        <v>Fuzion Ignition</v>
      </c>
      <c r="C2243" t="str">
        <v>Launchpad</v>
      </c>
      <c r="D2243" t="str">
        <v>FUZN</v>
      </c>
      <c r="E2243">
        <v>2.5405134543063044</v>
      </c>
      <c r="F2243">
        <v>0</v>
      </c>
    </row>
    <row r="2244" spans="2:6" ht="15.75" customHeight="1" x14ac:dyDescent="0.25">
      <c r="B2244" t="str">
        <v>Fuzion Plasma</v>
      </c>
      <c r="C2244" t="str">
        <v>Services</v>
      </c>
      <c r="D2244" t="str">
        <v>FUZN</v>
      </c>
      <c r="E2244">
        <v>108.98949692282025</v>
      </c>
      <c r="F2244">
        <v>0</v>
      </c>
    </row>
    <row r="2245" spans="2:6" ht="15.75" customHeight="1" x14ac:dyDescent="0.25">
      <c r="B2245" t="str">
        <v>Fuzz Finance</v>
      </c>
      <c r="C2245" t="str">
        <v>Dexs</v>
      </c>
      <c r="D2245" t="str">
        <v>FUZZ</v>
      </c>
      <c r="E2245">
        <v>112.4410594798052</v>
      </c>
      <c r="F2245">
        <v>0</v>
      </c>
    </row>
    <row r="2246" spans="2:6" ht="15.75" customHeight="1" x14ac:dyDescent="0.25">
      <c r="B2246" t="str">
        <v>FVM Exchange</v>
      </c>
      <c r="C2246" t="str">
        <v>Dexs</v>
      </c>
      <c r="D2246" t="str">
        <v>FVM</v>
      </c>
      <c r="E2246">
        <v>18422.510010936483</v>
      </c>
      <c r="F2246">
        <v>0</v>
      </c>
    </row>
    <row r="2247" spans="2:6" ht="15.75" customHeight="1" x14ac:dyDescent="0.25">
      <c r="B2247" t="str">
        <v>FWX Derivatives</v>
      </c>
      <c r="C2247" t="str">
        <v>Derivatives</v>
      </c>
      <c r="D2247" t="str">
        <v>B4FWX</v>
      </c>
      <c r="E2247">
        <v>6666.8897136055111</v>
      </c>
      <c r="F2247">
        <v>0</v>
      </c>
    </row>
    <row r="2248" spans="2:6" ht="15.75" customHeight="1" x14ac:dyDescent="0.25">
      <c r="B2248" t="str">
        <v>FWX DEX</v>
      </c>
      <c r="C2248" t="str">
        <v>Dexs</v>
      </c>
      <c r="D2248" t="str">
        <v>B4FWX</v>
      </c>
      <c r="E2248">
        <v>12912.544583818104</v>
      </c>
      <c r="F2248">
        <v>0</v>
      </c>
    </row>
    <row r="2249" spans="2:6" ht="15.75" customHeight="1" x14ac:dyDescent="0.25">
      <c r="B2249" t="str">
        <v>fx Protocol</v>
      </c>
      <c r="C2249" t="str">
        <v>Dual-Token Stablecoin</v>
      </c>
      <c r="D2249" t="str">
        <v>FXN</v>
      </c>
      <c r="E2249">
        <v>58713029.515094906</v>
      </c>
      <c r="F2249">
        <v>1678826.3583079856</v>
      </c>
    </row>
    <row r="2250" spans="2:6" ht="15.75" customHeight="1" x14ac:dyDescent="0.25">
      <c r="B2250" t="str">
        <v>FxDAO</v>
      </c>
      <c r="C2250" t="str">
        <v>Partially Algorithmic Stablecoin</v>
      </c>
      <c r="D2250" t="str">
        <v>-</v>
      </c>
      <c r="E2250">
        <v>12739125.363763193</v>
      </c>
      <c r="F2250">
        <v>0</v>
      </c>
    </row>
    <row r="2251" spans="2:6" ht="15.75" customHeight="1" x14ac:dyDescent="0.25">
      <c r="B2251" t="str">
        <v>FXDX</v>
      </c>
      <c r="C2251" t="str">
        <v>Derivatives</v>
      </c>
      <c r="D2251" t="str">
        <v>FXDX</v>
      </c>
      <c r="E2251">
        <v>4798.2964654907428</v>
      </c>
      <c r="F2251">
        <v>0</v>
      </c>
    </row>
    <row r="2252" spans="2:6" ht="15.75" customHeight="1" x14ac:dyDescent="0.25">
      <c r="B2252" t="str">
        <v>Fyde Protocol</v>
      </c>
      <c r="C2252" t="str">
        <v>Yield Aggregator</v>
      </c>
      <c r="D2252" t="str">
        <v>TRSY</v>
      </c>
      <c r="E2252">
        <v>490324.88497463899</v>
      </c>
      <c r="F2252">
        <v>0</v>
      </c>
    </row>
    <row r="2253" spans="2:6" ht="15.75" customHeight="1" x14ac:dyDescent="0.25">
      <c r="B2253" t="str">
        <v>g8keep</v>
      </c>
      <c r="C2253" t="str">
        <v>Launchpad</v>
      </c>
      <c r="D2253" t="str">
        <v>-</v>
      </c>
      <c r="E2253">
        <v>214469.65659294135</v>
      </c>
      <c r="F2253">
        <v>0</v>
      </c>
    </row>
    <row r="2254" spans="2:6" ht="15.75" customHeight="1" x14ac:dyDescent="0.25">
      <c r="B2254" t="str">
        <v>Gable Finance</v>
      </c>
      <c r="C2254" t="str">
        <v>Yield</v>
      </c>
      <c r="D2254" t="str">
        <v>GAB</v>
      </c>
      <c r="E2254">
        <v>4343.5804460740273</v>
      </c>
      <c r="F2254">
        <v>0</v>
      </c>
    </row>
    <row r="2255" spans="2:6" ht="15.75" customHeight="1" x14ac:dyDescent="0.25">
      <c r="B2255" t="str">
        <v>Gacha</v>
      </c>
      <c r="C2255" t="str">
        <v>Prediction Market</v>
      </c>
      <c r="D2255" t="str">
        <v>-</v>
      </c>
      <c r="E2255">
        <v>34479.394027853225</v>
      </c>
      <c r="F2255">
        <v>0</v>
      </c>
    </row>
    <row r="2256" spans="2:6" ht="15.75" customHeight="1" x14ac:dyDescent="0.25">
      <c r="B2256" t="str">
        <v>Gaia DAO</v>
      </c>
      <c r="C2256" t="str">
        <v>Reserve Currency</v>
      </c>
      <c r="D2256" t="str">
        <v>GAIA</v>
      </c>
      <c r="E2256">
        <v>4.8060723713564233</v>
      </c>
      <c r="F2256">
        <v>0</v>
      </c>
    </row>
    <row r="2257" spans="2:6" ht="15.75" customHeight="1" x14ac:dyDescent="0.25">
      <c r="B2257" t="str">
        <v>GAIB</v>
      </c>
      <c r="C2257" t="str">
        <v>RWA</v>
      </c>
      <c r="D2257" t="str">
        <v>-</v>
      </c>
      <c r="E2257">
        <v>201977190.13716978</v>
      </c>
      <c r="F2257">
        <v>0</v>
      </c>
    </row>
    <row r="2258" spans="2:6" ht="15.75" customHeight="1" x14ac:dyDescent="0.25">
      <c r="B2258" t="str">
        <v>Gain</v>
      </c>
      <c r="C2258" t="str">
        <v>Onchain Capital Allocator</v>
      </c>
      <c r="D2258" t="str">
        <v>-</v>
      </c>
      <c r="E2258">
        <v>100976506.06617773</v>
      </c>
      <c r="F2258">
        <v>0</v>
      </c>
    </row>
    <row r="2259" spans="2:6" ht="15.75" customHeight="1" x14ac:dyDescent="0.25">
      <c r="B2259" t="str">
        <v>Gains Network</v>
      </c>
      <c r="C2259" t="str">
        <v>Derivatives</v>
      </c>
      <c r="D2259" t="str">
        <v>GNS</v>
      </c>
      <c r="E2259">
        <v>25245080.778093494</v>
      </c>
      <c r="F2259">
        <v>28499084.854281005</v>
      </c>
    </row>
    <row r="2260" spans="2:6" ht="15.75" customHeight="1" x14ac:dyDescent="0.25">
      <c r="B2260" t="str">
        <v>GainzSwap</v>
      </c>
      <c r="C2260" t="str">
        <v>Dexs</v>
      </c>
      <c r="D2260" t="str">
        <v>-</v>
      </c>
      <c r="E2260">
        <v>312602.39109180716</v>
      </c>
      <c r="F2260">
        <v>0</v>
      </c>
    </row>
    <row r="2261" spans="2:6" ht="15.75" customHeight="1" x14ac:dyDescent="0.25">
      <c r="B2261" t="str">
        <v>Gaj Finance</v>
      </c>
      <c r="C2261" t="str">
        <v>Yield</v>
      </c>
      <c r="D2261" t="str">
        <v>GAJ</v>
      </c>
      <c r="E2261">
        <v>24114.38759336295</v>
      </c>
      <c r="F2261">
        <v>0</v>
      </c>
    </row>
    <row r="2262" spans="2:6" ht="15.75" customHeight="1" x14ac:dyDescent="0.25">
      <c r="B2262" t="str">
        <v>Gala Swap</v>
      </c>
      <c r="C2262" t="str">
        <v>Dexs</v>
      </c>
      <c r="D2262" t="str">
        <v>-</v>
      </c>
      <c r="E2262">
        <v>2411551.4750070712</v>
      </c>
      <c r="F2262">
        <v>0</v>
      </c>
    </row>
    <row r="2263" spans="2:6" ht="15.75" customHeight="1" x14ac:dyDescent="0.25">
      <c r="B2263" t="str">
        <v>Galador</v>
      </c>
      <c r="C2263" t="str">
        <v>Dexs</v>
      </c>
      <c r="D2263" t="str">
        <v>-</v>
      </c>
      <c r="E2263">
        <v>891.77493870858905</v>
      </c>
      <c r="F2263">
        <v>0</v>
      </c>
    </row>
    <row r="2264" spans="2:6" ht="15.75" customHeight="1" x14ac:dyDescent="0.25">
      <c r="B2264" t="str">
        <v>Galatea Cash</v>
      </c>
      <c r="C2264" t="str">
        <v>Algo-Stables</v>
      </c>
      <c r="D2264" t="str">
        <v>gCASH</v>
      </c>
      <c r="E2264">
        <v>0</v>
      </c>
      <c r="F2264">
        <v>0</v>
      </c>
    </row>
    <row r="2265" spans="2:6" ht="15.75" customHeight="1" x14ac:dyDescent="0.25">
      <c r="B2265" t="str">
        <v>GalaxyGoogle DAO</v>
      </c>
      <c r="C2265" t="str">
        <v>Reserve Currency</v>
      </c>
      <c r="D2265" t="str">
        <v>GG</v>
      </c>
      <c r="E2265">
        <v>0</v>
      </c>
      <c r="F2265">
        <v>0</v>
      </c>
    </row>
    <row r="2266" spans="2:6" ht="15.75" customHeight="1" x14ac:dyDescent="0.25">
      <c r="B2266" t="str">
        <v>Gale</v>
      </c>
      <c r="C2266" t="str">
        <v>Yield</v>
      </c>
      <c r="D2266" t="str">
        <v>GALE</v>
      </c>
      <c r="E2266">
        <v>0</v>
      </c>
      <c r="F2266">
        <v>0</v>
      </c>
    </row>
    <row r="2267" spans="2:6" ht="15.75" customHeight="1" x14ac:dyDescent="0.25">
      <c r="B2267" t="str">
        <v>gALGO Liquid Governance</v>
      </c>
      <c r="C2267" t="str">
        <v>Liquid Staking</v>
      </c>
      <c r="D2267" t="str">
        <v>-</v>
      </c>
      <c r="E2267">
        <v>684650.46784470393</v>
      </c>
      <c r="F2267">
        <v>0</v>
      </c>
    </row>
    <row r="2268" spans="2:6" ht="15.75" customHeight="1" x14ac:dyDescent="0.25">
      <c r="B2268" t="str">
        <v>GaloSwap</v>
      </c>
      <c r="C2268" t="str">
        <v>Dexs</v>
      </c>
      <c r="D2268" t="str">
        <v>-</v>
      </c>
      <c r="E2268">
        <v>19766.191772255941</v>
      </c>
      <c r="F2268">
        <v>0</v>
      </c>
    </row>
    <row r="2269" spans="2:6" ht="15.75" customHeight="1" x14ac:dyDescent="0.25">
      <c r="B2269" t="str">
        <v>Gambit Financial</v>
      </c>
      <c r="C2269" t="str">
        <v>Derivatives</v>
      </c>
      <c r="D2269" t="str">
        <v>-</v>
      </c>
      <c r="E2269">
        <v>254317.29117982098</v>
      </c>
      <c r="F2269">
        <v>0</v>
      </c>
    </row>
    <row r="2270" spans="2:6" ht="15.75" customHeight="1" x14ac:dyDescent="0.25">
      <c r="B2270" t="str">
        <v>Gambit Trade</v>
      </c>
      <c r="C2270" t="str">
        <v>Derivatives</v>
      </c>
      <c r="D2270" t="str">
        <v>-</v>
      </c>
      <c r="E2270">
        <v>3082.1985721911014</v>
      </c>
      <c r="F2270">
        <v>0</v>
      </c>
    </row>
    <row r="2271" spans="2:6" ht="15.75" customHeight="1" x14ac:dyDescent="0.25">
      <c r="B2271" t="str">
        <v>Gamblefi</v>
      </c>
      <c r="C2271" t="str">
        <v>Reserve Currency</v>
      </c>
      <c r="D2271" t="str">
        <v>BETIFY</v>
      </c>
      <c r="E2271">
        <v>627.07489590396165</v>
      </c>
      <c r="F2271">
        <v>0</v>
      </c>
    </row>
    <row r="2272" spans="2:6" ht="15.75" customHeight="1" x14ac:dyDescent="0.25">
      <c r="B2272" t="str">
        <v>Game Theory</v>
      </c>
      <c r="C2272" t="str">
        <v>Algo-Stables</v>
      </c>
      <c r="D2272" t="str">
        <v>GAME</v>
      </c>
      <c r="E2272">
        <v>0</v>
      </c>
      <c r="F2272">
        <v>0</v>
      </c>
    </row>
    <row r="2273" spans="2:6" ht="15.75" customHeight="1" x14ac:dyDescent="0.25">
      <c r="B2273" t="str">
        <v>Gaming DEX</v>
      </c>
      <c r="C2273" t="str">
        <v>Dexs</v>
      </c>
      <c r="D2273" t="str">
        <v>-</v>
      </c>
      <c r="E2273">
        <v>609982.83562824107</v>
      </c>
      <c r="F2273">
        <v>0</v>
      </c>
    </row>
    <row r="2274" spans="2:6" ht="15.75" customHeight="1" x14ac:dyDescent="0.25">
      <c r="B2274" t="str">
        <v>Gamma</v>
      </c>
      <c r="C2274" t="str">
        <v>Liquidity manager</v>
      </c>
      <c r="D2274" t="str">
        <v>GAMMA</v>
      </c>
      <c r="E2274">
        <v>6987127.3968113866</v>
      </c>
      <c r="F2274">
        <v>198914.64982127387</v>
      </c>
    </row>
    <row r="2275" spans="2:6" ht="15.75" customHeight="1" x14ac:dyDescent="0.25">
      <c r="B2275" t="str">
        <v>GammaSwap Classic</v>
      </c>
      <c r="C2275" t="str">
        <v>Derivatives</v>
      </c>
      <c r="D2275" t="str">
        <v>GS</v>
      </c>
      <c r="E2275">
        <v>5459.6817055603542</v>
      </c>
      <c r="F2275">
        <v>0</v>
      </c>
    </row>
    <row r="2276" spans="2:6" ht="15.75" customHeight="1" x14ac:dyDescent="0.25">
      <c r="B2276" t="str">
        <v>GammaSwap Open Interest</v>
      </c>
      <c r="C2276" t="str">
        <v>Options</v>
      </c>
      <c r="D2276" t="str">
        <v>GS</v>
      </c>
      <c r="E2276">
        <v>3354892.0869435831</v>
      </c>
      <c r="F2276">
        <v>0</v>
      </c>
    </row>
    <row r="2277" spans="2:6" ht="15.75" customHeight="1" x14ac:dyDescent="0.25">
      <c r="B2277" t="str">
        <v>GammaSwap Yield Tokens</v>
      </c>
      <c r="C2277" t="str">
        <v>Yield</v>
      </c>
      <c r="D2277" t="str">
        <v>GS</v>
      </c>
      <c r="E2277">
        <v>596248.36565610545</v>
      </c>
      <c r="F2277">
        <v>0</v>
      </c>
    </row>
    <row r="2278" spans="2:6" ht="15.75" customHeight="1" x14ac:dyDescent="0.25">
      <c r="B2278" t="str">
        <v>Gamut Exchange</v>
      </c>
      <c r="C2278" t="str">
        <v>Dexs</v>
      </c>
      <c r="D2278" t="str">
        <v>-</v>
      </c>
      <c r="E2278">
        <v>233.0647297059391</v>
      </c>
      <c r="F2278">
        <v>0</v>
      </c>
    </row>
    <row r="2279" spans="2:6" ht="15.75" customHeight="1" x14ac:dyDescent="0.25">
      <c r="B2279" t="str">
        <v>Garbi Protocol</v>
      </c>
      <c r="C2279" t="str">
        <v>Yield</v>
      </c>
      <c r="D2279" t="str">
        <v>GRB</v>
      </c>
      <c r="E2279">
        <v>5421.7001747461809</v>
      </c>
      <c r="F2279">
        <v>0</v>
      </c>
    </row>
    <row r="2280" spans="2:6" ht="15.75" customHeight="1" x14ac:dyDescent="0.25">
      <c r="B2280" t="str">
        <v>Garble.Money</v>
      </c>
      <c r="C2280" t="str">
        <v>Privacy</v>
      </c>
      <c r="D2280" t="str">
        <v>-</v>
      </c>
      <c r="E2280">
        <v>1003.3442045965279</v>
      </c>
      <c r="F2280">
        <v>0</v>
      </c>
    </row>
    <row r="2281" spans="2:6" ht="15.75" customHeight="1" x14ac:dyDescent="0.25">
      <c r="B2281" t="str">
        <v>GARD</v>
      </c>
      <c r="C2281" t="str">
        <v>CDP</v>
      </c>
      <c r="D2281" t="str">
        <v>GARD</v>
      </c>
      <c r="E2281">
        <v>23724.90842364098</v>
      </c>
      <c r="F2281">
        <v>0</v>
      </c>
    </row>
    <row r="2282" spans="2:6" ht="15.75" customHeight="1" x14ac:dyDescent="0.25">
      <c r="B2282" t="str">
        <v>Garden</v>
      </c>
      <c r="C2282" t="str">
        <v>Cross Chain Bridge</v>
      </c>
      <c r="D2282" t="str">
        <v>SEED</v>
      </c>
      <c r="E2282">
        <v>0</v>
      </c>
      <c r="F2282">
        <v>0</v>
      </c>
    </row>
    <row r="2283" spans="2:6" ht="15.75" customHeight="1" x14ac:dyDescent="0.25">
      <c r="B2283" t="str">
        <v>Gardens</v>
      </c>
      <c r="C2283" t="str">
        <v>Governance Incentives</v>
      </c>
      <c r="D2283" t="str">
        <v>-</v>
      </c>
      <c r="E2283">
        <v>100639.62076811639</v>
      </c>
      <c r="F2283">
        <v>0</v>
      </c>
    </row>
    <row r="2284" spans="2:6" ht="15.75" customHeight="1" x14ac:dyDescent="0.25">
      <c r="B2284" t="str">
        <v>Gardens DAO</v>
      </c>
      <c r="C2284" t="str">
        <v>Governance Incentives</v>
      </c>
      <c r="D2284" t="str">
        <v>-</v>
      </c>
      <c r="E2284">
        <v>28354.081891401805</v>
      </c>
      <c r="F2284">
        <v>0</v>
      </c>
    </row>
    <row r="2285" spans="2:6" ht="15.75" customHeight="1" x14ac:dyDescent="0.25">
      <c r="B2285" t="str">
        <v>GarudaDefi</v>
      </c>
      <c r="C2285" t="str">
        <v>Dexs</v>
      </c>
      <c r="D2285" t="str">
        <v>-</v>
      </c>
      <c r="E2285">
        <v>264723.65489753895</v>
      </c>
      <c r="F2285">
        <v>0</v>
      </c>
    </row>
    <row r="2286" spans="2:6" ht="15.75" customHeight="1" x14ac:dyDescent="0.25">
      <c r="B2286" t="str">
        <v>Gas404Swap</v>
      </c>
      <c r="C2286" t="str">
        <v>Dexs</v>
      </c>
      <c r="D2286" t="str">
        <v>GAS</v>
      </c>
      <c r="E2286">
        <v>24680.988273202594</v>
      </c>
      <c r="F2286">
        <v>0</v>
      </c>
    </row>
    <row r="2287" spans="2:6" ht="15.75" customHeight="1" x14ac:dyDescent="0.25">
      <c r="B2287" t="str">
        <v>Gasline Protocol</v>
      </c>
      <c r="C2287" t="str">
        <v>Liquidity manager</v>
      </c>
      <c r="D2287" t="str">
        <v>-</v>
      </c>
      <c r="E2287">
        <v>3.381585435403947</v>
      </c>
      <c r="F2287">
        <v>0</v>
      </c>
    </row>
    <row r="2288" spans="2:6" ht="15.75" customHeight="1" x14ac:dyDescent="0.25">
      <c r="B2288" t="str">
        <v>Gasp</v>
      </c>
      <c r="C2288" t="str">
        <v>Cross Chain Bridge</v>
      </c>
      <c r="D2288" t="str">
        <v>GASP</v>
      </c>
      <c r="E2288">
        <v>35754.852643698832</v>
      </c>
      <c r="F2288">
        <v>0</v>
      </c>
    </row>
    <row r="2289" spans="2:6" ht="15.75" customHeight="1" x14ac:dyDescent="0.25">
      <c r="B2289" t="str">
        <v>GasPump</v>
      </c>
      <c r="C2289" t="str">
        <v>Launchpad</v>
      </c>
      <c r="D2289" t="str">
        <v>-</v>
      </c>
      <c r="E2289">
        <v>35493.115151519269</v>
      </c>
      <c r="F2289">
        <v>0</v>
      </c>
    </row>
    <row r="2290" spans="2:6" ht="15.75" customHeight="1" x14ac:dyDescent="0.25">
      <c r="B2290" t="str">
        <v>GASSSS</v>
      </c>
      <c r="C2290" t="str">
        <v>Dexs</v>
      </c>
      <c r="D2290" t="str">
        <v>-</v>
      </c>
      <c r="E2290">
        <v>28680.982482275511</v>
      </c>
      <c r="F2290">
        <v>0</v>
      </c>
    </row>
    <row r="2291" spans="2:6" ht="15.75" customHeight="1" x14ac:dyDescent="0.25">
      <c r="B2291" t="str">
        <v>GasSwap</v>
      </c>
      <c r="C2291" t="str">
        <v>Dexs</v>
      </c>
      <c r="D2291" t="str">
        <v>GAS</v>
      </c>
      <c r="E2291">
        <v>7121.6844753896712</v>
      </c>
      <c r="F2291">
        <v>0</v>
      </c>
    </row>
    <row r="2292" spans="2:6" ht="15.75" customHeight="1" x14ac:dyDescent="0.25">
      <c r="B2292" t="str">
        <v>Gast</v>
      </c>
      <c r="C2292" t="str">
        <v>Dexs</v>
      </c>
      <c r="D2292" t="str">
        <v>-</v>
      </c>
      <c r="E2292">
        <v>4637.567912500901</v>
      </c>
      <c r="F2292">
        <v>0</v>
      </c>
    </row>
    <row r="2293" spans="2:6" ht="15.75" customHeight="1" x14ac:dyDescent="0.25">
      <c r="B2293" t="str">
        <v>Gate Fun</v>
      </c>
      <c r="C2293" t="str">
        <v>Launchpad</v>
      </c>
      <c r="D2293" t="str">
        <v>-</v>
      </c>
      <c r="E2293">
        <v>52875.940936069659</v>
      </c>
      <c r="F2293">
        <v>0</v>
      </c>
    </row>
    <row r="2294" spans="2:6" ht="15.75" customHeight="1" x14ac:dyDescent="0.25">
      <c r="B2294" t="str">
        <v>Gate Perp DEX</v>
      </c>
      <c r="C2294" t="str">
        <v>Derivatives</v>
      </c>
      <c r="D2294" t="str">
        <v>-</v>
      </c>
      <c r="E2294">
        <v>0</v>
      </c>
      <c r="F2294">
        <v>0</v>
      </c>
    </row>
    <row r="2295" spans="2:6" ht="15.75" customHeight="1" x14ac:dyDescent="0.25">
      <c r="B2295" t="str">
        <v>Gate SOL</v>
      </c>
      <c r="C2295" t="str">
        <v>Liquid Staking</v>
      </c>
      <c r="D2295" t="str">
        <v>-</v>
      </c>
      <c r="E2295">
        <v>0</v>
      </c>
      <c r="F2295">
        <v>0</v>
      </c>
    </row>
    <row r="2296" spans="2:6" ht="15.75" customHeight="1" x14ac:dyDescent="0.25">
      <c r="B2296" t="str">
        <v>Gate Swap</v>
      </c>
      <c r="C2296" t="str">
        <v>Dexs</v>
      </c>
      <c r="D2296" t="str">
        <v>-</v>
      </c>
      <c r="E2296">
        <v>3228005.7841702248</v>
      </c>
      <c r="F2296">
        <v>0</v>
      </c>
    </row>
    <row r="2297" spans="2:6" ht="15.75" customHeight="1" x14ac:dyDescent="0.25">
      <c r="B2297" t="str">
        <v>Gauntlet</v>
      </c>
      <c r="C2297" t="str">
        <v>Risk Curators</v>
      </c>
      <c r="D2297" t="str">
        <v>-</v>
      </c>
      <c r="E2297">
        <v>1268198582.436202</v>
      </c>
      <c r="F2297">
        <v>0</v>
      </c>
    </row>
    <row r="2298" spans="2:6" ht="15.75" customHeight="1" x14ac:dyDescent="0.25">
      <c r="B2298" t="str">
        <v>Gaur Money</v>
      </c>
      <c r="C2298" t="str">
        <v>Algo-Stables</v>
      </c>
      <c r="D2298" t="str">
        <v>GAUR</v>
      </c>
      <c r="E2298">
        <v>0</v>
      </c>
      <c r="F2298">
        <v>6392.19358325744</v>
      </c>
    </row>
    <row r="2299" spans="2:6" ht="15.75" customHeight="1" x14ac:dyDescent="0.25">
      <c r="B2299" t="str">
        <v>Gearbox</v>
      </c>
      <c r="C2299" t="str">
        <v>Lending</v>
      </c>
      <c r="D2299" t="str">
        <v>GEAR</v>
      </c>
      <c r="E2299">
        <v>118465877.33926988</v>
      </c>
      <c r="F2299">
        <v>10183818.879048901</v>
      </c>
    </row>
    <row r="2300" spans="2:6" ht="15.75" customHeight="1" x14ac:dyDescent="0.25">
      <c r="B2300" t="str">
        <v>GeckoTerminal</v>
      </c>
      <c r="C2300" t="str">
        <v>Interface</v>
      </c>
      <c r="D2300" t="str">
        <v>-</v>
      </c>
      <c r="E2300">
        <v>0</v>
      </c>
      <c r="F2300">
        <v>0</v>
      </c>
    </row>
    <row r="2301" spans="2:6" ht="15.75" customHeight="1" x14ac:dyDescent="0.25">
      <c r="B2301" t="str">
        <v>Geist Finance</v>
      </c>
      <c r="C2301" t="str">
        <v>Lending</v>
      </c>
      <c r="D2301" t="str">
        <v>GEIST</v>
      </c>
      <c r="E2301">
        <v>116983.34286220089</v>
      </c>
      <c r="F2301">
        <v>2950049.2543095406</v>
      </c>
    </row>
    <row r="2302" spans="2:6" ht="15.75" customHeight="1" x14ac:dyDescent="0.25">
      <c r="B2302" t="str">
        <v>GemKeeper</v>
      </c>
      <c r="C2302" t="str">
        <v>Dexs</v>
      </c>
      <c r="D2302" t="str">
        <v>BLING</v>
      </c>
      <c r="E2302">
        <v>33461.068287040296</v>
      </c>
      <c r="F2302">
        <v>0</v>
      </c>
    </row>
    <row r="2303" spans="2:6" ht="15.75" customHeight="1" x14ac:dyDescent="0.25">
      <c r="B2303" t="str">
        <v>GemMine</v>
      </c>
      <c r="C2303" t="str">
        <v>Yield</v>
      </c>
      <c r="D2303" t="str">
        <v>GEMMINE</v>
      </c>
      <c r="E2303">
        <v>253.2410510606077</v>
      </c>
      <c r="F2303">
        <v>0</v>
      </c>
    </row>
    <row r="2304" spans="2:6" ht="15.75" customHeight="1" x14ac:dyDescent="0.25">
      <c r="B2304" t="str">
        <v>GemSwap</v>
      </c>
      <c r="C2304" t="str">
        <v>Dexs</v>
      </c>
      <c r="D2304" t="str">
        <v>ZGEM</v>
      </c>
      <c r="E2304">
        <v>158916.32368540092</v>
      </c>
      <c r="F2304">
        <v>0</v>
      </c>
    </row>
    <row r="2305" spans="2:6" ht="15.75" customHeight="1" x14ac:dyDescent="0.25">
      <c r="B2305" t="str">
        <v>GemSwap by Golden Swan Solutions</v>
      </c>
      <c r="C2305" t="str">
        <v>RWA</v>
      </c>
      <c r="D2305" t="str">
        <v>-</v>
      </c>
      <c r="E2305">
        <v>2642427.2013443378</v>
      </c>
      <c r="F2305">
        <v>0</v>
      </c>
    </row>
    <row r="2306" spans="2:6" ht="15.75" customHeight="1" x14ac:dyDescent="0.25">
      <c r="B2306" t="str">
        <v>Genesis DAO</v>
      </c>
      <c r="C2306" t="str">
        <v>Farm</v>
      </c>
      <c r="D2306" t="str">
        <v>GEN</v>
      </c>
      <c r="E2306">
        <v>0</v>
      </c>
      <c r="F2306">
        <v>0</v>
      </c>
    </row>
    <row r="2307" spans="2:6" ht="15.75" customHeight="1" x14ac:dyDescent="0.25">
      <c r="B2307" t="str">
        <v>Genesis Finance</v>
      </c>
      <c r="C2307" t="str">
        <v>Dexs</v>
      </c>
      <c r="D2307" t="str">
        <v>GENESIS</v>
      </c>
      <c r="E2307">
        <v>1338.9262423606515</v>
      </c>
      <c r="F2307">
        <v>0</v>
      </c>
    </row>
    <row r="2308" spans="2:6" ht="15.75" customHeight="1" x14ac:dyDescent="0.25">
      <c r="B2308" t="str">
        <v>GenesisLRT (Native Restaking)</v>
      </c>
      <c r="C2308" t="str">
        <v>Liquid Restaking</v>
      </c>
      <c r="D2308" t="str">
        <v>-</v>
      </c>
      <c r="E2308">
        <v>58841.686161844656</v>
      </c>
      <c r="F2308">
        <v>0</v>
      </c>
    </row>
    <row r="2309" spans="2:6" ht="15.75" customHeight="1" x14ac:dyDescent="0.25">
      <c r="B2309" t="str">
        <v>Genesys</v>
      </c>
      <c r="C2309" t="str">
        <v>Yield</v>
      </c>
      <c r="D2309" t="str">
        <v>DNA</v>
      </c>
      <c r="E2309">
        <v>38.926463946108065</v>
      </c>
      <c r="F2309">
        <v>0</v>
      </c>
    </row>
    <row r="2310" spans="2:6" ht="15.75" customHeight="1" x14ac:dyDescent="0.25">
      <c r="B2310" t="str">
        <v>Genius</v>
      </c>
      <c r="C2310" t="str">
        <v>Yield</v>
      </c>
      <c r="D2310" t="str">
        <v>GENI</v>
      </c>
      <c r="E2310">
        <v>27.991354797374076</v>
      </c>
      <c r="F2310">
        <v>194195.99877805839</v>
      </c>
    </row>
    <row r="2311" spans="2:6" ht="15.75" customHeight="1" x14ac:dyDescent="0.25">
      <c r="B2311" t="str">
        <v>Genius Yield</v>
      </c>
      <c r="C2311" t="str">
        <v>Dexs</v>
      </c>
      <c r="D2311" t="str">
        <v>GENS</v>
      </c>
      <c r="E2311">
        <v>8304.0179837159103</v>
      </c>
      <c r="F2311">
        <v>0</v>
      </c>
    </row>
    <row r="2312" spans="2:6" ht="15.75" customHeight="1" x14ac:dyDescent="0.25">
      <c r="B2312" t="str">
        <v>Genshiro</v>
      </c>
      <c r="C2312" t="str">
        <v>Lending</v>
      </c>
      <c r="D2312" t="str">
        <v>GENS</v>
      </c>
      <c r="E2312">
        <v>0</v>
      </c>
      <c r="F2312">
        <v>0</v>
      </c>
    </row>
    <row r="2313" spans="2:6" ht="15.75" customHeight="1" x14ac:dyDescent="0.25">
      <c r="B2313" t="str">
        <v>Gensokishi</v>
      </c>
      <c r="C2313" t="str">
        <v>Gaming</v>
      </c>
      <c r="D2313" t="str">
        <v>MV</v>
      </c>
      <c r="E2313">
        <v>0</v>
      </c>
      <c r="F2313">
        <v>1838754.8630371725</v>
      </c>
    </row>
    <row r="2314" spans="2:6" ht="15.75" customHeight="1" x14ac:dyDescent="0.25">
      <c r="B2314" t="str">
        <v>Geode</v>
      </c>
      <c r="C2314" t="str">
        <v>Liquid Staking</v>
      </c>
      <c r="D2314" t="str">
        <v>-</v>
      </c>
      <c r="E2314">
        <v>730075.95136000135</v>
      </c>
      <c r="F2314">
        <v>0</v>
      </c>
    </row>
    <row r="2315" spans="2:6" ht="15.75" customHeight="1" x14ac:dyDescent="0.25">
      <c r="B2315" t="str">
        <v>Geodnet</v>
      </c>
      <c r="C2315" t="str">
        <v>Oracle</v>
      </c>
      <c r="D2315" t="str">
        <v>GEOD</v>
      </c>
      <c r="E2315">
        <v>0</v>
      </c>
      <c r="F2315">
        <v>68685812.115962788</v>
      </c>
    </row>
    <row r="2316" spans="2:6" ht="15.75" customHeight="1" x14ac:dyDescent="0.25">
      <c r="B2316" t="str">
        <v>GET Protocol</v>
      </c>
      <c r="C2316" t="str">
        <v>Services</v>
      </c>
      <c r="D2316" t="str">
        <v>GET</v>
      </c>
      <c r="E2316">
        <v>0</v>
      </c>
      <c r="F2316">
        <v>233264.41983169102</v>
      </c>
    </row>
    <row r="2317" spans="2:6" ht="15.75" customHeight="1" x14ac:dyDescent="0.25">
      <c r="B2317" t="str">
        <v>GETH</v>
      </c>
      <c r="C2317" t="str">
        <v>Liquid Staking</v>
      </c>
      <c r="D2317" t="str">
        <v>GETH</v>
      </c>
      <c r="E2317">
        <v>23874561.477437012</v>
      </c>
      <c r="F2317">
        <v>0</v>
      </c>
    </row>
    <row r="2318" spans="2:6" ht="15.75" customHeight="1" x14ac:dyDescent="0.25">
      <c r="B2318" t="str">
        <v>getHemiNames</v>
      </c>
      <c r="C2318" t="str">
        <v>Domains</v>
      </c>
      <c r="D2318" t="str">
        <v>-</v>
      </c>
      <c r="E2318">
        <v>0</v>
      </c>
      <c r="F2318">
        <v>0</v>
      </c>
    </row>
    <row r="2319" spans="2:6" ht="15.75" customHeight="1" x14ac:dyDescent="0.25">
      <c r="B2319" t="str">
        <v>Geyser</v>
      </c>
      <c r="C2319" t="str">
        <v>Yield</v>
      </c>
      <c r="D2319" t="str">
        <v>GYSR</v>
      </c>
      <c r="E2319">
        <v>129498.35057366715</v>
      </c>
      <c r="F2319">
        <v>51206.926686570987</v>
      </c>
    </row>
    <row r="2320" spans="2:6" ht="15.75" customHeight="1" x14ac:dyDescent="0.25">
      <c r="B2320" t="str">
        <v>Ghast Protocol</v>
      </c>
      <c r="C2320" t="str">
        <v>Yield Aggregator</v>
      </c>
      <c r="D2320" t="str">
        <v>GHA</v>
      </c>
      <c r="E2320">
        <v>6873.0732712877716</v>
      </c>
      <c r="F2320">
        <v>0</v>
      </c>
    </row>
    <row r="2321" spans="2:6" ht="15.75" customHeight="1" x14ac:dyDescent="0.25">
      <c r="B2321" t="str">
        <v>Ghost</v>
      </c>
      <c r="C2321" t="str">
        <v>Lending</v>
      </c>
      <c r="D2321" t="str">
        <v>-</v>
      </c>
      <c r="E2321">
        <v>590342.79344831174</v>
      </c>
      <c r="F2321">
        <v>0</v>
      </c>
    </row>
    <row r="2322" spans="2:6" ht="15.75" customHeight="1" x14ac:dyDescent="0.25">
      <c r="B2322" t="str">
        <v>GhostEx</v>
      </c>
      <c r="C2322" t="str">
        <v>Dexs</v>
      </c>
      <c r="D2322" t="str">
        <v>-</v>
      </c>
      <c r="E2322">
        <v>8716.967509925491</v>
      </c>
      <c r="F2322">
        <v>0</v>
      </c>
    </row>
    <row r="2323" spans="2:6" ht="15.75" customHeight="1" x14ac:dyDescent="0.25">
      <c r="B2323" t="str">
        <v>GhostMarket</v>
      </c>
      <c r="C2323" t="str">
        <v>NFT Marketplace</v>
      </c>
      <c r="D2323" t="str">
        <v>GM</v>
      </c>
      <c r="E2323">
        <v>0</v>
      </c>
      <c r="F2323">
        <v>0</v>
      </c>
    </row>
    <row r="2324" spans="2:6" ht="15.75" customHeight="1" x14ac:dyDescent="0.25">
      <c r="B2324" t="str">
        <v>GIBXSwap</v>
      </c>
      <c r="C2324" t="str">
        <v>Dexs</v>
      </c>
      <c r="D2324" t="str">
        <v>X</v>
      </c>
      <c r="E2324">
        <v>768776.93240807729</v>
      </c>
      <c r="F2324">
        <v>0</v>
      </c>
    </row>
    <row r="2325" spans="2:6" ht="15.75" customHeight="1" x14ac:dyDescent="0.25">
      <c r="B2325" t="str">
        <v>Gimo</v>
      </c>
      <c r="C2325" t="str">
        <v>Liquid Staking</v>
      </c>
      <c r="D2325" t="str">
        <v>-</v>
      </c>
      <c r="E2325">
        <v>0</v>
      </c>
      <c r="F2325">
        <v>0</v>
      </c>
    </row>
    <row r="2326" spans="2:6" ht="15.75" customHeight="1" x14ac:dyDescent="0.25">
      <c r="B2326" t="str">
        <v>Gin Finance</v>
      </c>
      <c r="C2326" t="str">
        <v>Dexs</v>
      </c>
      <c r="D2326" t="str">
        <v>GIN</v>
      </c>
      <c r="E2326">
        <v>8968.4328626273127</v>
      </c>
      <c r="F2326">
        <v>0</v>
      </c>
    </row>
    <row r="2327" spans="2:6" ht="15.75" customHeight="1" x14ac:dyDescent="0.25">
      <c r="B2327" t="str">
        <v>Ginseng Swap</v>
      </c>
      <c r="C2327" t="str">
        <v>Dexs</v>
      </c>
      <c r="D2327" t="str">
        <v>-</v>
      </c>
      <c r="E2327">
        <v>104.25783286126382</v>
      </c>
      <c r="F2327">
        <v>0</v>
      </c>
    </row>
    <row r="2328" spans="2:6" ht="15.75" customHeight="1" x14ac:dyDescent="0.25">
      <c r="B2328" t="str">
        <v>Gitcoin</v>
      </c>
      <c r="C2328" t="str">
        <v>Charity Fundraising</v>
      </c>
      <c r="D2328" t="str">
        <v>GTC</v>
      </c>
      <c r="E2328">
        <v>0</v>
      </c>
      <c r="F2328">
        <v>13838805.324577108</v>
      </c>
    </row>
    <row r="2329" spans="2:6" ht="15.75" customHeight="1" x14ac:dyDescent="0.25">
      <c r="B2329" t="str">
        <v>Giveth</v>
      </c>
      <c r="C2329" t="str">
        <v>Charity Fundraising</v>
      </c>
      <c r="D2329" t="str">
        <v>GIV</v>
      </c>
      <c r="E2329">
        <v>0</v>
      </c>
      <c r="F2329">
        <v>428754.85911729862</v>
      </c>
    </row>
    <row r="2330" spans="2:6" ht="15.75" customHeight="1" x14ac:dyDescent="0.25">
      <c r="B2330" t="str">
        <v>Giza</v>
      </c>
      <c r="C2330" t="str">
        <v>AI Agents</v>
      </c>
      <c r="D2330" t="str">
        <v>-</v>
      </c>
      <c r="E2330">
        <v>43582029.600734331</v>
      </c>
      <c r="F2330">
        <v>0</v>
      </c>
    </row>
    <row r="2331" spans="2:6" ht="15.75" customHeight="1" x14ac:dyDescent="0.25">
      <c r="B2331" t="str">
        <v>Giza DAO</v>
      </c>
      <c r="C2331" t="str">
        <v>Reserve Currency</v>
      </c>
      <c r="D2331" t="str">
        <v>GIZA</v>
      </c>
      <c r="E2331">
        <v>0</v>
      </c>
      <c r="F2331">
        <v>0</v>
      </c>
    </row>
    <row r="2332" spans="2:6" ht="15.75" customHeight="1" x14ac:dyDescent="0.25">
      <c r="B2332" t="str">
        <v>Glacier Exchange V2</v>
      </c>
      <c r="C2332" t="str">
        <v>Dexs</v>
      </c>
      <c r="D2332" t="str">
        <v>GLCR</v>
      </c>
      <c r="E2332">
        <v>11592.14874427603</v>
      </c>
      <c r="F2332">
        <v>0</v>
      </c>
    </row>
    <row r="2333" spans="2:6" ht="15.75" customHeight="1" x14ac:dyDescent="0.25">
      <c r="B2333" t="str">
        <v>Glacier Exchange V3</v>
      </c>
      <c r="C2333" t="str">
        <v>Dexs</v>
      </c>
      <c r="D2333" t="str">
        <v>GLCR</v>
      </c>
      <c r="E2333">
        <v>2304.8814773467475</v>
      </c>
      <c r="F2333">
        <v>0</v>
      </c>
    </row>
    <row r="2334" spans="2:6" ht="15.75" customHeight="1" x14ac:dyDescent="0.25">
      <c r="B2334" t="str">
        <v>Glide Finance</v>
      </c>
      <c r="C2334" t="str">
        <v>Dexs</v>
      </c>
      <c r="D2334" t="str">
        <v>GLIDE</v>
      </c>
      <c r="E2334">
        <v>521562.06809931446</v>
      </c>
      <c r="F2334">
        <v>0</v>
      </c>
    </row>
    <row r="2335" spans="2:6" ht="15.75" customHeight="1" x14ac:dyDescent="0.25">
      <c r="B2335" t="str">
        <v>GLIF</v>
      </c>
      <c r="C2335" t="str">
        <v>Liquid Staking</v>
      </c>
      <c r="D2335" t="str">
        <v>GLF</v>
      </c>
      <c r="E2335">
        <v>47614265.718967304</v>
      </c>
      <c r="F2335">
        <v>0</v>
      </c>
    </row>
    <row r="2336" spans="2:6" ht="15.75" customHeight="1" x14ac:dyDescent="0.25">
      <c r="B2336" t="str">
        <v>Gliquid</v>
      </c>
      <c r="C2336" t="str">
        <v>Dexs</v>
      </c>
      <c r="D2336" t="str">
        <v>-</v>
      </c>
      <c r="E2336">
        <v>51037.310052754219</v>
      </c>
      <c r="F2336">
        <v>0</v>
      </c>
    </row>
    <row r="2337" spans="2:6" ht="15.75" customHeight="1" x14ac:dyDescent="0.25">
      <c r="B2337" t="str">
        <v>Glitter Finance</v>
      </c>
      <c r="C2337" t="str">
        <v>Bridge</v>
      </c>
      <c r="D2337" t="str">
        <v>XGLI</v>
      </c>
      <c r="E2337">
        <v>27.445886626421309</v>
      </c>
      <c r="F2337">
        <v>0</v>
      </c>
    </row>
    <row r="2338" spans="2:6" ht="15.75" customHeight="1" x14ac:dyDescent="0.25">
      <c r="B2338" t="str">
        <v>Globiance</v>
      </c>
      <c r="C2338" t="str">
        <v>Dexs</v>
      </c>
      <c r="D2338" t="str">
        <v>GBEX</v>
      </c>
      <c r="E2338">
        <v>8695.5260438884579</v>
      </c>
      <c r="F2338">
        <v>265115.19432577264</v>
      </c>
    </row>
    <row r="2339" spans="2:6" ht="15.75" customHeight="1" x14ac:dyDescent="0.25">
      <c r="B2339" t="str">
        <v>Gloom Finance</v>
      </c>
      <c r="C2339" t="str">
        <v>Dexs</v>
      </c>
      <c r="D2339" t="str">
        <v>GLOOM</v>
      </c>
      <c r="E2339">
        <v>45.736714023006655</v>
      </c>
      <c r="F2339">
        <v>0</v>
      </c>
    </row>
    <row r="2340" spans="2:6" ht="15.75" customHeight="1" x14ac:dyDescent="0.25">
      <c r="B2340" t="str">
        <v>Gloop</v>
      </c>
      <c r="C2340" t="str">
        <v>Lending</v>
      </c>
      <c r="D2340" t="str">
        <v>GLOOP</v>
      </c>
      <c r="E2340">
        <v>37929.931929477119</v>
      </c>
      <c r="F2340">
        <v>0</v>
      </c>
    </row>
    <row r="2341" spans="2:6" ht="15.75" customHeight="1" x14ac:dyDescent="0.25">
      <c r="B2341" t="str">
        <v>Glori Finance</v>
      </c>
      <c r="C2341" t="str">
        <v>Lending</v>
      </c>
      <c r="D2341" t="str">
        <v>GLORI</v>
      </c>
      <c r="E2341">
        <v>42.079673972069685</v>
      </c>
      <c r="F2341">
        <v>0</v>
      </c>
    </row>
    <row r="2342" spans="2:6" ht="15.75" customHeight="1" x14ac:dyDescent="0.25">
      <c r="B2342" t="str">
        <v>GlowSwap</v>
      </c>
      <c r="C2342" t="str">
        <v>Dexs</v>
      </c>
      <c r="D2342" t="str">
        <v>-</v>
      </c>
      <c r="E2342">
        <v>3041579.6124216812</v>
      </c>
      <c r="F2342">
        <v>0</v>
      </c>
    </row>
    <row r="2343" spans="2:6" ht="15.75" customHeight="1" x14ac:dyDescent="0.25">
      <c r="B2343" t="str">
        <v>GlueX</v>
      </c>
      <c r="C2343" t="str">
        <v>DEX Aggregator</v>
      </c>
      <c r="D2343" t="str">
        <v>-</v>
      </c>
      <c r="E2343">
        <v>0</v>
      </c>
      <c r="F2343">
        <v>0</v>
      </c>
    </row>
    <row r="2344" spans="2:6" ht="15.75" customHeight="1" x14ac:dyDescent="0.25">
      <c r="B2344" t="str">
        <v>Gluon Gold</v>
      </c>
      <c r="C2344" t="str">
        <v>Algo-Stables</v>
      </c>
      <c r="D2344" t="str">
        <v>-</v>
      </c>
      <c r="E2344">
        <v>6150.6420204337537</v>
      </c>
      <c r="F2344">
        <v>0</v>
      </c>
    </row>
    <row r="2345" spans="2:6" ht="15.75" customHeight="1" x14ac:dyDescent="0.25">
      <c r="B2345" t="str">
        <v>Glyph</v>
      </c>
      <c r="C2345" t="str">
        <v>Lending</v>
      </c>
      <c r="D2345" t="str">
        <v>-</v>
      </c>
      <c r="E2345">
        <v>1142.8586565731396</v>
      </c>
      <c r="F2345">
        <v>0</v>
      </c>
    </row>
    <row r="2346" spans="2:6" ht="15.75" customHeight="1" x14ac:dyDescent="0.25">
      <c r="B2346" t="str">
        <v>Glyph V2</v>
      </c>
      <c r="C2346" t="str">
        <v>Dexs</v>
      </c>
      <c r="D2346" t="str">
        <v>-</v>
      </c>
      <c r="E2346">
        <v>11378.988888828024</v>
      </c>
      <c r="F2346">
        <v>0</v>
      </c>
    </row>
    <row r="2347" spans="2:6" ht="15.75" customHeight="1" x14ac:dyDescent="0.25">
      <c r="B2347" t="str">
        <v>GmCash</v>
      </c>
      <c r="C2347" t="str">
        <v>Algo-Stables</v>
      </c>
      <c r="D2347" t="str">
        <v>GMC</v>
      </c>
      <c r="E2347">
        <v>60.304420317917206</v>
      </c>
      <c r="F2347">
        <v>0</v>
      </c>
    </row>
    <row r="2348" spans="2:6" ht="15.75" customHeight="1" x14ac:dyDescent="0.25">
      <c r="B2348" t="str">
        <v>GMD Protocol</v>
      </c>
      <c r="C2348" t="str">
        <v>Yield Aggregator</v>
      </c>
      <c r="D2348" t="str">
        <v>GMD</v>
      </c>
      <c r="E2348">
        <v>996241.59325807437</v>
      </c>
      <c r="F2348">
        <v>0</v>
      </c>
    </row>
    <row r="2349" spans="2:6" ht="15.75" customHeight="1" x14ac:dyDescent="0.25">
      <c r="B2349" t="str">
        <v>GMGN</v>
      </c>
      <c r="C2349" t="str">
        <v>Telegram Bot</v>
      </c>
      <c r="D2349" t="str">
        <v>-</v>
      </c>
      <c r="E2349">
        <v>0</v>
      </c>
      <c r="F2349">
        <v>0</v>
      </c>
    </row>
    <row r="2350" spans="2:6" ht="15.75" customHeight="1" x14ac:dyDescent="0.25">
      <c r="B2350" t="str">
        <v>GMS Vaults</v>
      </c>
      <c r="C2350" t="str">
        <v>Yield Aggregator</v>
      </c>
      <c r="D2350" t="str">
        <v>-</v>
      </c>
      <c r="E2350">
        <v>0</v>
      </c>
      <c r="F2350">
        <v>0</v>
      </c>
    </row>
    <row r="2351" spans="2:6" ht="15.75" customHeight="1" x14ac:dyDescent="0.25">
      <c r="B2351" t="str">
        <v>GMX V1 AMM</v>
      </c>
      <c r="C2351" t="str">
        <v>Dexs</v>
      </c>
      <c r="D2351" t="str">
        <v>GMX</v>
      </c>
      <c r="E2351">
        <v>0</v>
      </c>
      <c r="F2351">
        <v>0</v>
      </c>
    </row>
    <row r="2352" spans="2:6" ht="15.75" customHeight="1" x14ac:dyDescent="0.25">
      <c r="B2352" t="str">
        <v>GMX V1 Perps</v>
      </c>
      <c r="C2352" t="str">
        <v>Derivatives</v>
      </c>
      <c r="D2352" t="str">
        <v>GMX</v>
      </c>
      <c r="E2352">
        <v>4967215.7345729573</v>
      </c>
      <c r="F2352">
        <v>0</v>
      </c>
    </row>
    <row r="2353" spans="2:6" ht="15.75" customHeight="1" x14ac:dyDescent="0.25">
      <c r="B2353" t="str">
        <v>GMX V2 AMM</v>
      </c>
      <c r="C2353" t="str">
        <v>Dexs</v>
      </c>
      <c r="D2353" t="str">
        <v>GMX</v>
      </c>
      <c r="E2353">
        <v>0</v>
      </c>
      <c r="F2353">
        <v>0</v>
      </c>
    </row>
    <row r="2354" spans="2:6" ht="15.75" customHeight="1" x14ac:dyDescent="0.25">
      <c r="B2354" t="str">
        <v>GMX V2 Perps</v>
      </c>
      <c r="C2354" t="str">
        <v>Derivatives</v>
      </c>
      <c r="D2354" t="str">
        <v>GMX</v>
      </c>
      <c r="E2354">
        <v>403627767.01606816</v>
      </c>
      <c r="F2354">
        <v>0</v>
      </c>
    </row>
    <row r="2355" spans="2:6" ht="15.75" customHeight="1" x14ac:dyDescent="0.25">
      <c r="B2355" t="str">
        <v>GND Protocol</v>
      </c>
      <c r="C2355" t="str">
        <v>Yield</v>
      </c>
      <c r="D2355" t="str">
        <v>GND</v>
      </c>
      <c r="E2355">
        <v>7085.1179589693174</v>
      </c>
      <c r="F2355">
        <v>0</v>
      </c>
    </row>
    <row r="2356" spans="2:6" ht="15.75" customHeight="1" x14ac:dyDescent="0.25">
      <c r="B2356" t="str">
        <v>Gnosis Protocol v1</v>
      </c>
      <c r="C2356" t="str">
        <v>Prediction Market</v>
      </c>
      <c r="D2356" t="str">
        <v>-</v>
      </c>
      <c r="E2356">
        <v>3033568.2530203699</v>
      </c>
      <c r="F2356">
        <v>0</v>
      </c>
    </row>
    <row r="2357" spans="2:6" ht="15.75" customHeight="1" x14ac:dyDescent="0.25">
      <c r="B2357" t="str">
        <v>Go Ethereum</v>
      </c>
      <c r="C2357" t="str">
        <v>Developer Tools</v>
      </c>
      <c r="D2357" t="str">
        <v>-</v>
      </c>
      <c r="E2357">
        <v>0</v>
      </c>
      <c r="F2357">
        <v>0</v>
      </c>
    </row>
    <row r="2358" spans="2:6" ht="15.75" customHeight="1" x14ac:dyDescent="0.25">
      <c r="B2358" t="str">
        <v>Goat Protocol</v>
      </c>
      <c r="C2358" t="str">
        <v>Yield Aggregator</v>
      </c>
      <c r="D2358" t="str">
        <v>GOA</v>
      </c>
      <c r="E2358">
        <v>1599008.8824921355</v>
      </c>
      <c r="F2358">
        <v>195776.23704769035</v>
      </c>
    </row>
    <row r="2359" spans="2:6" ht="15.75" customHeight="1" x14ac:dyDescent="0.25">
      <c r="B2359" t="str">
        <v>Goat Swap</v>
      </c>
      <c r="C2359" t="str">
        <v>Dexs</v>
      </c>
      <c r="D2359" t="str">
        <v>-</v>
      </c>
      <c r="E2359">
        <v>1495.4792799607255</v>
      </c>
      <c r="F2359">
        <v>0</v>
      </c>
    </row>
    <row r="2360" spans="2:6" ht="15.75" customHeight="1" x14ac:dyDescent="0.25">
      <c r="B2360" t="str">
        <v>GoatSwap V2</v>
      </c>
      <c r="C2360" t="str">
        <v>Dexs</v>
      </c>
      <c r="D2360" t="str">
        <v>-</v>
      </c>
      <c r="E2360">
        <v>46943.095096737874</v>
      </c>
      <c r="F2360">
        <v>0</v>
      </c>
    </row>
    <row r="2361" spans="2:6" ht="15.75" customHeight="1" x14ac:dyDescent="0.25">
      <c r="B2361" t="str">
        <v>GoatSwap V3</v>
      </c>
      <c r="C2361" t="str">
        <v>Dexs</v>
      </c>
      <c r="D2361" t="str">
        <v>-</v>
      </c>
      <c r="E2361">
        <v>185758.45496115278</v>
      </c>
      <c r="F2361">
        <v>0</v>
      </c>
    </row>
    <row r="2362" spans="2:6" ht="15.75" customHeight="1" x14ac:dyDescent="0.25">
      <c r="B2362" t="str">
        <v>GOATUP</v>
      </c>
      <c r="C2362" t="str">
        <v>Derivatives</v>
      </c>
      <c r="D2362" t="str">
        <v>-</v>
      </c>
      <c r="E2362">
        <v>80472.340195592522</v>
      </c>
      <c r="F2362">
        <v>0</v>
      </c>
    </row>
    <row r="2363" spans="2:6" ht="15.75" customHeight="1" x14ac:dyDescent="0.25">
      <c r="B2363" t="str">
        <v>GoatxTech</v>
      </c>
      <c r="C2363" t="str">
        <v>Services</v>
      </c>
      <c r="D2363" t="str">
        <v>-</v>
      </c>
      <c r="E2363">
        <v>11721.952593163169</v>
      </c>
      <c r="F2363">
        <v>0</v>
      </c>
    </row>
    <row r="2364" spans="2:6" ht="15.75" customHeight="1" x14ac:dyDescent="0.25">
      <c r="B2364" t="str">
        <v>Goblin</v>
      </c>
      <c r="C2364" t="str">
        <v>Yield Aggregator</v>
      </c>
      <c r="D2364" t="str">
        <v>-</v>
      </c>
      <c r="E2364">
        <v>13848737.574718783</v>
      </c>
      <c r="F2364">
        <v>0</v>
      </c>
    </row>
    <row r="2365" spans="2:6" ht="15.75" customHeight="1" x14ac:dyDescent="0.25">
      <c r="B2365" t="str">
        <v>Goblin FTM</v>
      </c>
      <c r="C2365" t="str">
        <v>Yield</v>
      </c>
      <c r="D2365" t="str">
        <v>GBN</v>
      </c>
      <c r="E2365">
        <v>0</v>
      </c>
      <c r="F2365">
        <v>0</v>
      </c>
    </row>
    <row r="2366" spans="2:6" ht="15.75" customHeight="1" x14ac:dyDescent="0.25">
      <c r="B2366" t="str">
        <v>GoblinGold</v>
      </c>
      <c r="C2366" t="str">
        <v>Yield</v>
      </c>
      <c r="D2366" t="str">
        <v>-</v>
      </c>
      <c r="E2366">
        <v>31532.478078775726</v>
      </c>
      <c r="F2366">
        <v>0</v>
      </c>
    </row>
    <row r="2367" spans="2:6" ht="15.75" customHeight="1" x14ac:dyDescent="0.25">
      <c r="B2367" t="str">
        <v>Goblins AMM</v>
      </c>
      <c r="C2367" t="str">
        <v>Dexs</v>
      </c>
      <c r="D2367" t="str">
        <v>-</v>
      </c>
      <c r="E2367">
        <v>16476.042051625096</v>
      </c>
      <c r="F2367">
        <v>0</v>
      </c>
    </row>
    <row r="2368" spans="2:6" ht="15.75" customHeight="1" x14ac:dyDescent="0.25">
      <c r="B2368" t="str">
        <v>Goblins Cash Reserve</v>
      </c>
      <c r="C2368" t="str">
        <v>Reserve Currency</v>
      </c>
      <c r="D2368" t="str">
        <v>GOB</v>
      </c>
      <c r="E2368">
        <v>0</v>
      </c>
      <c r="F2368">
        <v>0</v>
      </c>
    </row>
    <row r="2369" spans="2:6" ht="15.75" customHeight="1" x14ac:dyDescent="0.25">
      <c r="B2369" t="str">
        <v>GODL protocol</v>
      </c>
      <c r="C2369" t="str">
        <v>Gamified Mining</v>
      </c>
      <c r="D2369" t="str">
        <v>GODL</v>
      </c>
      <c r="E2369">
        <v>0</v>
      </c>
      <c r="F2369">
        <v>0</v>
      </c>
    </row>
    <row r="2370" spans="2:6" ht="15.75" customHeight="1" x14ac:dyDescent="0.25">
      <c r="B2370" t="str">
        <v>GOGOcoin</v>
      </c>
      <c r="C2370" t="str">
        <v>Yield</v>
      </c>
      <c r="D2370" t="str">
        <v>GOGO</v>
      </c>
      <c r="E2370">
        <v>0</v>
      </c>
      <c r="F2370">
        <v>12710.047659178621</v>
      </c>
    </row>
    <row r="2371" spans="2:6" ht="15.75" customHeight="1" x14ac:dyDescent="0.25">
      <c r="B2371" t="str">
        <v>Goku Money</v>
      </c>
      <c r="C2371" t="str">
        <v>CDP</v>
      </c>
      <c r="D2371" t="str">
        <v>GOK</v>
      </c>
      <c r="E2371">
        <v>17364.681924147346</v>
      </c>
      <c r="F2371">
        <v>0</v>
      </c>
    </row>
    <row r="2372" spans="2:6" ht="15.75" customHeight="1" x14ac:dyDescent="0.25">
      <c r="B2372" t="str">
        <v>Gold DAO</v>
      </c>
      <c r="C2372" t="str">
        <v>RWA</v>
      </c>
      <c r="D2372" t="str">
        <v>GLDGov</v>
      </c>
      <c r="E2372">
        <v>1368696.6571300877</v>
      </c>
      <c r="F2372">
        <v>8793188.2758692261</v>
      </c>
    </row>
    <row r="2373" spans="2:6" ht="15.75" customHeight="1" x14ac:dyDescent="0.25">
      <c r="B2373" t="str">
        <v>Goldbank Finance</v>
      </c>
      <c r="C2373" t="str">
        <v>Lending</v>
      </c>
      <c r="D2373" t="str">
        <v>GB</v>
      </c>
      <c r="E2373">
        <v>0</v>
      </c>
      <c r="F2373">
        <v>0</v>
      </c>
    </row>
    <row r="2374" spans="2:6" ht="15.75" customHeight="1" x14ac:dyDescent="0.25">
      <c r="B2374" t="str">
        <v>Golden Finance</v>
      </c>
      <c r="C2374" t="str">
        <v>Derivatives</v>
      </c>
      <c r="D2374" t="str">
        <v>-</v>
      </c>
      <c r="E2374">
        <v>13574.431926911951</v>
      </c>
      <c r="F2374">
        <v>0</v>
      </c>
    </row>
    <row r="2375" spans="2:6" ht="15.75" customHeight="1" x14ac:dyDescent="0.25">
      <c r="B2375" t="str">
        <v>Golden Otter Hub</v>
      </c>
      <c r="C2375" t="str">
        <v>Farm</v>
      </c>
      <c r="D2375" t="str">
        <v>GOTR</v>
      </c>
      <c r="E2375">
        <v>0</v>
      </c>
      <c r="F2375">
        <v>0</v>
      </c>
    </row>
    <row r="2376" spans="2:6" ht="15.75" customHeight="1" x14ac:dyDescent="0.25">
      <c r="B2376" t="str">
        <v>Goldfinch</v>
      </c>
      <c r="C2376" t="str">
        <v>RWA Lending</v>
      </c>
      <c r="D2376" t="str">
        <v>GFI</v>
      </c>
      <c r="E2376">
        <v>1844664.1893410124</v>
      </c>
      <c r="F2376">
        <v>21164971.020320054</v>
      </c>
    </row>
    <row r="2377" spans="2:6" ht="15.75" customHeight="1" x14ac:dyDescent="0.25">
      <c r="B2377" t="str">
        <v>GoldFinger</v>
      </c>
      <c r="C2377" t="str">
        <v>RWA</v>
      </c>
      <c r="D2377" t="str">
        <v>ART</v>
      </c>
      <c r="E2377">
        <v>22586087.826655466</v>
      </c>
      <c r="F2377">
        <v>0</v>
      </c>
    </row>
    <row r="2378" spans="2:6" ht="15.75" customHeight="1" x14ac:dyDescent="0.25">
      <c r="B2378" t="str">
        <v>Goldilocks</v>
      </c>
      <c r="C2378" t="str">
        <v>Yield</v>
      </c>
      <c r="D2378" t="str">
        <v>-</v>
      </c>
      <c r="E2378">
        <v>614982.14709545008</v>
      </c>
      <c r="F2378">
        <v>0</v>
      </c>
    </row>
    <row r="2379" spans="2:6" ht="15.75" customHeight="1" x14ac:dyDescent="0.25">
      <c r="B2379" t="str">
        <v>GoldLink</v>
      </c>
      <c r="C2379" t="str">
        <v>Leveraged Farming</v>
      </c>
      <c r="D2379" t="str">
        <v>-</v>
      </c>
      <c r="E2379">
        <v>3031.1215465917298</v>
      </c>
      <c r="F2379">
        <v>0</v>
      </c>
    </row>
    <row r="2380" spans="2:6" ht="15.75" customHeight="1" x14ac:dyDescent="0.25">
      <c r="B2380" t="str">
        <v>GoldMiner</v>
      </c>
      <c r="C2380" t="str">
        <v>Ponzi</v>
      </c>
      <c r="D2380" t="str">
        <v>-</v>
      </c>
      <c r="E2380">
        <v>0.33970732330435777</v>
      </c>
      <c r="F2380">
        <v>0</v>
      </c>
    </row>
    <row r="2381" spans="2:6" ht="15.75" customHeight="1" x14ac:dyDescent="0.25">
      <c r="B2381" t="str">
        <v>Goldsand by InshAllah</v>
      </c>
      <c r="C2381" t="str">
        <v>Liquid Staking</v>
      </c>
      <c r="D2381" t="str">
        <v>-</v>
      </c>
      <c r="E2381">
        <v>628749.02621451975</v>
      </c>
      <c r="F2381">
        <v>0</v>
      </c>
    </row>
    <row r="2382" spans="2:6" ht="15.75" customHeight="1" x14ac:dyDescent="0.25">
      <c r="B2382" t="str">
        <v>GOLDSTATION DEX</v>
      </c>
      <c r="C2382" t="str">
        <v>Dexs</v>
      </c>
      <c r="D2382" t="str">
        <v>-</v>
      </c>
      <c r="E2382">
        <v>400106.23361575033</v>
      </c>
      <c r="F2382">
        <v>0</v>
      </c>
    </row>
    <row r="2383" spans="2:6" ht="15.75" customHeight="1" x14ac:dyDescent="0.25">
      <c r="B2383" t="str">
        <v>GOLDSTATION DEX V3</v>
      </c>
      <c r="C2383" t="str">
        <v>Dexs</v>
      </c>
      <c r="D2383" t="str">
        <v>-</v>
      </c>
      <c r="E2383">
        <v>68656.719246495893</v>
      </c>
      <c r="F2383">
        <v>0</v>
      </c>
    </row>
    <row r="2384" spans="2:6" ht="15.75" customHeight="1" x14ac:dyDescent="0.25">
      <c r="B2384" t="str">
        <v>GOLDSTATION RWA</v>
      </c>
      <c r="C2384" t="str">
        <v>RWA</v>
      </c>
      <c r="D2384" t="str">
        <v>-</v>
      </c>
      <c r="E2384">
        <v>1079889.2057083901</v>
      </c>
      <c r="F2384">
        <v>0</v>
      </c>
    </row>
    <row r="2385" spans="2:6" ht="15.75" customHeight="1" x14ac:dyDescent="0.25">
      <c r="B2385" t="str">
        <v>GOLDSTATION Staking</v>
      </c>
      <c r="C2385" t="str">
        <v>Staking Pool</v>
      </c>
      <c r="D2385" t="str">
        <v>-</v>
      </c>
      <c r="E2385">
        <v>1437982.4243081985</v>
      </c>
      <c r="F2385">
        <v>0</v>
      </c>
    </row>
    <row r="2386" spans="2:6" ht="15.75" customHeight="1" x14ac:dyDescent="0.25">
      <c r="B2386" t="str">
        <v>Goledo</v>
      </c>
      <c r="C2386" t="str">
        <v>Lending</v>
      </c>
      <c r="D2386" t="str">
        <v>GOL</v>
      </c>
      <c r="E2386">
        <v>121.0519378804233</v>
      </c>
      <c r="F2386">
        <v>0</v>
      </c>
    </row>
    <row r="2387" spans="2:6" ht="15.75" customHeight="1" x14ac:dyDescent="0.25">
      <c r="B2387" t="str">
        <v>Golem Network</v>
      </c>
      <c r="C2387" t="str">
        <v>Services</v>
      </c>
      <c r="D2387" t="str">
        <v>GLM</v>
      </c>
      <c r="E2387">
        <v>0</v>
      </c>
      <c r="F2387">
        <v>276456848.90296513</v>
      </c>
    </row>
    <row r="2388" spans="2:6" ht="15.75" customHeight="1" x14ac:dyDescent="0.25">
      <c r="B2388" t="str">
        <v>Golff Protocol</v>
      </c>
      <c r="C2388" t="str">
        <v>Yield</v>
      </c>
      <c r="D2388" t="str">
        <v>GOF</v>
      </c>
      <c r="E2388">
        <v>17991.214150684013</v>
      </c>
      <c r="F2388">
        <v>35820.994747844597</v>
      </c>
    </row>
    <row r="2389" spans="2:6" ht="15.75" customHeight="1" x14ac:dyDescent="0.25">
      <c r="B2389" t="str">
        <v>Gomble Games</v>
      </c>
      <c r="C2389" t="str">
        <v>Farm</v>
      </c>
      <c r="D2389" t="str">
        <v>GM</v>
      </c>
      <c r="E2389">
        <v>14.783147687293848</v>
      </c>
      <c r="F2389">
        <v>2493390.4367986447</v>
      </c>
    </row>
    <row r="2390" spans="2:6" ht="15.75" customHeight="1" x14ac:dyDescent="0.25">
      <c r="B2390" t="str">
        <v>Gondi V1</v>
      </c>
      <c r="C2390" t="str">
        <v>NFT Lending</v>
      </c>
      <c r="D2390" t="str">
        <v>-</v>
      </c>
      <c r="E2390">
        <v>1.8704793065653179E-14</v>
      </c>
      <c r="F2390">
        <v>0</v>
      </c>
    </row>
    <row r="2391" spans="2:6" ht="15.75" customHeight="1" x14ac:dyDescent="0.25">
      <c r="B2391" t="str">
        <v>Gondi V2</v>
      </c>
      <c r="C2391" t="str">
        <v>NFT Lending</v>
      </c>
      <c r="D2391" t="str">
        <v>-</v>
      </c>
      <c r="E2391">
        <v>0.50471645696799239</v>
      </c>
      <c r="F2391">
        <v>0</v>
      </c>
    </row>
    <row r="2392" spans="2:6" ht="15.75" customHeight="1" x14ac:dyDescent="0.25">
      <c r="B2392" t="str">
        <v>Gondi V3</v>
      </c>
      <c r="C2392" t="str">
        <v>NFT Lending</v>
      </c>
      <c r="D2392" t="str">
        <v>-</v>
      </c>
      <c r="E2392">
        <v>1299194.7068757259</v>
      </c>
      <c r="F2392">
        <v>0</v>
      </c>
    </row>
    <row r="2393" spans="2:6" ht="15.75" customHeight="1" x14ac:dyDescent="0.25">
      <c r="B2393" t="str">
        <v>Gondola Finance</v>
      </c>
      <c r="C2393" t="str">
        <v>Dexs</v>
      </c>
      <c r="D2393" t="str">
        <v>GDL</v>
      </c>
      <c r="E2393">
        <v>83.419320772719999</v>
      </c>
      <c r="F2393">
        <v>0</v>
      </c>
    </row>
    <row r="2394" spans="2:6" ht="15.75" customHeight="1" x14ac:dyDescent="0.25">
      <c r="B2394" t="str">
        <v>Goober</v>
      </c>
      <c r="C2394" t="str">
        <v>Yield</v>
      </c>
      <c r="D2394" t="str">
        <v>GBR</v>
      </c>
      <c r="E2394">
        <v>0</v>
      </c>
      <c r="F2394">
        <v>0</v>
      </c>
    </row>
    <row r="2395" spans="2:6" ht="15.75" customHeight="1" x14ac:dyDescent="0.25">
      <c r="B2395" t="str">
        <v>GoodDollar</v>
      </c>
      <c r="C2395" t="str">
        <v>Yield</v>
      </c>
      <c r="D2395" t="str">
        <v>G$</v>
      </c>
      <c r="E2395">
        <v>25790.947949862802</v>
      </c>
      <c r="F2395">
        <v>0</v>
      </c>
    </row>
    <row r="2396" spans="2:6" ht="15.75" customHeight="1" x14ac:dyDescent="0.25">
      <c r="B2396" t="str">
        <v>GoodEntry</v>
      </c>
      <c r="C2396" t="str">
        <v>Derivatives</v>
      </c>
      <c r="D2396" t="str">
        <v>-</v>
      </c>
      <c r="E2396">
        <v>91144.475290427974</v>
      </c>
      <c r="F2396">
        <v>0</v>
      </c>
    </row>
    <row r="2397" spans="2:6" ht="15.75" customHeight="1" x14ac:dyDescent="0.25">
      <c r="B2397" t="str">
        <v>GoonFi</v>
      </c>
      <c r="C2397" t="str">
        <v>Dexs</v>
      </c>
      <c r="D2397" t="str">
        <v>-</v>
      </c>
      <c r="E2397">
        <v>0</v>
      </c>
      <c r="F2397">
        <v>0</v>
      </c>
    </row>
    <row r="2398" spans="2:6" ht="15.75" customHeight="1" x14ac:dyDescent="0.25">
      <c r="B2398" t="str">
        <v>Goose</v>
      </c>
      <c r="C2398" t="str">
        <v>CeDeFi</v>
      </c>
      <c r="D2398" t="str">
        <v>-</v>
      </c>
      <c r="E2398">
        <v>12805772.633728947</v>
      </c>
      <c r="F2398">
        <v>0</v>
      </c>
    </row>
    <row r="2399" spans="2:6" ht="15.75" customHeight="1" x14ac:dyDescent="0.25">
      <c r="B2399" t="str">
        <v>Goose Finance</v>
      </c>
      <c r="C2399" t="str">
        <v>Farm</v>
      </c>
      <c r="D2399" t="str">
        <v>EGG</v>
      </c>
      <c r="E2399">
        <v>370902.85198199854</v>
      </c>
      <c r="F2399">
        <v>290308.80133547465</v>
      </c>
    </row>
    <row r="2400" spans="2:6" ht="15.75" customHeight="1" x14ac:dyDescent="0.25">
      <c r="B2400" t="str">
        <v>GooseFX V1</v>
      </c>
      <c r="C2400" t="str">
        <v>Dexs</v>
      </c>
      <c r="D2400" t="str">
        <v>GOFX</v>
      </c>
      <c r="E2400">
        <v>55.517052947557687</v>
      </c>
      <c r="F2400">
        <v>0</v>
      </c>
    </row>
    <row r="2401" spans="2:6" ht="15.75" customHeight="1" x14ac:dyDescent="0.25">
      <c r="B2401" t="str">
        <v>GooseFX V2</v>
      </c>
      <c r="C2401" t="str">
        <v>Dexs</v>
      </c>
      <c r="D2401" t="str">
        <v>GOFX</v>
      </c>
      <c r="E2401">
        <v>3318.5283752950786</v>
      </c>
      <c r="F2401">
        <v>0</v>
      </c>
    </row>
    <row r="2402" spans="2:6" ht="15.75" customHeight="1" x14ac:dyDescent="0.25">
      <c r="B2402" t="str">
        <v>GoPlus Locker V2</v>
      </c>
      <c r="C2402" t="str">
        <v>Token Locker</v>
      </c>
      <c r="D2402" t="str">
        <v>GPS</v>
      </c>
      <c r="E2402">
        <v>969675.35069946037</v>
      </c>
      <c r="F2402">
        <v>0</v>
      </c>
    </row>
    <row r="2403" spans="2:6" ht="15.75" customHeight="1" x14ac:dyDescent="0.25">
      <c r="B2403" t="str">
        <v>GoPlus Locker V3</v>
      </c>
      <c r="C2403" t="str">
        <v>Token Locker</v>
      </c>
      <c r="D2403" t="str">
        <v>GPS</v>
      </c>
      <c r="E2403">
        <v>42670550.348464862</v>
      </c>
      <c r="F2403">
        <v>0</v>
      </c>
    </row>
    <row r="2404" spans="2:6" ht="15.75" customHeight="1" x14ac:dyDescent="0.25">
      <c r="B2404" t="str">
        <v>GoPlus Security App</v>
      </c>
      <c r="C2404" t="str">
        <v>Developer Tools</v>
      </c>
      <c r="D2404" t="str">
        <v>GPS</v>
      </c>
      <c r="E2404">
        <v>0</v>
      </c>
      <c r="F2404">
        <v>0</v>
      </c>
    </row>
    <row r="2405" spans="2:6" ht="15.75" customHeight="1" x14ac:dyDescent="0.25">
      <c r="B2405" t="str">
        <v>GoSwap</v>
      </c>
      <c r="C2405" t="str">
        <v>Dexs</v>
      </c>
      <c r="D2405" t="str">
        <v>FAST</v>
      </c>
      <c r="E2405">
        <v>6706.8964102925465</v>
      </c>
      <c r="F2405">
        <v>0</v>
      </c>
    </row>
    <row r="2406" spans="2:6" ht="15.75" customHeight="1" x14ac:dyDescent="0.25">
      <c r="B2406" t="str">
        <v>GotchiVault</v>
      </c>
      <c r="C2406" t="str">
        <v>CDP</v>
      </c>
      <c r="D2406" t="str">
        <v>VGHST</v>
      </c>
      <c r="E2406">
        <v>33947.283839606192</v>
      </c>
      <c r="F2406">
        <v>0</v>
      </c>
    </row>
    <row r="2407" spans="2:6" ht="15.75" customHeight="1" x14ac:dyDescent="0.25">
      <c r="B2407" t="str">
        <v>Government of Bhutan Crypto Reserve</v>
      </c>
      <c r="C2407" t="str">
        <v>Treasury Manager</v>
      </c>
      <c r="D2407" t="str">
        <v>-</v>
      </c>
      <c r="E2407">
        <v>0</v>
      </c>
      <c r="F2407">
        <v>0</v>
      </c>
    </row>
    <row r="2408" spans="2:6" ht="15.75" customHeight="1" x14ac:dyDescent="0.25">
      <c r="B2408" t="str">
        <v>Governor DAO</v>
      </c>
      <c r="C2408" t="str">
        <v>Yield</v>
      </c>
      <c r="D2408" t="str">
        <v>GDAO</v>
      </c>
      <c r="E2408">
        <v>79474.927229032735</v>
      </c>
      <c r="F2408">
        <v>0</v>
      </c>
    </row>
    <row r="2409" spans="2:6" ht="15.75" customHeight="1" x14ac:dyDescent="0.25">
      <c r="B2409" t="str">
        <v>GPLX</v>
      </c>
      <c r="C2409" t="str">
        <v>Derivatives</v>
      </c>
      <c r="D2409" t="str">
        <v>GPLX</v>
      </c>
      <c r="E2409">
        <v>3454.4579597605366</v>
      </c>
      <c r="F2409">
        <v>0</v>
      </c>
    </row>
    <row r="2410" spans="2:6" ht="15.75" customHeight="1" x14ac:dyDescent="0.25">
      <c r="B2410" t="str">
        <v>Grace</v>
      </c>
      <c r="C2410" t="str">
        <v>Lending</v>
      </c>
      <c r="D2410" t="str">
        <v>-</v>
      </c>
      <c r="E2410">
        <v>5020.151064276045</v>
      </c>
      <c r="F2410">
        <v>0</v>
      </c>
    </row>
    <row r="2411" spans="2:6" ht="15.75" customHeight="1" x14ac:dyDescent="0.25">
      <c r="B2411" t="str">
        <v>Gracy Staking</v>
      </c>
      <c r="C2411" t="str">
        <v>Staking Pool</v>
      </c>
      <c r="D2411" t="str">
        <v>GRACY</v>
      </c>
      <c r="E2411">
        <v>0</v>
      </c>
      <c r="F2411">
        <v>0</v>
      </c>
    </row>
    <row r="2412" spans="2:6" ht="15.75" customHeight="1" x14ac:dyDescent="0.25">
      <c r="B2412" t="str">
        <v>GraFun</v>
      </c>
      <c r="C2412" t="str">
        <v>Launchpad</v>
      </c>
      <c r="D2412" t="str">
        <v>-</v>
      </c>
      <c r="E2412">
        <v>310016.31453301891</v>
      </c>
      <c r="F2412">
        <v>0</v>
      </c>
    </row>
    <row r="2413" spans="2:6" ht="15.75" customHeight="1" x14ac:dyDescent="0.25">
      <c r="B2413" t="str">
        <v>Granary Finance</v>
      </c>
      <c r="C2413" t="str">
        <v>Lending</v>
      </c>
      <c r="D2413" t="str">
        <v>GRAIN</v>
      </c>
      <c r="E2413">
        <v>201717.85366041222</v>
      </c>
      <c r="F2413">
        <v>119073.42308043322</v>
      </c>
    </row>
    <row r="2414" spans="2:6" ht="15.75" customHeight="1" x14ac:dyDescent="0.25">
      <c r="B2414" t="str">
        <v>Granite</v>
      </c>
      <c r="C2414" t="str">
        <v>Lending</v>
      </c>
      <c r="D2414" t="str">
        <v>-</v>
      </c>
      <c r="E2414">
        <v>22468302.378805172</v>
      </c>
      <c r="F2414">
        <v>0</v>
      </c>
    </row>
    <row r="2415" spans="2:6" ht="15.75" customHeight="1" x14ac:dyDescent="0.25">
      <c r="B2415" t="str">
        <v>Grape Finance</v>
      </c>
      <c r="C2415" t="str">
        <v>Algo-Stables</v>
      </c>
      <c r="D2415" t="str">
        <v>GRAPE</v>
      </c>
      <c r="E2415">
        <v>0</v>
      </c>
      <c r="F2415">
        <v>0</v>
      </c>
    </row>
    <row r="2416" spans="2:6" ht="15.75" customHeight="1" x14ac:dyDescent="0.25">
      <c r="B2416" t="str">
        <v>Graphene by Velocimeter</v>
      </c>
      <c r="C2416" t="str">
        <v>Dexs</v>
      </c>
      <c r="D2416" t="str">
        <v>-</v>
      </c>
      <c r="E2416">
        <v>10900.322290120679</v>
      </c>
      <c r="F2416">
        <v>0</v>
      </c>
    </row>
    <row r="2417" spans="2:6" ht="15.75" customHeight="1" x14ac:dyDescent="0.25">
      <c r="B2417" t="str">
        <v>Graphite Protocol</v>
      </c>
      <c r="C2417" t="str">
        <v>Launchpad</v>
      </c>
      <c r="D2417" t="str">
        <v>GP</v>
      </c>
      <c r="E2417">
        <v>0</v>
      </c>
      <c r="F2417">
        <v>19729544.206922937</v>
      </c>
    </row>
    <row r="2418" spans="2:6" ht="15.75" customHeight="1" x14ac:dyDescent="0.25">
      <c r="B2418" t="str">
        <v>Grappa Finance</v>
      </c>
      <c r="C2418" t="str">
        <v>Options Vault</v>
      </c>
      <c r="D2418" t="str">
        <v>-</v>
      </c>
      <c r="E2418">
        <v>0.44660775280221204</v>
      </c>
      <c r="F2418">
        <v>0</v>
      </c>
    </row>
    <row r="2419" spans="2:6" ht="15.75" customHeight="1" x14ac:dyDescent="0.25">
      <c r="B2419" t="str">
        <v>GrassLand Finance</v>
      </c>
      <c r="C2419" t="str">
        <v>Yield</v>
      </c>
      <c r="D2419" t="str">
        <v>WILD</v>
      </c>
      <c r="E2419">
        <v>1448.6335727255805</v>
      </c>
      <c r="F2419">
        <v>0</v>
      </c>
    </row>
    <row r="2420" spans="2:6" ht="15.75" customHeight="1" x14ac:dyDescent="0.25">
      <c r="B2420" t="str">
        <v>Grave Finance</v>
      </c>
      <c r="C2420" t="str">
        <v>Algo-Stables</v>
      </c>
      <c r="D2420" t="str">
        <v>GRAVE</v>
      </c>
      <c r="E2420">
        <v>444.34385770892055</v>
      </c>
      <c r="F2420">
        <v>0</v>
      </c>
    </row>
    <row r="2421" spans="2:6" ht="15.75" customHeight="1" x14ac:dyDescent="0.25">
      <c r="B2421" t="str">
        <v>Gravis Finance</v>
      </c>
      <c r="C2421" t="str">
        <v>Dexs</v>
      </c>
      <c r="D2421" t="str">
        <v>GRVS</v>
      </c>
      <c r="E2421">
        <v>40644.481622947991</v>
      </c>
      <c r="F2421">
        <v>0</v>
      </c>
    </row>
    <row r="2422" spans="2:6" ht="15.75" customHeight="1" x14ac:dyDescent="0.25">
      <c r="B2422" t="str">
        <v>Gravita Protocol</v>
      </c>
      <c r="C2422" t="str">
        <v>CDP</v>
      </c>
      <c r="D2422" t="str">
        <v>-</v>
      </c>
      <c r="E2422">
        <v>579082.4300261538</v>
      </c>
      <c r="F2422">
        <v>0</v>
      </c>
    </row>
    <row r="2423" spans="2:6" ht="15.75" customHeight="1" x14ac:dyDescent="0.25">
      <c r="B2423" t="str">
        <v>Gravity</v>
      </c>
      <c r="C2423" t="str">
        <v>Liquid Staking</v>
      </c>
      <c r="D2423" t="str">
        <v>-</v>
      </c>
      <c r="E2423">
        <v>2175.8629439237898</v>
      </c>
      <c r="F2423">
        <v>0</v>
      </c>
    </row>
    <row r="2424" spans="2:6" ht="15.75" customHeight="1" x14ac:dyDescent="0.25">
      <c r="B2424" t="str">
        <v>Gravity Bridge</v>
      </c>
      <c r="C2424" t="str">
        <v>Bridge</v>
      </c>
      <c r="D2424" t="str">
        <v>GRAV</v>
      </c>
      <c r="E2424">
        <v>22278922.101309828</v>
      </c>
      <c r="F2424">
        <v>283463.47392809216</v>
      </c>
    </row>
    <row r="2425" spans="2:6" ht="15.75" customHeight="1" x14ac:dyDescent="0.25">
      <c r="B2425" t="str">
        <v>Gravity by Galxe</v>
      </c>
      <c r="C2425" t="str">
        <v>Canonical Bridge</v>
      </c>
      <c r="D2425" t="str">
        <v>G</v>
      </c>
      <c r="E2425">
        <v>26730132.076871015</v>
      </c>
      <c r="F2425">
        <v>37789910.546391599</v>
      </c>
    </row>
    <row r="2426" spans="2:6" ht="15.75" customHeight="1" x14ac:dyDescent="0.25">
      <c r="B2426" t="str">
        <v>Gravity Finance</v>
      </c>
      <c r="C2426" t="str">
        <v>Dexs</v>
      </c>
      <c r="D2426" t="str">
        <v>GFI</v>
      </c>
      <c r="E2426">
        <v>213392.06435139029</v>
      </c>
      <c r="F2426">
        <v>0</v>
      </c>
    </row>
    <row r="2427" spans="2:6" ht="15.75" customHeight="1" x14ac:dyDescent="0.25">
      <c r="B2427" t="str">
        <v>Grayscale</v>
      </c>
      <c r="C2427" t="str">
        <v>RWA</v>
      </c>
      <c r="D2427" t="str">
        <v>-</v>
      </c>
      <c r="E2427">
        <v>0</v>
      </c>
      <c r="F2427">
        <v>0</v>
      </c>
    </row>
    <row r="2428" spans="2:6" ht="15.75" customHeight="1" x14ac:dyDescent="0.25">
      <c r="B2428" t="str">
        <v>Green Planet</v>
      </c>
      <c r="C2428" t="str">
        <v>Lending</v>
      </c>
      <c r="D2428" t="str">
        <v>GAMMA</v>
      </c>
      <c r="E2428">
        <v>276575.32262316928</v>
      </c>
      <c r="F2428">
        <v>0</v>
      </c>
    </row>
    <row r="2429" spans="2:6" ht="15.75" customHeight="1" x14ac:dyDescent="0.25">
      <c r="B2429" t="str">
        <v>Greenhouse</v>
      </c>
      <c r="C2429" t="str">
        <v>Dexs</v>
      </c>
      <c r="D2429" t="str">
        <v>GREEN</v>
      </c>
      <c r="E2429">
        <v>5956.6860365191988</v>
      </c>
      <c r="F2429">
        <v>0</v>
      </c>
    </row>
    <row r="2430" spans="2:6" ht="15.75" customHeight="1" x14ac:dyDescent="0.25">
      <c r="B2430" t="str">
        <v>Greenhouse Finance</v>
      </c>
      <c r="C2430" t="str">
        <v>Risk Curators</v>
      </c>
      <c r="D2430" t="str">
        <v>-</v>
      </c>
      <c r="E2430">
        <v>1984617.7935447532</v>
      </c>
      <c r="F2430">
        <v>0</v>
      </c>
    </row>
    <row r="2431" spans="2:6" ht="15.75" customHeight="1" x14ac:dyDescent="0.25">
      <c r="B2431" t="str">
        <v>Gridex</v>
      </c>
      <c r="C2431" t="str">
        <v>Dexs</v>
      </c>
      <c r="D2431" t="str">
        <v>GDX</v>
      </c>
      <c r="E2431">
        <v>84253.423427014553</v>
      </c>
      <c r="F2431">
        <v>0</v>
      </c>
    </row>
    <row r="2432" spans="2:6" ht="15.75" customHeight="1" x14ac:dyDescent="0.25">
      <c r="B2432" t="str">
        <v>Grim Finance</v>
      </c>
      <c r="C2432" t="str">
        <v>Yield</v>
      </c>
      <c r="D2432" t="str">
        <v>GRIM</v>
      </c>
      <c r="E2432">
        <v>28470.11917265279</v>
      </c>
      <c r="F2432">
        <v>141456.03669853549</v>
      </c>
    </row>
    <row r="2433" spans="2:6" ht="15.75" customHeight="1" x14ac:dyDescent="0.25">
      <c r="B2433" t="str">
        <v>Grix</v>
      </c>
      <c r="C2433" t="str">
        <v>Options</v>
      </c>
      <c r="D2433" t="str">
        <v>GRIX</v>
      </c>
      <c r="E2433">
        <v>0</v>
      </c>
      <c r="F2433">
        <v>1284237.5163007693</v>
      </c>
    </row>
    <row r="2434" spans="2:6" ht="15.75" customHeight="1" x14ac:dyDescent="0.25">
      <c r="B2434" t="str">
        <v>Grizzly Trade AMM</v>
      </c>
      <c r="C2434" t="str">
        <v>Dexs</v>
      </c>
      <c r="D2434" t="str">
        <v>GHNY</v>
      </c>
      <c r="E2434">
        <v>0</v>
      </c>
      <c r="F2434">
        <v>0</v>
      </c>
    </row>
    <row r="2435" spans="2:6" ht="15.75" customHeight="1" x14ac:dyDescent="0.25">
      <c r="B2435" t="str">
        <v>Grizzly Trade Perps</v>
      </c>
      <c r="C2435" t="str">
        <v>Derivatives</v>
      </c>
      <c r="D2435" t="str">
        <v>GHNY</v>
      </c>
      <c r="E2435">
        <v>0</v>
      </c>
      <c r="F2435">
        <v>0</v>
      </c>
    </row>
    <row r="2436" spans="2:6" ht="15.75" customHeight="1" x14ac:dyDescent="0.25">
      <c r="B2436" t="str">
        <v>Grizzly Trade V2</v>
      </c>
      <c r="C2436" t="str">
        <v>Derivatives</v>
      </c>
      <c r="D2436" t="str">
        <v>GHNY</v>
      </c>
      <c r="E2436">
        <v>0</v>
      </c>
      <c r="F2436">
        <v>0</v>
      </c>
    </row>
    <row r="2437" spans="2:6" ht="15.75" customHeight="1" x14ac:dyDescent="0.25">
      <c r="B2437" t="str">
        <v>GrizzlyFi Hives</v>
      </c>
      <c r="C2437" t="str">
        <v>Yield</v>
      </c>
      <c r="D2437" t="str">
        <v>GHNY</v>
      </c>
      <c r="E2437">
        <v>562841.883626419</v>
      </c>
      <c r="F2437">
        <v>0</v>
      </c>
    </row>
    <row r="2438" spans="2:6" ht="15.75" customHeight="1" x14ac:dyDescent="0.25">
      <c r="B2438" t="str">
        <v>Gro</v>
      </c>
      <c r="C2438" t="str">
        <v>Yield</v>
      </c>
      <c r="D2438" t="str">
        <v>GRO</v>
      </c>
      <c r="E2438">
        <v>1782527.429527218</v>
      </c>
      <c r="F2438">
        <v>669707.84832725523</v>
      </c>
    </row>
    <row r="2439" spans="2:6" ht="15.75" customHeight="1" x14ac:dyDescent="0.25">
      <c r="B2439" t="str">
        <v>GrokSwap</v>
      </c>
      <c r="C2439" t="str">
        <v>Dexs</v>
      </c>
      <c r="D2439" t="str">
        <v>-</v>
      </c>
      <c r="E2439">
        <v>6.123218588513029</v>
      </c>
      <c r="F2439">
        <v>0</v>
      </c>
    </row>
    <row r="2440" spans="2:6" ht="15.75" customHeight="1" x14ac:dyDescent="0.25">
      <c r="B2440" t="str">
        <v>GroveCoin</v>
      </c>
      <c r="C2440" t="str">
        <v>Farm</v>
      </c>
      <c r="D2440" t="str">
        <v>GRV</v>
      </c>
      <c r="E2440">
        <v>135290.51078593516</v>
      </c>
      <c r="F2440">
        <v>230613.16989017953</v>
      </c>
    </row>
    <row r="2441" spans="2:6" ht="15.75" customHeight="1" x14ac:dyDescent="0.25">
      <c r="B2441" t="str">
        <v>GrowiHF</v>
      </c>
      <c r="C2441" t="str">
        <v>Yield</v>
      </c>
      <c r="D2441" t="str">
        <v>-</v>
      </c>
      <c r="E2441">
        <v>7150381.1392614432</v>
      </c>
      <c r="F2441">
        <v>0</v>
      </c>
    </row>
    <row r="2442" spans="2:6" ht="15.75" customHeight="1" x14ac:dyDescent="0.25">
      <c r="B2442" t="str">
        <v>Growth DeFi</v>
      </c>
      <c r="C2442" t="str">
        <v>Yield</v>
      </c>
      <c r="D2442" t="str">
        <v>xGRO</v>
      </c>
      <c r="E2442">
        <v>22366.316319442554</v>
      </c>
      <c r="F2442">
        <v>36801.577262923864</v>
      </c>
    </row>
    <row r="2443" spans="2:6" ht="15.75" customHeight="1" x14ac:dyDescent="0.25">
      <c r="B2443" t="str">
        <v>GroypFi</v>
      </c>
      <c r="C2443" t="str">
        <v>Dexs</v>
      </c>
      <c r="D2443" t="str">
        <v>-</v>
      </c>
      <c r="E2443">
        <v>0</v>
      </c>
      <c r="F2443">
        <v>0</v>
      </c>
    </row>
    <row r="2444" spans="2:6" ht="15.75" customHeight="1" x14ac:dyDescent="0.25">
      <c r="B2444" t="str">
        <v>Grvt Bridge</v>
      </c>
      <c r="C2444" t="str">
        <v>Bridge</v>
      </c>
      <c r="D2444" t="str">
        <v>-</v>
      </c>
      <c r="E2444">
        <v>73719543.328321949</v>
      </c>
      <c r="F2444">
        <v>0</v>
      </c>
    </row>
    <row r="2445" spans="2:6" ht="15.75" customHeight="1" x14ac:dyDescent="0.25">
      <c r="B2445" t="str">
        <v>Grvt Perps</v>
      </c>
      <c r="C2445" t="str">
        <v>Derivatives</v>
      </c>
      <c r="D2445" t="str">
        <v>-</v>
      </c>
      <c r="E2445">
        <v>0</v>
      </c>
      <c r="F2445">
        <v>0</v>
      </c>
    </row>
    <row r="2446" spans="2:6" ht="15.75" customHeight="1" x14ac:dyDescent="0.25">
      <c r="B2446" t="str">
        <v>GRXswap</v>
      </c>
      <c r="C2446" t="str">
        <v>Dexs</v>
      </c>
      <c r="D2446" t="str">
        <v>-</v>
      </c>
      <c r="E2446">
        <v>800710.25046779355</v>
      </c>
      <c r="F2446">
        <v>0</v>
      </c>
    </row>
    <row r="2447" spans="2:6" ht="15.75" customHeight="1" x14ac:dyDescent="0.25">
      <c r="B2447" t="str">
        <v>Gryphon</v>
      </c>
      <c r="C2447" t="str">
        <v>Liquid Staking</v>
      </c>
      <c r="D2447" t="str">
        <v>-</v>
      </c>
      <c r="E2447">
        <v>48798.595411480783</v>
      </c>
      <c r="F2447">
        <v>0</v>
      </c>
    </row>
    <row r="2448" spans="2:6" ht="15.75" customHeight="1" x14ac:dyDescent="0.25">
      <c r="B2448" t="str">
        <v>Gryps</v>
      </c>
      <c r="C2448" t="str">
        <v>Interface</v>
      </c>
      <c r="D2448" t="str">
        <v>-</v>
      </c>
      <c r="E2448">
        <v>0</v>
      </c>
      <c r="F2448">
        <v>0</v>
      </c>
    </row>
    <row r="2449" spans="2:6" ht="15.75" customHeight="1" x14ac:dyDescent="0.25">
      <c r="B2449" t="str">
        <v>GT3</v>
      </c>
      <c r="C2449" t="str">
        <v>Dexs</v>
      </c>
      <c r="D2449" t="str">
        <v>GT3</v>
      </c>
      <c r="E2449">
        <v>967253.1600693739</v>
      </c>
      <c r="F2449">
        <v>4052752.4152906714</v>
      </c>
    </row>
    <row r="2450" spans="2:6" ht="15.75" customHeight="1" x14ac:dyDescent="0.25">
      <c r="B2450" t="str">
        <v>GTBTC</v>
      </c>
      <c r="C2450" t="str">
        <v>Restaked BTC</v>
      </c>
      <c r="D2450" t="str">
        <v>-</v>
      </c>
      <c r="E2450">
        <v>272479971.65023446</v>
      </c>
      <c r="F2450">
        <v>0</v>
      </c>
    </row>
    <row r="2451" spans="2:6" ht="15.75" customHeight="1" x14ac:dyDescent="0.25">
      <c r="B2451" t="str">
        <v>GTON Capital</v>
      </c>
      <c r="C2451" t="str">
        <v>Reserve Currency</v>
      </c>
      <c r="D2451" t="str">
        <v>GTON</v>
      </c>
      <c r="E2451">
        <v>101.90649255216809</v>
      </c>
      <c r="F2451">
        <v>616691.61620808078</v>
      </c>
    </row>
    <row r="2452" spans="2:6" ht="15.75" customHeight="1" x14ac:dyDescent="0.25">
      <c r="B2452" t="str">
        <v>GuacSwap</v>
      </c>
      <c r="C2452" t="str">
        <v>Dexs</v>
      </c>
      <c r="D2452" t="str">
        <v>GUAC</v>
      </c>
      <c r="E2452">
        <v>100786.95377154203</v>
      </c>
      <c r="F2452">
        <v>1140226.7210080998</v>
      </c>
    </row>
    <row r="2453" spans="2:6" ht="15.75" customHeight="1" x14ac:dyDescent="0.25">
      <c r="B2453" t="str">
        <v>Guale</v>
      </c>
      <c r="C2453" t="str">
        <v>Yield Aggregator</v>
      </c>
      <c r="D2453" t="str">
        <v>-</v>
      </c>
      <c r="E2453">
        <v>18245.118069358825</v>
      </c>
      <c r="F2453">
        <v>0</v>
      </c>
    </row>
    <row r="2454" spans="2:6" ht="15.75" customHeight="1" x14ac:dyDescent="0.25">
      <c r="B2454" t="str">
        <v>Guard-Helmet</v>
      </c>
      <c r="C2454" t="str">
        <v>Insurance</v>
      </c>
      <c r="D2454" t="str">
        <v>GUARD</v>
      </c>
      <c r="E2454">
        <v>13917.861309025349</v>
      </c>
      <c r="F2454">
        <v>131355.27719289466</v>
      </c>
    </row>
    <row r="2455" spans="2:6" ht="15.75" customHeight="1" x14ac:dyDescent="0.25">
      <c r="B2455" t="str">
        <v>Gud.Tech</v>
      </c>
      <c r="C2455" t="str">
        <v>AI Agents</v>
      </c>
      <c r="D2455" t="str">
        <v>GUD</v>
      </c>
      <c r="E2455">
        <v>112449.55869540117</v>
      </c>
      <c r="F2455">
        <v>1998315.0030514181</v>
      </c>
    </row>
    <row r="2456" spans="2:6" ht="15.75" customHeight="1" x14ac:dyDescent="0.25">
      <c r="B2456" t="str">
        <v>Gudchain</v>
      </c>
      <c r="C2456" t="str">
        <v>Farm</v>
      </c>
      <c r="D2456" t="str">
        <v>-</v>
      </c>
      <c r="E2456">
        <v>148905.64703566558</v>
      </c>
      <c r="F2456">
        <v>0</v>
      </c>
    </row>
    <row r="2457" spans="2:6" ht="15.75" customHeight="1" x14ac:dyDescent="0.25">
      <c r="B2457" t="str">
        <v>GullNetwork AMM</v>
      </c>
      <c r="C2457" t="str">
        <v>Dexs</v>
      </c>
      <c r="D2457" t="str">
        <v>GULL</v>
      </c>
      <c r="E2457">
        <v>1135608.1315638593</v>
      </c>
      <c r="F2457">
        <v>0</v>
      </c>
    </row>
    <row r="2458" spans="2:6" ht="15.75" customHeight="1" x14ac:dyDescent="0.25">
      <c r="B2458" t="str">
        <v>GullNetwork Service</v>
      </c>
      <c r="C2458" t="str">
        <v>Farm</v>
      </c>
      <c r="D2458" t="str">
        <v>GULL</v>
      </c>
      <c r="E2458">
        <v>11094.319068093964</v>
      </c>
      <c r="F2458">
        <v>0</v>
      </c>
    </row>
    <row r="2459" spans="2:6" ht="15.75" customHeight="1" x14ac:dyDescent="0.25">
      <c r="B2459" t="str">
        <v>GumBall Protocol</v>
      </c>
      <c r="C2459" t="str">
        <v>NFT Marketplace</v>
      </c>
      <c r="D2459" t="str">
        <v>-</v>
      </c>
      <c r="E2459">
        <v>480172.80140368763</v>
      </c>
      <c r="F2459">
        <v>0</v>
      </c>
    </row>
    <row r="2460" spans="2:6" ht="15.75" customHeight="1" x14ac:dyDescent="0.25">
      <c r="B2460" t="str">
        <v>Guru Network Classic</v>
      </c>
      <c r="C2460" t="str">
        <v>Yield</v>
      </c>
      <c r="D2460" t="str">
        <v>ELITE</v>
      </c>
      <c r="E2460">
        <v>2982585.3625567392</v>
      </c>
      <c r="F2460">
        <v>0</v>
      </c>
    </row>
    <row r="2461" spans="2:6" ht="15.75" customHeight="1" x14ac:dyDescent="0.25">
      <c r="B2461" t="str">
        <v>GVEX</v>
      </c>
      <c r="C2461" t="str">
        <v>DEX Aggregator</v>
      </c>
      <c r="D2461" t="str">
        <v>-</v>
      </c>
      <c r="E2461">
        <v>25735.83553401654</v>
      </c>
      <c r="F2461">
        <v>0</v>
      </c>
    </row>
    <row r="2462" spans="2:6" ht="15.75" customHeight="1" x14ac:dyDescent="0.25">
      <c r="B2462" t="str">
        <v>GxyPad</v>
      </c>
      <c r="C2462" t="str">
        <v>Dexs</v>
      </c>
      <c r="D2462" t="str">
        <v>-</v>
      </c>
      <c r="E2462">
        <v>2.6488291217804933</v>
      </c>
      <c r="F2462">
        <v>0</v>
      </c>
    </row>
    <row r="2463" spans="2:6" ht="15.75" customHeight="1" x14ac:dyDescent="0.25">
      <c r="B2463" t="str">
        <v>Gyro</v>
      </c>
      <c r="C2463" t="str">
        <v>Reserve Currency</v>
      </c>
      <c r="D2463" t="str">
        <v>GYRO</v>
      </c>
      <c r="E2463">
        <v>0</v>
      </c>
      <c r="F2463">
        <v>1131414.1527087237</v>
      </c>
    </row>
    <row r="2464" spans="2:6" ht="15.75" customHeight="1" x14ac:dyDescent="0.25">
      <c r="B2464" t="str">
        <v>Gyroscope Protocol</v>
      </c>
      <c r="C2464" t="str">
        <v>Dexs</v>
      </c>
      <c r="D2464" t="str">
        <v>GYD</v>
      </c>
      <c r="E2464">
        <v>8963513.6029202994</v>
      </c>
      <c r="F2464">
        <v>24229220.202843707</v>
      </c>
    </row>
    <row r="2465" spans="2:6" ht="15.75" customHeight="1" x14ac:dyDescent="0.25">
      <c r="B2465" t="str">
        <v>H2 Finance V2</v>
      </c>
      <c r="C2465" t="str">
        <v>Dexs</v>
      </c>
      <c r="D2465" t="str">
        <v>$H2</v>
      </c>
      <c r="E2465">
        <v>5992489.6112010293</v>
      </c>
      <c r="F2465">
        <v>0</v>
      </c>
    </row>
    <row r="2466" spans="2:6" ht="15.75" customHeight="1" x14ac:dyDescent="0.25">
      <c r="B2466" t="str">
        <v>H2 Finance V3</v>
      </c>
      <c r="C2466" t="str">
        <v>Dexs</v>
      </c>
      <c r="D2466" t="str">
        <v>$H2</v>
      </c>
      <c r="E2466">
        <v>147772.4519617784</v>
      </c>
      <c r="F2466">
        <v>0</v>
      </c>
    </row>
    <row r="2467" spans="2:6" ht="15.75" customHeight="1" x14ac:dyDescent="0.25">
      <c r="B2467" t="str">
        <v>H2Odata</v>
      </c>
      <c r="C2467" t="str">
        <v>CDP</v>
      </c>
      <c r="D2467" t="str">
        <v>PSDN</v>
      </c>
      <c r="E2467">
        <v>8291.7850480188172</v>
      </c>
      <c r="F2467">
        <v>0</v>
      </c>
    </row>
    <row r="2468" spans="2:6" ht="15.75" customHeight="1" x14ac:dyDescent="0.25">
      <c r="B2468" t="str">
        <v>HackenAI</v>
      </c>
      <c r="C2468" t="str">
        <v>Prediction Market</v>
      </c>
      <c r="D2468" t="str">
        <v>HAI</v>
      </c>
      <c r="E2468">
        <v>0</v>
      </c>
      <c r="F2468">
        <v>4115512.9131085314</v>
      </c>
    </row>
    <row r="2469" spans="2:6" ht="15.75" customHeight="1" x14ac:dyDescent="0.25">
      <c r="B2469" t="str">
        <v>Hades Money</v>
      </c>
      <c r="C2469" t="str">
        <v>Algo-Stables</v>
      </c>
      <c r="D2469" t="str">
        <v>HADES</v>
      </c>
      <c r="E2469">
        <v>0</v>
      </c>
      <c r="F2469">
        <v>0</v>
      </c>
    </row>
    <row r="2470" spans="2:6" ht="15.75" customHeight="1" x14ac:dyDescent="0.25">
      <c r="B2470" t="str">
        <v>Hades Swap</v>
      </c>
      <c r="C2470" t="str">
        <v>Dexs</v>
      </c>
      <c r="D2470" t="str">
        <v>SOUL</v>
      </c>
      <c r="E2470">
        <v>0</v>
      </c>
      <c r="F2470">
        <v>0</v>
      </c>
    </row>
    <row r="2471" spans="2:6" ht="15.75" customHeight="1" x14ac:dyDescent="0.25">
      <c r="B2471" t="str">
        <v>Hadouken AMM</v>
      </c>
      <c r="C2471" t="str">
        <v>Dexs</v>
      </c>
      <c r="D2471" t="str">
        <v>-</v>
      </c>
      <c r="E2471">
        <v>134105.1692179825</v>
      </c>
      <c r="F2471">
        <v>0</v>
      </c>
    </row>
    <row r="2472" spans="2:6" ht="15.75" customHeight="1" x14ac:dyDescent="0.25">
      <c r="B2472" t="str">
        <v>Hadouken Lend</v>
      </c>
      <c r="C2472" t="str">
        <v>Lending</v>
      </c>
      <c r="D2472" t="str">
        <v>-</v>
      </c>
      <c r="E2472">
        <v>741355.64404141973</v>
      </c>
      <c r="F2472">
        <v>0</v>
      </c>
    </row>
    <row r="2473" spans="2:6" ht="15.75" customHeight="1" x14ac:dyDescent="0.25">
      <c r="B2473" t="str">
        <v>Haedal AMM Protocol</v>
      </c>
      <c r="C2473" t="str">
        <v>Dexs</v>
      </c>
      <c r="D2473" t="str">
        <v>-</v>
      </c>
      <c r="E2473">
        <v>540083.60731029254</v>
      </c>
      <c r="F2473">
        <v>0</v>
      </c>
    </row>
    <row r="2474" spans="2:6" ht="15.75" customHeight="1" x14ac:dyDescent="0.25">
      <c r="B2474" t="str">
        <v>Haedal Protocol</v>
      </c>
      <c r="C2474" t="str">
        <v>Liquid Staking</v>
      </c>
      <c r="D2474" t="str">
        <v>HAEDAL</v>
      </c>
      <c r="E2474">
        <v>89655206.247173935</v>
      </c>
      <c r="F2474">
        <v>0</v>
      </c>
    </row>
    <row r="2475" spans="2:6" ht="15.75" customHeight="1" x14ac:dyDescent="0.25">
      <c r="B2475" t="str">
        <v>Haedal Vault</v>
      </c>
      <c r="C2475" t="str">
        <v>Farm</v>
      </c>
      <c r="D2475" t="str">
        <v>-</v>
      </c>
      <c r="E2475">
        <v>6832506.5537492</v>
      </c>
      <c r="F2475">
        <v>0</v>
      </c>
    </row>
    <row r="2476" spans="2:6" ht="15.75" customHeight="1" x14ac:dyDescent="0.25">
      <c r="B2476" t="str">
        <v>Haiko</v>
      </c>
      <c r="C2476" t="str">
        <v>Dexs</v>
      </c>
      <c r="D2476" t="str">
        <v>-</v>
      </c>
      <c r="E2476">
        <v>180229.63806577673</v>
      </c>
      <c r="F2476">
        <v>0</v>
      </c>
    </row>
    <row r="2477" spans="2:6" ht="15.75" customHeight="1" x14ac:dyDescent="0.25">
      <c r="B2477" t="str">
        <v>Haiku</v>
      </c>
      <c r="C2477" t="str">
        <v>DEX Aggregator</v>
      </c>
      <c r="D2477" t="str">
        <v>-</v>
      </c>
      <c r="E2477">
        <v>0</v>
      </c>
      <c r="F2477">
        <v>0</v>
      </c>
    </row>
    <row r="2478" spans="2:6" ht="15.75" customHeight="1" x14ac:dyDescent="0.25">
      <c r="B2478" t="str">
        <v>Hakka Finance</v>
      </c>
      <c r="C2478" t="str">
        <v>Derivatives</v>
      </c>
      <c r="D2478" t="str">
        <v>HAKKA</v>
      </c>
      <c r="E2478">
        <v>6852157.0591039127</v>
      </c>
      <c r="F2478">
        <v>682159.77110995131</v>
      </c>
    </row>
    <row r="2479" spans="2:6" ht="15.75" customHeight="1" x14ac:dyDescent="0.25">
      <c r="B2479" t="str">
        <v>Hako</v>
      </c>
      <c r="C2479" t="str">
        <v>Yield</v>
      </c>
      <c r="D2479" t="str">
        <v>-</v>
      </c>
      <c r="E2479">
        <v>455.60074888166469</v>
      </c>
      <c r="F2479">
        <v>0</v>
      </c>
    </row>
    <row r="2480" spans="2:6" ht="15.75" customHeight="1" x14ac:dyDescent="0.25">
      <c r="B2480" t="str">
        <v>Hakura Protocol</v>
      </c>
      <c r="C2480" t="str">
        <v>Lending</v>
      </c>
      <c r="D2480" t="str">
        <v>-</v>
      </c>
      <c r="E2480">
        <v>1116.116032516366</v>
      </c>
      <c r="F2480">
        <v>0</v>
      </c>
    </row>
    <row r="2481" spans="2:6" ht="15.75" customHeight="1" x14ac:dyDescent="0.25">
      <c r="B2481" t="str">
        <v>HakuSwap</v>
      </c>
      <c r="C2481" t="str">
        <v>Dexs</v>
      </c>
      <c r="D2481" t="str">
        <v>HAKU</v>
      </c>
      <c r="E2481">
        <v>32267.218013628371</v>
      </c>
      <c r="F2481">
        <v>0</v>
      </c>
    </row>
    <row r="2482" spans="2:6" ht="15.75" customHeight="1" x14ac:dyDescent="0.25">
      <c r="B2482" t="str">
        <v>Hakutora</v>
      </c>
      <c r="C2482" t="str">
        <v>Risk Curators</v>
      </c>
      <c r="D2482" t="str">
        <v>-</v>
      </c>
      <c r="E2482">
        <v>21471075.260232698</v>
      </c>
      <c r="F2482">
        <v>0</v>
      </c>
    </row>
    <row r="2483" spans="2:6" ht="15.75" customHeight="1" x14ac:dyDescent="0.25">
      <c r="B2483" t="str">
        <v>Hallswap</v>
      </c>
      <c r="C2483" t="str">
        <v>DEX Aggregator</v>
      </c>
      <c r="D2483" t="str">
        <v>-</v>
      </c>
      <c r="E2483">
        <v>0</v>
      </c>
      <c r="F2483">
        <v>0</v>
      </c>
    </row>
    <row r="2484" spans="2:6" ht="15.75" customHeight="1" x14ac:dyDescent="0.25">
      <c r="B2484" t="str">
        <v>HaloDAO</v>
      </c>
      <c r="C2484" t="str">
        <v>Yield</v>
      </c>
      <c r="D2484" t="str">
        <v>RNBW</v>
      </c>
      <c r="E2484">
        <v>61609.483987620035</v>
      </c>
      <c r="F2484">
        <v>0</v>
      </c>
    </row>
    <row r="2485" spans="2:6" ht="15.75" customHeight="1" x14ac:dyDescent="0.25">
      <c r="B2485" t="str">
        <v>HaloFi</v>
      </c>
      <c r="C2485" t="str">
        <v>Services</v>
      </c>
      <c r="D2485" t="str">
        <v>-</v>
      </c>
      <c r="E2485">
        <v>24163.170575654905</v>
      </c>
      <c r="F2485">
        <v>0</v>
      </c>
    </row>
    <row r="2486" spans="2:6" ht="15.75" customHeight="1" x14ac:dyDescent="0.25">
      <c r="B2486" t="str">
        <v>HaloTrade Cosmos</v>
      </c>
      <c r="C2486" t="str">
        <v>Dexs</v>
      </c>
      <c r="D2486" t="str">
        <v>-</v>
      </c>
      <c r="E2486">
        <v>32125.537542316135</v>
      </c>
      <c r="F2486">
        <v>0</v>
      </c>
    </row>
    <row r="2487" spans="2:6" ht="15.75" customHeight="1" x14ac:dyDescent="0.25">
      <c r="B2487" t="str">
        <v>HaloTrade EVM</v>
      </c>
      <c r="C2487" t="str">
        <v>Dexs</v>
      </c>
      <c r="D2487" t="str">
        <v>-</v>
      </c>
      <c r="E2487">
        <v>0.8508192661904791</v>
      </c>
      <c r="F2487">
        <v>0</v>
      </c>
    </row>
    <row r="2488" spans="2:6" ht="15.75" customHeight="1" x14ac:dyDescent="0.25">
      <c r="B2488" t="str">
        <v>Hamburger Finance</v>
      </c>
      <c r="C2488" t="str">
        <v>Dexs</v>
      </c>
      <c r="D2488" t="str">
        <v>BURGER</v>
      </c>
      <c r="E2488">
        <v>1200.4521200253375</v>
      </c>
      <c r="F2488">
        <v>0</v>
      </c>
    </row>
    <row r="2489" spans="2:6" ht="15.75" customHeight="1" x14ac:dyDescent="0.25">
      <c r="B2489" t="str">
        <v>Hamilton Lane Senior Credit Opportunities Securitize Fund</v>
      </c>
      <c r="C2489" t="str">
        <v>RWA</v>
      </c>
      <c r="D2489" t="str">
        <v>HLSCOPE</v>
      </c>
      <c r="E2489">
        <v>8987537.4879008885</v>
      </c>
      <c r="F2489">
        <v>8988827.8100297637</v>
      </c>
    </row>
    <row r="2490" spans="2:6" ht="15.75" customHeight="1" x14ac:dyDescent="0.25">
      <c r="B2490" t="str">
        <v>Hana Finance</v>
      </c>
      <c r="C2490" t="str">
        <v>Lending</v>
      </c>
      <c r="D2490" t="str">
        <v>-</v>
      </c>
      <c r="E2490">
        <v>23861.388756139364</v>
      </c>
      <c r="F2490">
        <v>0</v>
      </c>
    </row>
    <row r="2491" spans="2:6" ht="15.75" customHeight="1" x14ac:dyDescent="0.25">
      <c r="B2491" t="str">
        <v>Hand of God</v>
      </c>
      <c r="C2491" t="str">
        <v>Farm</v>
      </c>
      <c r="D2491" t="str">
        <v>-</v>
      </c>
      <c r="E2491">
        <v>0</v>
      </c>
      <c r="F2491">
        <v>0</v>
      </c>
    </row>
    <row r="2492" spans="2:6" ht="15.75" customHeight="1" x14ac:dyDescent="0.25">
      <c r="B2492" t="str">
        <v>handle.fi</v>
      </c>
      <c r="C2492" t="str">
        <v>CDP</v>
      </c>
      <c r="D2492" t="str">
        <v>FOREX</v>
      </c>
      <c r="E2492">
        <v>5743.9212534542885</v>
      </c>
      <c r="F2492">
        <v>59423.207281740113</v>
      </c>
    </row>
    <row r="2493" spans="2:6" ht="15.75" customHeight="1" x14ac:dyDescent="0.25">
      <c r="B2493" t="str">
        <v>handle.fi hSP</v>
      </c>
      <c r="C2493" t="str">
        <v>Derivatives</v>
      </c>
      <c r="D2493" t="str">
        <v>FOREX</v>
      </c>
      <c r="E2493">
        <v>0</v>
      </c>
      <c r="F2493">
        <v>0</v>
      </c>
    </row>
    <row r="2494" spans="2:6" ht="15.75" customHeight="1" x14ac:dyDescent="0.25">
      <c r="B2494" t="str">
        <v>handle.fi Perps</v>
      </c>
      <c r="C2494" t="str">
        <v>Derivatives</v>
      </c>
      <c r="D2494" t="str">
        <v>FOREX</v>
      </c>
      <c r="E2494">
        <v>10.748443449590576</v>
      </c>
      <c r="F2494">
        <v>0</v>
      </c>
    </row>
    <row r="2495" spans="2:6" ht="15.75" customHeight="1" x14ac:dyDescent="0.25">
      <c r="B2495" t="str">
        <v>Hanji Protocol</v>
      </c>
      <c r="C2495" t="str">
        <v>Dexs</v>
      </c>
      <c r="D2495" t="str">
        <v>-</v>
      </c>
      <c r="E2495">
        <v>3289225.8535970487</v>
      </c>
      <c r="F2495">
        <v>0</v>
      </c>
    </row>
    <row r="2496" spans="2:6" ht="15.75" customHeight="1" x14ac:dyDescent="0.25">
      <c r="B2496" t="str">
        <v>Harbor Liquid Staking</v>
      </c>
      <c r="C2496" t="str">
        <v>Liquid Staking</v>
      </c>
      <c r="D2496" t="str">
        <v>HBR</v>
      </c>
      <c r="E2496">
        <v>0</v>
      </c>
      <c r="F2496">
        <v>0</v>
      </c>
    </row>
    <row r="2497" spans="2:6" ht="15.75" customHeight="1" x14ac:dyDescent="0.25">
      <c r="B2497" t="str">
        <v>Harbor Market</v>
      </c>
      <c r="C2497" t="str">
        <v>Lending</v>
      </c>
      <c r="D2497" t="str">
        <v>HBR</v>
      </c>
      <c r="E2497">
        <v>16.371699643063454</v>
      </c>
      <c r="F2497">
        <v>0</v>
      </c>
    </row>
    <row r="2498" spans="2:6" ht="15.75" customHeight="1" x14ac:dyDescent="0.25">
      <c r="B2498" t="str">
        <v>Harbor Protocol</v>
      </c>
      <c r="C2498" t="str">
        <v>CDP</v>
      </c>
      <c r="D2498" t="str">
        <v>-</v>
      </c>
      <c r="E2498">
        <v>0</v>
      </c>
      <c r="F2498">
        <v>0</v>
      </c>
    </row>
    <row r="2499" spans="2:6" ht="15.75" customHeight="1" x14ac:dyDescent="0.25">
      <c r="B2499" t="str">
        <v>HARD Swap</v>
      </c>
      <c r="C2499" t="str">
        <v>Dexs</v>
      </c>
      <c r="D2499" t="str">
        <v>HARD</v>
      </c>
      <c r="E2499">
        <v>230167.47458440441</v>
      </c>
      <c r="F2499">
        <v>0</v>
      </c>
    </row>
    <row r="2500" spans="2:6" ht="15.75" customHeight="1" x14ac:dyDescent="0.25">
      <c r="B2500" t="str">
        <v>Harmonix Finance</v>
      </c>
      <c r="C2500" t="str">
        <v>Yield</v>
      </c>
      <c r="D2500" t="str">
        <v>HAR</v>
      </c>
      <c r="E2500">
        <v>6588827.3678970002</v>
      </c>
      <c r="F2500">
        <v>0</v>
      </c>
    </row>
    <row r="2501" spans="2:6" ht="15.75" customHeight="1" x14ac:dyDescent="0.25">
      <c r="B2501" t="str">
        <v>Harvest Finance</v>
      </c>
      <c r="C2501" t="str">
        <v>Yield Aggregator</v>
      </c>
      <c r="D2501" t="str">
        <v>FARM</v>
      </c>
      <c r="E2501">
        <v>19366578.116490319</v>
      </c>
      <c r="F2501">
        <v>12698509.77549587</v>
      </c>
    </row>
    <row r="2502" spans="2:6" ht="15.75" customHeight="1" x14ac:dyDescent="0.25">
      <c r="B2502" t="str">
        <v>HARVEST FLOW</v>
      </c>
      <c r="C2502" t="str">
        <v>RWA Lending</v>
      </c>
      <c r="D2502" t="str">
        <v>-</v>
      </c>
      <c r="E2502">
        <v>525390.99898264674</v>
      </c>
      <c r="F2502">
        <v>0</v>
      </c>
    </row>
    <row r="2503" spans="2:6" ht="15.75" customHeight="1" x14ac:dyDescent="0.25">
      <c r="B2503" t="str">
        <v>HashAI</v>
      </c>
      <c r="C2503" t="str">
        <v>Farm</v>
      </c>
      <c r="D2503" t="str">
        <v>HASHAI</v>
      </c>
      <c r="E2503">
        <v>55557.051577575214</v>
      </c>
      <c r="F2503">
        <v>11134996.763427882</v>
      </c>
    </row>
    <row r="2504" spans="2:6" ht="15.75" customHeight="1" x14ac:dyDescent="0.25">
      <c r="B2504" t="str">
        <v>HashDAO Finance</v>
      </c>
      <c r="C2504" t="str">
        <v>Derivatives</v>
      </c>
      <c r="D2504" t="str">
        <v>HASH</v>
      </c>
      <c r="E2504">
        <v>0</v>
      </c>
      <c r="F2504">
        <v>0</v>
      </c>
    </row>
    <row r="2505" spans="2:6" ht="15.75" customHeight="1" x14ac:dyDescent="0.25">
      <c r="B2505" t="str">
        <v>Hashflow</v>
      </c>
      <c r="C2505" t="str">
        <v>DEX Aggregator</v>
      </c>
      <c r="D2505" t="str">
        <v>HFT</v>
      </c>
      <c r="E2505">
        <v>639222.28636142088</v>
      </c>
      <c r="F2505">
        <v>20329314.903332576</v>
      </c>
    </row>
    <row r="2506" spans="2:6" ht="15.75" customHeight="1" x14ac:dyDescent="0.25">
      <c r="B2506" t="str">
        <v>HashKing</v>
      </c>
      <c r="C2506" t="str">
        <v>Liquid Staking</v>
      </c>
      <c r="D2506" t="str">
        <v>-</v>
      </c>
      <c r="E2506">
        <v>655925.36867251655</v>
      </c>
      <c r="F2506">
        <v>0</v>
      </c>
    </row>
    <row r="2507" spans="2:6" ht="15.75" customHeight="1" x14ac:dyDescent="0.25">
      <c r="B2507" t="str">
        <v>HashMix FIL</v>
      </c>
      <c r="C2507" t="str">
        <v>Liquid Staking</v>
      </c>
      <c r="D2507" t="str">
        <v>cWFIL</v>
      </c>
      <c r="E2507">
        <v>164350.68137123121</v>
      </c>
      <c r="F2507">
        <v>0</v>
      </c>
    </row>
    <row r="2508" spans="2:6" ht="15.75" customHeight="1" x14ac:dyDescent="0.25">
      <c r="B2508" t="str">
        <v>Hashport</v>
      </c>
      <c r="C2508" t="str">
        <v>Bridge</v>
      </c>
      <c r="D2508" t="str">
        <v>-</v>
      </c>
      <c r="E2508">
        <v>4763117.4122137474</v>
      </c>
      <c r="F2508">
        <v>0</v>
      </c>
    </row>
    <row r="2509" spans="2:6" ht="15.75" customHeight="1" x14ac:dyDescent="0.25">
      <c r="B2509" t="str">
        <v>Hashstack</v>
      </c>
      <c r="C2509" t="str">
        <v>Lending</v>
      </c>
      <c r="D2509" t="str">
        <v>-</v>
      </c>
      <c r="E2509">
        <v>102490.56452040038</v>
      </c>
      <c r="F2509">
        <v>0</v>
      </c>
    </row>
    <row r="2510" spans="2:6" ht="15.75" customHeight="1" x14ac:dyDescent="0.25">
      <c r="B2510" t="str">
        <v>Hatom Booster</v>
      </c>
      <c r="C2510" t="str">
        <v>Yield</v>
      </c>
      <c r="D2510" t="str">
        <v>HTM</v>
      </c>
      <c r="E2510">
        <v>0</v>
      </c>
      <c r="F2510">
        <v>0</v>
      </c>
    </row>
    <row r="2511" spans="2:6" ht="15.75" customHeight="1" x14ac:dyDescent="0.25">
      <c r="B2511" t="str">
        <v>Hatom Lending</v>
      </c>
      <c r="C2511" t="str">
        <v>Lending</v>
      </c>
      <c r="D2511" t="str">
        <v>HTM</v>
      </c>
      <c r="E2511">
        <v>11147620.563789938</v>
      </c>
      <c r="F2511">
        <v>0</v>
      </c>
    </row>
    <row r="2512" spans="2:6" ht="15.75" customHeight="1" x14ac:dyDescent="0.25">
      <c r="B2512" t="str">
        <v>Hatom Liquid Staking</v>
      </c>
      <c r="C2512" t="str">
        <v>Liquid Staking</v>
      </c>
      <c r="D2512" t="str">
        <v>HTM</v>
      </c>
      <c r="E2512">
        <v>6188174.1618191293</v>
      </c>
      <c r="F2512">
        <v>0</v>
      </c>
    </row>
    <row r="2513" spans="2:6" ht="15.75" customHeight="1" x14ac:dyDescent="0.25">
      <c r="B2513" t="str">
        <v>Hatom TAO Bridge</v>
      </c>
      <c r="C2513" t="str">
        <v>Bridge</v>
      </c>
      <c r="D2513" t="str">
        <v>HTM</v>
      </c>
      <c r="E2513">
        <v>18135179.667433053</v>
      </c>
      <c r="F2513">
        <v>0</v>
      </c>
    </row>
    <row r="2514" spans="2:6" ht="15.75" customHeight="1" x14ac:dyDescent="0.25">
      <c r="B2514" t="str">
        <v>Hatom TAO Liquid Staking</v>
      </c>
      <c r="C2514" t="str">
        <v>Liquid Staking</v>
      </c>
      <c r="D2514" t="str">
        <v>HTM</v>
      </c>
      <c r="E2514">
        <v>1570443.5947910589</v>
      </c>
      <c r="F2514">
        <v>0</v>
      </c>
    </row>
    <row r="2515" spans="2:6" ht="15.75" customHeight="1" x14ac:dyDescent="0.25">
      <c r="B2515" t="str">
        <v>Hats.V1</v>
      </c>
      <c r="C2515" t="str">
        <v>Bug Bounty</v>
      </c>
      <c r="D2515" t="str">
        <v>-</v>
      </c>
      <c r="E2515">
        <v>29356.792452579419</v>
      </c>
      <c r="F2515">
        <v>0</v>
      </c>
    </row>
    <row r="2516" spans="2:6" ht="15.75" customHeight="1" x14ac:dyDescent="0.25">
      <c r="B2516" t="str">
        <v>Hats.V2</v>
      </c>
      <c r="C2516" t="str">
        <v>Bug Bounty</v>
      </c>
      <c r="D2516" t="str">
        <v>-</v>
      </c>
      <c r="E2516">
        <v>291454.49031976156</v>
      </c>
      <c r="F2516">
        <v>0</v>
      </c>
    </row>
    <row r="2517" spans="2:6" ht="15.75" customHeight="1" x14ac:dyDescent="0.25">
      <c r="B2517" t="str">
        <v>Haven1 hLend</v>
      </c>
      <c r="C2517" t="str">
        <v>Lending</v>
      </c>
      <c r="D2517" t="str">
        <v>-</v>
      </c>
      <c r="E2517">
        <v>218.2208594895514</v>
      </c>
      <c r="F2517">
        <v>0</v>
      </c>
    </row>
    <row r="2518" spans="2:6" ht="15.75" customHeight="1" x14ac:dyDescent="0.25">
      <c r="B2518" t="str">
        <v>Haven1 hSwap</v>
      </c>
      <c r="C2518" t="str">
        <v>Dexs</v>
      </c>
      <c r="D2518" t="str">
        <v>-</v>
      </c>
      <c r="E2518">
        <v>6670.2287741455239</v>
      </c>
      <c r="F2518">
        <v>0</v>
      </c>
    </row>
    <row r="2519" spans="2:6" ht="15.75" customHeight="1" x14ac:dyDescent="0.25">
      <c r="B2519" t="str">
        <v>HawkFi</v>
      </c>
      <c r="C2519" t="str">
        <v>Liquidity manager</v>
      </c>
      <c r="D2519" t="str">
        <v>HAWK</v>
      </c>
      <c r="E2519">
        <v>8059794.3802896757</v>
      </c>
      <c r="F2519">
        <v>33474.642488403973</v>
      </c>
    </row>
    <row r="2520" spans="2:6" ht="15.75" customHeight="1" x14ac:dyDescent="0.25">
      <c r="B2520" t="str">
        <v>Haystack</v>
      </c>
      <c r="C2520" t="str">
        <v>Trading App</v>
      </c>
      <c r="D2520" t="str">
        <v>HAY</v>
      </c>
      <c r="E2520">
        <v>0</v>
      </c>
      <c r="F2520">
        <v>1030352.7244142992</v>
      </c>
    </row>
    <row r="2521" spans="2:6" ht="15.75" customHeight="1" x14ac:dyDescent="0.25">
      <c r="B2521" t="str">
        <v>HbarSuite</v>
      </c>
      <c r="C2521" t="str">
        <v>Dexs</v>
      </c>
      <c r="D2521" t="str">
        <v>HSUITE</v>
      </c>
      <c r="E2521">
        <v>1410915</v>
      </c>
      <c r="F2521">
        <v>3244219.1256996966</v>
      </c>
    </row>
    <row r="2522" spans="2:6" ht="15.75" customHeight="1" x14ac:dyDescent="0.25">
      <c r="B2522" t="str">
        <v>hBTC</v>
      </c>
      <c r="C2522" t="str">
        <v>Bridge</v>
      </c>
      <c r="D2522" t="str">
        <v>-</v>
      </c>
      <c r="E2522">
        <v>0</v>
      </c>
      <c r="F2522">
        <v>0</v>
      </c>
    </row>
    <row r="2523" spans="2:6" ht="15.75" customHeight="1" x14ac:dyDescent="0.25">
      <c r="B2523" t="str">
        <v>HeadStarter</v>
      </c>
      <c r="C2523" t="str">
        <v>Launchpad</v>
      </c>
      <c r="D2523" t="str">
        <v>HST</v>
      </c>
      <c r="E2523">
        <v>71482.83004976438</v>
      </c>
      <c r="F2523">
        <v>456026.65563964902</v>
      </c>
    </row>
    <row r="2524" spans="2:6" ht="15.75" customHeight="1" x14ac:dyDescent="0.25">
      <c r="B2524" t="str">
        <v>Heaven</v>
      </c>
      <c r="C2524" t="str">
        <v>Dexs</v>
      </c>
      <c r="D2524" t="str">
        <v>LIGHT</v>
      </c>
      <c r="E2524">
        <v>0</v>
      </c>
      <c r="F2524">
        <v>2072018.5950279781</v>
      </c>
    </row>
    <row r="2525" spans="2:6" ht="15.75" customHeight="1" x14ac:dyDescent="0.25">
      <c r="B2525" t="str">
        <v>HebeSwap</v>
      </c>
      <c r="C2525" t="str">
        <v>Dexs</v>
      </c>
      <c r="D2525" t="str">
        <v>HEBE</v>
      </c>
      <c r="E2525">
        <v>74853.943946003128</v>
      </c>
      <c r="F2525">
        <v>0</v>
      </c>
    </row>
    <row r="2526" spans="2:6" ht="15.75" customHeight="1" x14ac:dyDescent="0.25">
      <c r="B2526" t="str">
        <v>Hectagon</v>
      </c>
      <c r="C2526" t="str">
        <v>Services</v>
      </c>
      <c r="D2526" t="str">
        <v>HECTA</v>
      </c>
      <c r="E2526">
        <v>0.49046491246552298</v>
      </c>
      <c r="F2526">
        <v>0</v>
      </c>
    </row>
    <row r="2527" spans="2:6" ht="15.75" customHeight="1" x14ac:dyDescent="0.25">
      <c r="B2527" t="str">
        <v>Hector Lending</v>
      </c>
      <c r="C2527" t="str">
        <v>Lending</v>
      </c>
      <c r="D2527" t="str">
        <v>HEC</v>
      </c>
      <c r="E2527">
        <v>7668.2948913431355</v>
      </c>
      <c r="F2527">
        <v>0</v>
      </c>
    </row>
    <row r="2528" spans="2:6" ht="15.75" customHeight="1" x14ac:dyDescent="0.25">
      <c r="B2528" t="str">
        <v>Hector Treasury</v>
      </c>
      <c r="C2528" t="str">
        <v>Reserve Currency</v>
      </c>
      <c r="D2528" t="str">
        <v>HEC</v>
      </c>
      <c r="E2528">
        <v>0</v>
      </c>
      <c r="F2528">
        <v>0</v>
      </c>
    </row>
    <row r="2529" spans="2:6" ht="15.75" customHeight="1" x14ac:dyDescent="0.25">
      <c r="B2529" t="str">
        <v>Hedge</v>
      </c>
      <c r="C2529" t="str">
        <v>CDP</v>
      </c>
      <c r="D2529" t="str">
        <v>HDG</v>
      </c>
      <c r="E2529">
        <v>56224.15252965421</v>
      </c>
      <c r="F2529">
        <v>0</v>
      </c>
    </row>
    <row r="2530" spans="2:6" ht="15.75" customHeight="1" x14ac:dyDescent="0.25">
      <c r="B2530" t="str">
        <v>HedgeFarm</v>
      </c>
      <c r="C2530" t="str">
        <v>Yield</v>
      </c>
      <c r="D2530" t="str">
        <v>-</v>
      </c>
      <c r="E2530">
        <v>36357.576101649014</v>
      </c>
      <c r="F2530">
        <v>0</v>
      </c>
    </row>
    <row r="2531" spans="2:6" ht="15.75" customHeight="1" x14ac:dyDescent="0.25">
      <c r="B2531" t="str">
        <v>Hedgehog</v>
      </c>
      <c r="C2531" t="str">
        <v>Liquidity manager</v>
      </c>
      <c r="D2531" t="str">
        <v>HEDGEHOG</v>
      </c>
      <c r="E2531">
        <v>33646.65262944928</v>
      </c>
      <c r="F2531">
        <v>0</v>
      </c>
    </row>
    <row r="2532" spans="2:6" ht="15.75" customHeight="1" x14ac:dyDescent="0.25">
      <c r="B2532" t="str">
        <v>Hedgehog Markets</v>
      </c>
      <c r="C2532" t="str">
        <v>Prediction Market</v>
      </c>
      <c r="D2532" t="str">
        <v>-</v>
      </c>
      <c r="E2532">
        <v>51818.634249826893</v>
      </c>
      <c r="F2532">
        <v>0</v>
      </c>
    </row>
    <row r="2533" spans="2:6" ht="15.75" customHeight="1" x14ac:dyDescent="0.25">
      <c r="B2533" t="str">
        <v>Hedgey</v>
      </c>
      <c r="C2533" t="str">
        <v>Payments</v>
      </c>
      <c r="D2533" t="str">
        <v>-</v>
      </c>
      <c r="E2533">
        <v>10308.854785317995</v>
      </c>
      <c r="F2533">
        <v>0</v>
      </c>
    </row>
    <row r="2534" spans="2:6" ht="15.75" customHeight="1" x14ac:dyDescent="0.25">
      <c r="B2534" t="str">
        <v>Hegic</v>
      </c>
      <c r="C2534" t="str">
        <v>Options</v>
      </c>
      <c r="D2534" t="str">
        <v>HEGIC</v>
      </c>
      <c r="E2534">
        <v>12877695.841772225</v>
      </c>
      <c r="F2534">
        <v>24507287.685262591</v>
      </c>
    </row>
    <row r="2535" spans="2:6" ht="15.75" customHeight="1" x14ac:dyDescent="0.25">
      <c r="B2535" t="str">
        <v>HeLa Bridge</v>
      </c>
      <c r="C2535" t="str">
        <v>Bridge</v>
      </c>
      <c r="D2535" t="str">
        <v>-</v>
      </c>
      <c r="E2535">
        <v>88032.089482329509</v>
      </c>
      <c r="F2535">
        <v>0</v>
      </c>
    </row>
    <row r="2536" spans="2:6" ht="15.75" customHeight="1" x14ac:dyDescent="0.25">
      <c r="B2536" t="str">
        <v>Helio</v>
      </c>
      <c r="C2536" t="str">
        <v>Payments</v>
      </c>
      <c r="D2536" t="str">
        <v>-</v>
      </c>
      <c r="E2536">
        <v>0</v>
      </c>
      <c r="F2536">
        <v>0</v>
      </c>
    </row>
    <row r="2537" spans="2:6" ht="15.75" customHeight="1" x14ac:dyDescent="0.25">
      <c r="B2537" t="str">
        <v>Helios Prime</v>
      </c>
      <c r="C2537" t="str">
        <v>Indexes</v>
      </c>
      <c r="D2537" t="str">
        <v>-</v>
      </c>
      <c r="E2537">
        <v>266.34880095909278</v>
      </c>
      <c r="F2537">
        <v>0</v>
      </c>
    </row>
    <row r="2538" spans="2:6" ht="15.75" customHeight="1" x14ac:dyDescent="0.25">
      <c r="B2538" t="str">
        <v>HeliSwap</v>
      </c>
      <c r="C2538" t="str">
        <v>Dexs</v>
      </c>
      <c r="D2538" t="str">
        <v>HELI</v>
      </c>
      <c r="E2538">
        <v>108465.27619335822</v>
      </c>
      <c r="F2538">
        <v>0</v>
      </c>
    </row>
    <row r="2539" spans="2:6" ht="15.75" customHeight="1" x14ac:dyDescent="0.25">
      <c r="B2539" t="str">
        <v>Helium Network</v>
      </c>
      <c r="C2539" t="str">
        <v>DePIN</v>
      </c>
      <c r="D2539" t="str">
        <v>HNT</v>
      </c>
      <c r="E2539">
        <v>0</v>
      </c>
      <c r="F2539">
        <v>275100596.74352551</v>
      </c>
    </row>
    <row r="2540" spans="2:6" ht="15.75" customHeight="1" x14ac:dyDescent="0.25">
      <c r="B2540" t="str">
        <v>Helius Staked SOL</v>
      </c>
      <c r="C2540" t="str">
        <v>Liquid Staking</v>
      </c>
      <c r="D2540" t="str">
        <v>-</v>
      </c>
      <c r="E2540">
        <v>76464856.974679559</v>
      </c>
      <c r="F2540">
        <v>0</v>
      </c>
    </row>
    <row r="2541" spans="2:6" ht="15.75" customHeight="1" x14ac:dyDescent="0.25">
      <c r="B2541" t="str">
        <v>HELIX Finance</v>
      </c>
      <c r="C2541" t="str">
        <v>RWA Lending</v>
      </c>
      <c r="D2541" t="str">
        <v>-</v>
      </c>
      <c r="E2541">
        <v>0</v>
      </c>
      <c r="F2541">
        <v>0</v>
      </c>
    </row>
    <row r="2542" spans="2:6" ht="15.75" customHeight="1" x14ac:dyDescent="0.25">
      <c r="B2542" t="str">
        <v>Helix Markets</v>
      </c>
      <c r="C2542" t="str">
        <v>Dexs</v>
      </c>
      <c r="D2542" t="str">
        <v>-</v>
      </c>
      <c r="E2542">
        <v>0</v>
      </c>
      <c r="F2542">
        <v>0</v>
      </c>
    </row>
    <row r="2543" spans="2:6" ht="15.75" customHeight="1" x14ac:dyDescent="0.25">
      <c r="B2543" t="str">
        <v>Helix Perp</v>
      </c>
      <c r="C2543" t="str">
        <v>Derivatives</v>
      </c>
      <c r="D2543" t="str">
        <v>-</v>
      </c>
      <c r="E2543">
        <v>11028888.463548638</v>
      </c>
      <c r="F2543">
        <v>0</v>
      </c>
    </row>
    <row r="2544" spans="2:6" ht="15.75" customHeight="1" x14ac:dyDescent="0.25">
      <c r="B2544" t="str">
        <v>Helix Spot</v>
      </c>
      <c r="C2544" t="str">
        <v>Dexs</v>
      </c>
      <c r="D2544" t="str">
        <v>-</v>
      </c>
      <c r="E2544">
        <v>2042581.9412923879</v>
      </c>
      <c r="F2544">
        <v>0</v>
      </c>
    </row>
    <row r="2545" spans="2:6" ht="15.75" customHeight="1" x14ac:dyDescent="0.25">
      <c r="B2545" t="str">
        <v>Hemi</v>
      </c>
      <c r="C2545" t="str">
        <v>Canonical Bridge</v>
      </c>
      <c r="D2545" t="str">
        <v>-</v>
      </c>
      <c r="E2545">
        <v>8445792.6265073698</v>
      </c>
      <c r="F2545">
        <v>0</v>
      </c>
    </row>
    <row r="2546" spans="2:6" ht="15.75" customHeight="1" x14ac:dyDescent="0.25">
      <c r="B2546" t="str">
        <v>Hemi Staking</v>
      </c>
      <c r="C2546" t="str">
        <v>Farm</v>
      </c>
      <c r="D2546" t="str">
        <v>-</v>
      </c>
      <c r="E2546">
        <v>54616681.358722374</v>
      </c>
      <c r="F2546">
        <v>0</v>
      </c>
    </row>
    <row r="2547" spans="2:6" ht="15.75" customHeight="1" x14ac:dyDescent="0.25">
      <c r="B2547" t="str">
        <v>hemiBTC</v>
      </c>
      <c r="C2547" t="str">
        <v>Bridge</v>
      </c>
      <c r="D2547" t="str">
        <v>-</v>
      </c>
      <c r="E2547">
        <v>4308430.2233091127</v>
      </c>
      <c r="F2547">
        <v>0</v>
      </c>
    </row>
    <row r="2548" spans="2:6" ht="15.75" customHeight="1" x14ac:dyDescent="0.25">
      <c r="B2548" t="str">
        <v>Henjin DEX</v>
      </c>
      <c r="C2548" t="str">
        <v>Dexs</v>
      </c>
      <c r="D2548" t="str">
        <v>-</v>
      </c>
      <c r="E2548">
        <v>2338.8150581353775</v>
      </c>
      <c r="F2548">
        <v>0</v>
      </c>
    </row>
    <row r="2549" spans="2:6" ht="15.75" customHeight="1" x14ac:dyDescent="0.25">
      <c r="B2549" t="str">
        <v>Hera Finance</v>
      </c>
      <c r="C2549" t="str">
        <v>Dexs</v>
      </c>
      <c r="D2549" t="str">
        <v>HERA</v>
      </c>
      <c r="E2549">
        <v>0</v>
      </c>
      <c r="F2549">
        <v>4929509.8319496363</v>
      </c>
    </row>
    <row r="2550" spans="2:6" ht="15.75" customHeight="1" x14ac:dyDescent="0.25">
      <c r="B2550" t="str">
        <v>Heraswap</v>
      </c>
      <c r="C2550" t="str">
        <v>Dexs</v>
      </c>
      <c r="D2550" t="str">
        <v>-</v>
      </c>
      <c r="E2550">
        <v>0</v>
      </c>
      <c r="F2550">
        <v>0</v>
      </c>
    </row>
    <row r="2551" spans="2:6" ht="15.75" customHeight="1" x14ac:dyDescent="0.25">
      <c r="B2551" t="str">
        <v>Hercules V2</v>
      </c>
      <c r="C2551" t="str">
        <v>Dexs</v>
      </c>
      <c r="D2551" t="str">
        <v>TORCH</v>
      </c>
      <c r="E2551">
        <v>23068.812674780856</v>
      </c>
      <c r="F2551">
        <v>0</v>
      </c>
    </row>
    <row r="2552" spans="2:6" ht="15.75" customHeight="1" x14ac:dyDescent="0.25">
      <c r="B2552" t="str">
        <v>Hercules V3</v>
      </c>
      <c r="C2552" t="str">
        <v>Dexs</v>
      </c>
      <c r="D2552" t="str">
        <v>TORCH</v>
      </c>
      <c r="E2552">
        <v>440338.04015671939</v>
      </c>
      <c r="F2552">
        <v>0</v>
      </c>
    </row>
    <row r="2553" spans="2:6" ht="15.75" customHeight="1" x14ac:dyDescent="0.25">
      <c r="B2553" t="str">
        <v>HERE Wallet staking</v>
      </c>
      <c r="C2553" t="str">
        <v>Liquid Staking</v>
      </c>
      <c r="D2553" t="str">
        <v>-</v>
      </c>
      <c r="E2553">
        <v>776369.49412594654</v>
      </c>
      <c r="F2553">
        <v>0</v>
      </c>
    </row>
    <row r="2554" spans="2:6" ht="15.75" customHeight="1" x14ac:dyDescent="0.25">
      <c r="B2554" t="str">
        <v>Hermes Defi</v>
      </c>
      <c r="C2554" t="str">
        <v>Yield</v>
      </c>
      <c r="D2554" t="str">
        <v>IRIS</v>
      </c>
      <c r="E2554">
        <v>817.97739478895971</v>
      </c>
      <c r="F2554">
        <v>0</v>
      </c>
    </row>
    <row r="2555" spans="2:6" ht="15.75" customHeight="1" x14ac:dyDescent="0.25">
      <c r="B2555" t="str">
        <v>Hermes Finance</v>
      </c>
      <c r="C2555" t="str">
        <v>Algo-Stables</v>
      </c>
      <c r="D2555" t="str">
        <v>HERMES</v>
      </c>
      <c r="E2555">
        <v>0</v>
      </c>
      <c r="F2555">
        <v>2929.9993678062683</v>
      </c>
    </row>
    <row r="2556" spans="2:6" ht="15.75" customHeight="1" x14ac:dyDescent="0.25">
      <c r="B2556" t="str">
        <v>Hermes Protocol</v>
      </c>
      <c r="C2556" t="str">
        <v>Dexs</v>
      </c>
      <c r="D2556" t="str">
        <v>HERMES</v>
      </c>
      <c r="E2556">
        <v>416283.51025234064</v>
      </c>
      <c r="F2556">
        <v>0</v>
      </c>
    </row>
    <row r="2557" spans="2:6" ht="15.75" customHeight="1" x14ac:dyDescent="0.25">
      <c r="B2557" t="str">
        <v>Hermes V2</v>
      </c>
      <c r="C2557" t="str">
        <v>Yield</v>
      </c>
      <c r="D2557" t="str">
        <v>HERMES</v>
      </c>
      <c r="E2557">
        <v>159436.07385173033</v>
      </c>
      <c r="F2557">
        <v>332462.19152784778</v>
      </c>
    </row>
    <row r="2558" spans="2:6" ht="15.75" customHeight="1" x14ac:dyDescent="0.25">
      <c r="B2558" t="str">
        <v>Hermetica USDh</v>
      </c>
      <c r="C2558" t="str">
        <v>Basis Trading</v>
      </c>
      <c r="D2558" t="str">
        <v>-</v>
      </c>
      <c r="E2558">
        <v>5240444.7651734129</v>
      </c>
      <c r="F2558">
        <v>0</v>
      </c>
    </row>
    <row r="2559" spans="2:6" ht="15.75" customHeight="1" x14ac:dyDescent="0.25">
      <c r="B2559" t="str">
        <v>Hero Blaze</v>
      </c>
      <c r="C2559" t="str">
        <v>Gaming</v>
      </c>
      <c r="D2559" t="str">
        <v>MUDOL2</v>
      </c>
      <c r="E2559">
        <v>0</v>
      </c>
      <c r="F2559">
        <v>0</v>
      </c>
    </row>
    <row r="2560" spans="2:6" ht="15.75" customHeight="1" x14ac:dyDescent="0.25">
      <c r="B2560" t="str">
        <v>Heroes of Mavia</v>
      </c>
      <c r="C2560" t="str">
        <v>Gaming</v>
      </c>
      <c r="D2560" t="str">
        <v>MAVIA</v>
      </c>
      <c r="E2560">
        <v>0</v>
      </c>
      <c r="F2560">
        <v>3149847.4450773112</v>
      </c>
    </row>
    <row r="2561" spans="2:6" ht="15.75" customHeight="1" x14ac:dyDescent="0.25">
      <c r="B2561" t="str">
        <v>Hex</v>
      </c>
      <c r="C2561" t="str">
        <v>Yield</v>
      </c>
      <c r="D2561" t="str">
        <v>HEX</v>
      </c>
      <c r="E2561">
        <v>0</v>
      </c>
      <c r="F2561">
        <v>0</v>
      </c>
    </row>
    <row r="2562" spans="2:6" ht="15.75" customHeight="1" x14ac:dyDescent="0.25">
      <c r="B2562" t="str">
        <v>Hexal</v>
      </c>
      <c r="C2562" t="str">
        <v>Reserve Currency</v>
      </c>
      <c r="D2562" t="str">
        <v>HXL</v>
      </c>
      <c r="E2562">
        <v>1.8956989579920938</v>
      </c>
      <c r="F2562">
        <v>0</v>
      </c>
    </row>
    <row r="2563" spans="2:6" ht="15.75" customHeight="1" x14ac:dyDescent="0.25">
      <c r="B2563" t="str">
        <v>Hexaswap</v>
      </c>
      <c r="C2563" t="str">
        <v>Dexs</v>
      </c>
      <c r="D2563" t="str">
        <v>HEXA</v>
      </c>
      <c r="E2563">
        <v>3.959348372393213</v>
      </c>
      <c r="F2563">
        <v>0</v>
      </c>
    </row>
    <row r="2564" spans="2:6" ht="15.75" customHeight="1" x14ac:dyDescent="0.25">
      <c r="B2564" t="str">
        <v>HFIone</v>
      </c>
      <c r="C2564" t="str">
        <v>Yield</v>
      </c>
      <c r="D2564" t="str">
        <v>HFI</v>
      </c>
      <c r="E2564">
        <v>0</v>
      </c>
      <c r="F2564">
        <v>0</v>
      </c>
    </row>
    <row r="2565" spans="2:6" ht="15.75" customHeight="1" x14ac:dyDescent="0.25">
      <c r="B2565" t="str">
        <v>Hfun</v>
      </c>
      <c r="C2565" t="str">
        <v>Launchpad</v>
      </c>
      <c r="D2565" t="str">
        <v>HFUN</v>
      </c>
      <c r="E2565">
        <v>0</v>
      </c>
      <c r="F2565">
        <v>14948875.476521995</v>
      </c>
    </row>
    <row r="2566" spans="2:6" ht="15.75" customHeight="1" x14ac:dyDescent="0.25">
      <c r="B2566" t="str">
        <v>hi.market</v>
      </c>
      <c r="C2566" t="str">
        <v>SoFi</v>
      </c>
      <c r="D2566" t="str">
        <v>-</v>
      </c>
      <c r="E2566">
        <v>312.798311121192</v>
      </c>
      <c r="F2566">
        <v>0</v>
      </c>
    </row>
    <row r="2567" spans="2:6" ht="15.75" customHeight="1" x14ac:dyDescent="0.25">
      <c r="B2567" t="str">
        <v>Hibachi</v>
      </c>
      <c r="C2567" t="str">
        <v>Derivatives</v>
      </c>
      <c r="D2567" t="str">
        <v>-</v>
      </c>
      <c r="E2567">
        <v>0</v>
      </c>
      <c r="F2567">
        <v>0</v>
      </c>
    </row>
    <row r="2568" spans="2:6" ht="15.75" customHeight="1" x14ac:dyDescent="0.25">
      <c r="B2568" t="str">
        <v>Hidden Hand</v>
      </c>
      <c r="C2568" t="str">
        <v>Governance Incentives</v>
      </c>
      <c r="D2568" t="str">
        <v>BTRFLY</v>
      </c>
      <c r="E2568">
        <v>1103720.1016598153</v>
      </c>
      <c r="F2568">
        <v>0</v>
      </c>
    </row>
    <row r="2569" spans="2:6" ht="15.75" customHeight="1" x14ac:dyDescent="0.25">
      <c r="B2569" t="str">
        <v>Hinkal</v>
      </c>
      <c r="C2569" t="str">
        <v>Privacy</v>
      </c>
      <c r="D2569" t="str">
        <v>-</v>
      </c>
      <c r="E2569">
        <v>1779947.7488747847</v>
      </c>
      <c r="F2569">
        <v>0</v>
      </c>
    </row>
    <row r="2570" spans="2:6" ht="15.75" customHeight="1" x14ac:dyDescent="0.25">
      <c r="B2570" t="str">
        <v>Hipo</v>
      </c>
      <c r="C2570" t="str">
        <v>Liquid Staking</v>
      </c>
      <c r="D2570" t="str">
        <v>-</v>
      </c>
      <c r="E2570">
        <v>1676805.6742969877</v>
      </c>
      <c r="F2570">
        <v>0</v>
      </c>
    </row>
    <row r="2571" spans="2:6" ht="15.75" customHeight="1" x14ac:dyDescent="0.25">
      <c r="B2571" t="str">
        <v>HipPoWSwap</v>
      </c>
      <c r="C2571" t="str">
        <v>Dexs</v>
      </c>
      <c r="D2571" t="str">
        <v>HSWAP</v>
      </c>
      <c r="E2571">
        <v>1.823023220946876E-3</v>
      </c>
      <c r="F2571">
        <v>0</v>
      </c>
    </row>
    <row r="2572" spans="2:6" ht="15.75" customHeight="1" x14ac:dyDescent="0.25">
      <c r="B2572" t="str">
        <v>Hits4fun</v>
      </c>
      <c r="C2572" t="str">
        <v>Options</v>
      </c>
      <c r="D2572" t="str">
        <v>-</v>
      </c>
      <c r="E2572">
        <v>112.21281075520101</v>
      </c>
      <c r="F2572">
        <v>0</v>
      </c>
    </row>
    <row r="2573" spans="2:6" ht="15.75" customHeight="1" x14ac:dyDescent="0.25">
      <c r="B2573" t="str">
        <v>Hivemapper</v>
      </c>
      <c r="C2573" t="str">
        <v>DePIN</v>
      </c>
      <c r="D2573" t="str">
        <v>HONEY</v>
      </c>
      <c r="E2573">
        <v>0</v>
      </c>
      <c r="F2573">
        <v>0</v>
      </c>
    </row>
    <row r="2574" spans="2:6" ht="15.75" customHeight="1" x14ac:dyDescent="0.25">
      <c r="B2574" t="str">
        <v>HiveSwap Pro</v>
      </c>
      <c r="C2574" t="str">
        <v>Liquidity manager</v>
      </c>
      <c r="D2574" t="str">
        <v>-</v>
      </c>
      <c r="E2574">
        <v>320144.5121462582</v>
      </c>
      <c r="F2574">
        <v>0</v>
      </c>
    </row>
    <row r="2575" spans="2:6" ht="15.75" customHeight="1" x14ac:dyDescent="0.25">
      <c r="B2575" t="str">
        <v>HiveSwap V2</v>
      </c>
      <c r="C2575" t="str">
        <v>Dexs</v>
      </c>
      <c r="D2575" t="str">
        <v>-</v>
      </c>
      <c r="E2575">
        <v>1968.4102554594679</v>
      </c>
      <c r="F2575">
        <v>0</v>
      </c>
    </row>
    <row r="2576" spans="2:6" ht="15.75" customHeight="1" x14ac:dyDescent="0.25">
      <c r="B2576" t="str">
        <v>HiveSwap V3</v>
      </c>
      <c r="C2576" t="str">
        <v>Dexs</v>
      </c>
      <c r="D2576" t="str">
        <v>-</v>
      </c>
      <c r="E2576">
        <v>7892437.9887680802</v>
      </c>
      <c r="F2576">
        <v>0</v>
      </c>
    </row>
    <row r="2577" spans="2:6" ht="15.75" customHeight="1" x14ac:dyDescent="0.25">
      <c r="B2577" t="str">
        <v>HiYield</v>
      </c>
      <c r="C2577" t="str">
        <v>RWA</v>
      </c>
      <c r="D2577" t="str">
        <v>-</v>
      </c>
      <c r="E2577">
        <v>3728715.7894101935</v>
      </c>
      <c r="F2577">
        <v>0</v>
      </c>
    </row>
    <row r="2578" spans="2:6" ht="15.75" customHeight="1" x14ac:dyDescent="0.25">
      <c r="B2578" t="str">
        <v>HLiquity</v>
      </c>
      <c r="C2578" t="str">
        <v>CDP</v>
      </c>
      <c r="D2578" t="str">
        <v>-</v>
      </c>
      <c r="E2578">
        <v>4.7258334978262868E-5</v>
      </c>
      <c r="F2578">
        <v>0</v>
      </c>
    </row>
    <row r="2579" spans="2:6" ht="15.75" customHeight="1" x14ac:dyDescent="0.25">
      <c r="B2579" t="str">
        <v>HLP0</v>
      </c>
      <c r="C2579" t="str">
        <v>Yield</v>
      </c>
      <c r="D2579" t="str">
        <v>HLP0</v>
      </c>
      <c r="E2579">
        <v>414181.05857652426</v>
      </c>
      <c r="F2579">
        <v>0</v>
      </c>
    </row>
    <row r="2580" spans="2:6" ht="15.75" customHeight="1" x14ac:dyDescent="0.25">
      <c r="B2580" t="str">
        <v>HMX</v>
      </c>
      <c r="C2580" t="str">
        <v>Derivatives</v>
      </c>
      <c r="D2580" t="str">
        <v>HMX</v>
      </c>
      <c r="E2580">
        <v>438393.64877139858</v>
      </c>
      <c r="F2580">
        <v>0</v>
      </c>
    </row>
    <row r="2581" spans="2:6" ht="15.75" customHeight="1" x14ac:dyDescent="0.25">
      <c r="B2581" t="str">
        <v>Hodl Fox</v>
      </c>
      <c r="C2581" t="str">
        <v>Services</v>
      </c>
      <c r="D2581" t="str">
        <v>-</v>
      </c>
      <c r="E2581">
        <v>1.1599999999999999</v>
      </c>
      <c r="F2581">
        <v>0</v>
      </c>
    </row>
    <row r="2582" spans="2:6" ht="15.75" customHeight="1" x14ac:dyDescent="0.25">
      <c r="B2582" t="str">
        <v>Hodlify</v>
      </c>
      <c r="C2582" t="str">
        <v>Yield Aggregator</v>
      </c>
      <c r="D2582" t="str">
        <v>-</v>
      </c>
      <c r="E2582">
        <v>575.9518658291978</v>
      </c>
      <c r="F2582">
        <v>0</v>
      </c>
    </row>
    <row r="2583" spans="2:6" ht="15.75" customHeight="1" x14ac:dyDescent="0.25">
      <c r="B2583" t="str">
        <v>Hodltree</v>
      </c>
      <c r="C2583" t="str">
        <v>Lending</v>
      </c>
      <c r="D2583" t="str">
        <v>HTRE</v>
      </c>
      <c r="E2583">
        <v>22663.79507331373</v>
      </c>
      <c r="F2583">
        <v>466679.96395345486</v>
      </c>
    </row>
    <row r="2584" spans="2:6" ht="15.75" customHeight="1" x14ac:dyDescent="0.25">
      <c r="B2584" t="str">
        <v>Holdr</v>
      </c>
      <c r="C2584" t="str">
        <v>Dexs</v>
      </c>
      <c r="D2584" t="str">
        <v>HLDR</v>
      </c>
      <c r="E2584">
        <v>1828.9031213257961</v>
      </c>
      <c r="F2584">
        <v>0</v>
      </c>
    </row>
    <row r="2585" spans="2:6" ht="15.75" customHeight="1" x14ac:dyDescent="0.25">
      <c r="B2585" t="str">
        <v>HoldStation DeFutures</v>
      </c>
      <c r="C2585" t="str">
        <v>Derivatives</v>
      </c>
      <c r="D2585" t="str">
        <v>HOLD</v>
      </c>
      <c r="E2585">
        <v>281540.08303776267</v>
      </c>
      <c r="F2585">
        <v>0</v>
      </c>
    </row>
    <row r="2586" spans="2:6" ht="15.75" customHeight="1" x14ac:dyDescent="0.25">
      <c r="B2586" t="str">
        <v>Holdstation Swap</v>
      </c>
      <c r="C2586" t="str">
        <v>Dexs</v>
      </c>
      <c r="D2586" t="str">
        <v>HOLD</v>
      </c>
      <c r="E2586">
        <v>74779.165246745761</v>
      </c>
      <c r="F2586">
        <v>0</v>
      </c>
    </row>
    <row r="2587" spans="2:6" ht="15.75" customHeight="1" x14ac:dyDescent="0.25">
      <c r="B2587" t="str">
        <v>Holdstation Wallet Miniapp</v>
      </c>
      <c r="C2587" t="str">
        <v>DEX Aggregator</v>
      </c>
      <c r="D2587" t="str">
        <v>HOLD</v>
      </c>
      <c r="E2587">
        <v>0</v>
      </c>
      <c r="F2587">
        <v>0</v>
      </c>
    </row>
    <row r="2588" spans="2:6" ht="15.75" customHeight="1" x14ac:dyDescent="0.25">
      <c r="B2588" t="str">
        <v>HomeCoin</v>
      </c>
      <c r="C2588" t="str">
        <v>CDP</v>
      </c>
      <c r="D2588" t="str">
        <v>HOME</v>
      </c>
      <c r="E2588">
        <v>0</v>
      </c>
      <c r="F2588">
        <v>0</v>
      </c>
    </row>
    <row r="2589" spans="2:6" ht="15.75" customHeight="1" x14ac:dyDescent="0.25">
      <c r="B2589" t="str">
        <v>Homora V2</v>
      </c>
      <c r="C2589" t="str">
        <v>Leveraged Farming</v>
      </c>
      <c r="D2589" t="str">
        <v>ALPHA</v>
      </c>
      <c r="E2589">
        <v>110273717.07445696</v>
      </c>
      <c r="F2589">
        <v>0</v>
      </c>
    </row>
    <row r="2590" spans="2:6" ht="15.75" customHeight="1" x14ac:dyDescent="0.25">
      <c r="B2590" t="str">
        <v>HoneyFarm</v>
      </c>
      <c r="C2590" t="str">
        <v>Yield</v>
      </c>
      <c r="D2590" t="str">
        <v>BEE</v>
      </c>
      <c r="E2590">
        <v>0</v>
      </c>
      <c r="F2590">
        <v>0</v>
      </c>
    </row>
    <row r="2591" spans="2:6" ht="15.75" customHeight="1" x14ac:dyDescent="0.25">
      <c r="B2591" t="str">
        <v>Honeypop DEX</v>
      </c>
      <c r="C2591" t="str">
        <v>Dexs</v>
      </c>
      <c r="D2591" t="str">
        <v>-</v>
      </c>
      <c r="E2591">
        <v>5731562.0855673626</v>
      </c>
      <c r="F2591">
        <v>0</v>
      </c>
    </row>
    <row r="2592" spans="2:6" ht="15.75" customHeight="1" x14ac:dyDescent="0.25">
      <c r="B2592" t="str">
        <v>Honeypot Finance</v>
      </c>
      <c r="C2592" t="str">
        <v>Interface</v>
      </c>
      <c r="D2592" t="str">
        <v>-</v>
      </c>
      <c r="E2592">
        <v>0</v>
      </c>
      <c r="F2592">
        <v>0</v>
      </c>
    </row>
    <row r="2593" spans="2:6" ht="15.75" customHeight="1" x14ac:dyDescent="0.25">
      <c r="B2593" t="str">
        <v>Honeyswap</v>
      </c>
      <c r="C2593" t="str">
        <v>Dexs</v>
      </c>
      <c r="D2593" t="str">
        <v>HNY</v>
      </c>
      <c r="E2593">
        <v>902080.79522699071</v>
      </c>
      <c r="F2593">
        <v>0</v>
      </c>
    </row>
    <row r="2594" spans="2:6" ht="15.75" customHeight="1" x14ac:dyDescent="0.25">
      <c r="B2594" t="str">
        <v>HonkSwap</v>
      </c>
      <c r="C2594" t="str">
        <v>Dexs</v>
      </c>
      <c r="D2594" t="str">
        <v>HONK</v>
      </c>
      <c r="E2594">
        <v>0</v>
      </c>
      <c r="F2594">
        <v>0</v>
      </c>
    </row>
    <row r="2595" spans="2:6" ht="15.75" customHeight="1" x14ac:dyDescent="0.25">
      <c r="B2595" t="str">
        <v>Hop Aggregator</v>
      </c>
      <c r="C2595" t="str">
        <v>DEX Aggregator</v>
      </c>
      <c r="D2595" t="str">
        <v>-</v>
      </c>
      <c r="E2595">
        <v>0</v>
      </c>
      <c r="F2595">
        <v>0</v>
      </c>
    </row>
    <row r="2596" spans="2:6" ht="15.75" customHeight="1" x14ac:dyDescent="0.25">
      <c r="B2596" t="str">
        <v>Hop Protocol</v>
      </c>
      <c r="C2596" t="str">
        <v>Cross Chain Bridge</v>
      </c>
      <c r="D2596" t="str">
        <v>HOP</v>
      </c>
      <c r="E2596">
        <v>4884220.2667293753</v>
      </c>
      <c r="F2596">
        <v>77216.458446243443</v>
      </c>
    </row>
    <row r="2597" spans="2:6" ht="15.75" customHeight="1" x14ac:dyDescent="0.25">
      <c r="B2597" t="str">
        <v>HOPE Collateral</v>
      </c>
      <c r="C2597" t="str">
        <v>Basis Trading</v>
      </c>
      <c r="D2597" t="str">
        <v>HOPE</v>
      </c>
      <c r="E2597">
        <v>1844949.0782471807</v>
      </c>
      <c r="F2597">
        <v>0</v>
      </c>
    </row>
    <row r="2598" spans="2:6" ht="15.75" customHeight="1" x14ac:dyDescent="0.25">
      <c r="B2598" t="str">
        <v>HOPE Lend</v>
      </c>
      <c r="C2598" t="str">
        <v>Lending</v>
      </c>
      <c r="D2598" t="str">
        <v>HOPE</v>
      </c>
      <c r="E2598">
        <v>158.33960000000002</v>
      </c>
      <c r="F2598">
        <v>0</v>
      </c>
    </row>
    <row r="2599" spans="2:6" ht="15.75" customHeight="1" x14ac:dyDescent="0.25">
      <c r="B2599" t="str">
        <v>HOPE Swap</v>
      </c>
      <c r="C2599" t="str">
        <v>Dexs</v>
      </c>
      <c r="D2599" t="str">
        <v>HOPE</v>
      </c>
      <c r="E2599">
        <v>117414.09110617149</v>
      </c>
      <c r="F2599">
        <v>0</v>
      </c>
    </row>
    <row r="2600" spans="2:6" ht="15.75" customHeight="1" x14ac:dyDescent="0.25">
      <c r="B2600" t="str">
        <v>HOPR</v>
      </c>
      <c r="C2600" t="str">
        <v>Privacy</v>
      </c>
      <c r="D2600" t="str">
        <v>HOPR</v>
      </c>
      <c r="E2600">
        <v>0</v>
      </c>
      <c r="F2600">
        <v>14337366.181478294</v>
      </c>
    </row>
    <row r="2601" spans="2:6" ht="15.75" customHeight="1" x14ac:dyDescent="0.25">
      <c r="B2601" t="str">
        <v>HopSwap</v>
      </c>
      <c r="C2601" t="str">
        <v>Dexs</v>
      </c>
      <c r="D2601" t="str">
        <v>HOP</v>
      </c>
      <c r="E2601">
        <v>12545.159035883493</v>
      </c>
      <c r="F2601">
        <v>0</v>
      </c>
    </row>
    <row r="2602" spans="2:6" ht="15.75" customHeight="1" x14ac:dyDescent="0.25">
      <c r="B2602" t="str">
        <v>Hord</v>
      </c>
      <c r="C2602" t="str">
        <v>Liquid Staking</v>
      </c>
      <c r="D2602" t="str">
        <v>HORD</v>
      </c>
      <c r="E2602">
        <v>1982685.6403137799</v>
      </c>
      <c r="F2602">
        <v>241108.99642693598</v>
      </c>
    </row>
    <row r="2603" spans="2:6" ht="15.75" customHeight="1" x14ac:dyDescent="0.25">
      <c r="B2603" t="str">
        <v>Horiza</v>
      </c>
      <c r="C2603" t="str">
        <v>Dexs</v>
      </c>
      <c r="D2603" t="str">
        <v>HRA</v>
      </c>
      <c r="E2603">
        <v>26093.222592338632</v>
      </c>
      <c r="F2603">
        <v>0</v>
      </c>
    </row>
    <row r="2604" spans="2:6" ht="15.75" customHeight="1" x14ac:dyDescent="0.25">
      <c r="B2604" t="str">
        <v>Horizon Protocol</v>
      </c>
      <c r="C2604" t="str">
        <v>Derivatives</v>
      </c>
      <c r="D2604" t="str">
        <v>HZN</v>
      </c>
      <c r="E2604">
        <v>240636.54579786767</v>
      </c>
      <c r="F2604">
        <v>341353.86517247144</v>
      </c>
    </row>
    <row r="2605" spans="2:6" ht="15.75" customHeight="1" x14ac:dyDescent="0.25">
      <c r="B2605" t="str">
        <v>HorizonDEX</v>
      </c>
      <c r="C2605" t="str">
        <v>Dexs</v>
      </c>
      <c r="D2605" t="str">
        <v>HZN</v>
      </c>
      <c r="E2605">
        <v>83741.592210012022</v>
      </c>
      <c r="F2605">
        <v>0</v>
      </c>
    </row>
    <row r="2606" spans="2:6" ht="15.75" customHeight="1" x14ac:dyDescent="0.25">
      <c r="B2606" t="str">
        <v>Hot Takes</v>
      </c>
      <c r="C2606" t="str">
        <v>SoFi</v>
      </c>
      <c r="D2606" t="str">
        <v>-</v>
      </c>
      <c r="E2606">
        <v>948.60903403041914</v>
      </c>
      <c r="F2606">
        <v>0</v>
      </c>
    </row>
    <row r="2607" spans="2:6" ht="15.75" customHeight="1" x14ac:dyDescent="0.25">
      <c r="B2607" t="str">
        <v>Hotfriescoin</v>
      </c>
      <c r="C2607" t="str">
        <v>Reserve Currency</v>
      </c>
      <c r="D2607" t="str">
        <v>HFC</v>
      </c>
      <c r="E2607">
        <v>1876.8722419957433</v>
      </c>
      <c r="F2607">
        <v>0</v>
      </c>
    </row>
    <row r="2608" spans="2:6" ht="15.75" customHeight="1" x14ac:dyDescent="0.25">
      <c r="B2608" t="str">
        <v>Hotpot Finance</v>
      </c>
      <c r="C2608" t="str">
        <v>Yield</v>
      </c>
      <c r="D2608" t="str">
        <v>MEAT</v>
      </c>
      <c r="E2608">
        <v>211.42970947819157</v>
      </c>
      <c r="F2608">
        <v>0</v>
      </c>
    </row>
    <row r="2609" spans="2:6" ht="15.75" customHeight="1" x14ac:dyDescent="0.25">
      <c r="B2609" t="str">
        <v>Houdini Swap</v>
      </c>
      <c r="C2609" t="str">
        <v>DEX Aggregator</v>
      </c>
      <c r="D2609" t="str">
        <v>LOCK</v>
      </c>
      <c r="E2609">
        <v>0</v>
      </c>
      <c r="F2609">
        <v>9040324.0303177424</v>
      </c>
    </row>
    <row r="2610" spans="2:6" ht="15.75" customHeight="1" x14ac:dyDescent="0.25">
      <c r="B2610" t="str">
        <v>Hourglass</v>
      </c>
      <c r="C2610" t="str">
        <v>Yield</v>
      </c>
      <c r="D2610" t="str">
        <v>-</v>
      </c>
      <c r="E2610">
        <v>396263.96526019432</v>
      </c>
      <c r="F2610">
        <v>0</v>
      </c>
    </row>
    <row r="2611" spans="2:6" ht="15.75" customHeight="1" x14ac:dyDescent="0.25">
      <c r="B2611" t="str">
        <v>Houses of Rome</v>
      </c>
      <c r="C2611" t="str">
        <v>Reserve Currency</v>
      </c>
      <c r="D2611" t="str">
        <v>ROME</v>
      </c>
      <c r="E2611">
        <v>7.4794854903236093E-4</v>
      </c>
      <c r="F2611">
        <v>1738423.6334501565</v>
      </c>
    </row>
    <row r="2612" spans="2:6" ht="15.75" customHeight="1" x14ac:dyDescent="0.25">
      <c r="B2612" t="str">
        <v>HoustonSwap</v>
      </c>
      <c r="C2612" t="str">
        <v>Dexs</v>
      </c>
      <c r="D2612" t="str">
        <v>HOU</v>
      </c>
      <c r="E2612">
        <v>9019.1243979473202</v>
      </c>
      <c r="F2612">
        <v>0</v>
      </c>
    </row>
    <row r="2613" spans="2:6" ht="15.75" customHeight="1" x14ac:dyDescent="0.25">
      <c r="B2613" t="str">
        <v>Hover</v>
      </c>
      <c r="C2613" t="str">
        <v>Lending</v>
      </c>
      <c r="D2613" t="str">
        <v>HOV</v>
      </c>
      <c r="E2613">
        <v>2860.1590290911968</v>
      </c>
      <c r="F2613">
        <v>0</v>
      </c>
    </row>
    <row r="2614" spans="2:6" ht="15.75" customHeight="1" x14ac:dyDescent="0.25">
      <c r="B2614" t="str">
        <v>Hpdex</v>
      </c>
      <c r="C2614" t="str">
        <v>Dexs</v>
      </c>
      <c r="D2614" t="str">
        <v>HPD</v>
      </c>
      <c r="E2614">
        <v>0</v>
      </c>
      <c r="F2614">
        <v>0</v>
      </c>
    </row>
    <row r="2615" spans="2:6" ht="15.75" customHeight="1" x14ac:dyDescent="0.25">
      <c r="B2615" t="str">
        <v>hskhodlium</v>
      </c>
      <c r="C2615" t="str">
        <v>Liquid Staking</v>
      </c>
      <c r="D2615" t="str">
        <v>-</v>
      </c>
      <c r="E2615">
        <v>3184458.0587217319</v>
      </c>
      <c r="F2615">
        <v>0</v>
      </c>
    </row>
    <row r="2616" spans="2:6" ht="15.75" customHeight="1" x14ac:dyDescent="0.25">
      <c r="B2616" t="str">
        <v>HSwap</v>
      </c>
      <c r="C2616" t="str">
        <v>Dexs</v>
      </c>
      <c r="D2616" t="str">
        <v>-</v>
      </c>
      <c r="E2616">
        <v>0</v>
      </c>
      <c r="F2616">
        <v>0</v>
      </c>
    </row>
    <row r="2617" spans="2:6" ht="15.75" customHeight="1" x14ac:dyDescent="0.25">
      <c r="B2617" t="str">
        <v>hub3</v>
      </c>
      <c r="C2617" t="str">
        <v>SoFi</v>
      </c>
      <c r="D2617" t="str">
        <v>-</v>
      </c>
      <c r="E2617">
        <v>0</v>
      </c>
      <c r="F2617">
        <v>0</v>
      </c>
    </row>
    <row r="2618" spans="2:6" ht="15.75" customHeight="1" x14ac:dyDescent="0.25">
      <c r="B2618" t="str">
        <v>Hubble</v>
      </c>
      <c r="C2618" t="str">
        <v>CDP</v>
      </c>
      <c r="D2618" t="str">
        <v>HBB</v>
      </c>
      <c r="E2618">
        <v>2073208.1122055876</v>
      </c>
      <c r="F2618">
        <v>323455.30496415839</v>
      </c>
    </row>
    <row r="2619" spans="2:6" ht="15.75" customHeight="1" x14ac:dyDescent="0.25">
      <c r="B2619" t="str">
        <v>Hubble Exchange</v>
      </c>
      <c r="C2619" t="str">
        <v>Derivatives</v>
      </c>
      <c r="D2619" t="str">
        <v>-</v>
      </c>
      <c r="E2619">
        <v>80622.642488777346</v>
      </c>
      <c r="F2619">
        <v>0</v>
      </c>
    </row>
    <row r="2620" spans="2:6" ht="15.75" customHeight="1" x14ac:dyDescent="0.25">
      <c r="B2620" t="str">
        <v>Huckleberry AMM</v>
      </c>
      <c r="C2620" t="str">
        <v>Dexs</v>
      </c>
      <c r="D2620" t="str">
        <v>FINN</v>
      </c>
      <c r="E2620">
        <v>24887.871765286582</v>
      </c>
      <c r="F2620">
        <v>0</v>
      </c>
    </row>
    <row r="2621" spans="2:6" ht="15.75" customHeight="1" x14ac:dyDescent="0.25">
      <c r="B2621" t="str">
        <v>Huckleberry Lending</v>
      </c>
      <c r="C2621" t="str">
        <v>Lending</v>
      </c>
      <c r="D2621" t="str">
        <v>FINN</v>
      </c>
      <c r="E2621">
        <v>9050.8154646526109</v>
      </c>
      <c r="F2621">
        <v>0</v>
      </c>
    </row>
    <row r="2622" spans="2:6" ht="15.75" customHeight="1" x14ac:dyDescent="0.25">
      <c r="B2622" t="str">
        <v>HumanFi</v>
      </c>
      <c r="C2622" t="str">
        <v>DEX Aggregator</v>
      </c>
      <c r="D2622" t="str">
        <v>-</v>
      </c>
      <c r="E2622">
        <v>0</v>
      </c>
      <c r="F2622">
        <v>0</v>
      </c>
    </row>
    <row r="2623" spans="2:6" ht="15.75" customHeight="1" x14ac:dyDescent="0.25">
      <c r="B2623" t="str">
        <v>Humble Defi</v>
      </c>
      <c r="C2623" t="str">
        <v>Dexs</v>
      </c>
      <c r="D2623" t="str">
        <v>-</v>
      </c>
      <c r="E2623">
        <v>63559.538956999997</v>
      </c>
      <c r="F2623">
        <v>0</v>
      </c>
    </row>
    <row r="2624" spans="2:6" ht="15.75" customHeight="1" x14ac:dyDescent="0.25">
      <c r="B2624" t="str">
        <v>HumidiFi</v>
      </c>
      <c r="C2624" t="str">
        <v>Dexs</v>
      </c>
      <c r="D2624" t="str">
        <v>WET</v>
      </c>
      <c r="E2624">
        <v>0</v>
      </c>
      <c r="F2624">
        <v>39328929.967837267</v>
      </c>
    </row>
    <row r="2625" spans="2:6" ht="15.75" customHeight="1" x14ac:dyDescent="0.25">
      <c r="B2625" t="str">
        <v>Hummus AMM</v>
      </c>
      <c r="C2625" t="str">
        <v>Dexs</v>
      </c>
      <c r="D2625" t="str">
        <v>HUM</v>
      </c>
      <c r="E2625">
        <v>506.16556540407356</v>
      </c>
      <c r="F2625">
        <v>0</v>
      </c>
    </row>
    <row r="2626" spans="2:6" ht="15.75" customHeight="1" x14ac:dyDescent="0.25">
      <c r="B2626" t="str">
        <v>Hummus Weighted</v>
      </c>
      <c r="C2626" t="str">
        <v>Yield</v>
      </c>
      <c r="D2626" t="str">
        <v>-</v>
      </c>
      <c r="E2626">
        <v>47213.372060818197</v>
      </c>
      <c r="F2626">
        <v>0</v>
      </c>
    </row>
    <row r="2627" spans="2:6" ht="15.75" customHeight="1" x14ac:dyDescent="0.25">
      <c r="B2627" t="str">
        <v>Hundred Finance</v>
      </c>
      <c r="C2627" t="str">
        <v>Lending</v>
      </c>
      <c r="D2627" t="str">
        <v>HND</v>
      </c>
      <c r="E2627">
        <v>186858.961226582</v>
      </c>
      <c r="F2627">
        <v>0</v>
      </c>
    </row>
    <row r="2628" spans="2:6" ht="15.75" customHeight="1" x14ac:dyDescent="0.25">
      <c r="B2628" t="str">
        <v>Hunny Finance</v>
      </c>
      <c r="C2628" t="str">
        <v>Yield</v>
      </c>
      <c r="D2628" t="str">
        <v>HUNNY</v>
      </c>
      <c r="E2628">
        <v>94378.646209136918</v>
      </c>
      <c r="F2628">
        <v>283066.66730546404</v>
      </c>
    </row>
    <row r="2629" spans="2:6" ht="15.75" customHeight="1" x14ac:dyDescent="0.25">
      <c r="B2629" t="str">
        <v>HunnySwap</v>
      </c>
      <c r="C2629" t="str">
        <v>Dexs</v>
      </c>
      <c r="D2629" t="str">
        <v>XOXO</v>
      </c>
      <c r="E2629">
        <v>63396.194283515943</v>
      </c>
      <c r="F2629">
        <v>0</v>
      </c>
    </row>
    <row r="2630" spans="2:6" ht="15.75" customHeight="1" x14ac:dyDescent="0.25">
      <c r="B2630" t="str">
        <v>HurricaneSwap</v>
      </c>
      <c r="C2630" t="str">
        <v>Dexs</v>
      </c>
      <c r="D2630" t="str">
        <v>HCT</v>
      </c>
      <c r="E2630">
        <v>45018.502854000304</v>
      </c>
      <c r="F2630">
        <v>0</v>
      </c>
    </row>
    <row r="2631" spans="2:6" ht="15.75" customHeight="1" x14ac:dyDescent="0.25">
      <c r="B2631" t="str">
        <v>HX Finance</v>
      </c>
      <c r="C2631" t="str">
        <v>Dexs</v>
      </c>
      <c r="D2631" t="str">
        <v>-</v>
      </c>
      <c r="E2631">
        <v>5262.4009116775815</v>
      </c>
      <c r="F2631">
        <v>0</v>
      </c>
    </row>
    <row r="2632" spans="2:6" ht="15.75" customHeight="1" x14ac:dyDescent="0.25">
      <c r="B2632" t="str">
        <v>HXRO Network</v>
      </c>
      <c r="C2632" t="str">
        <v>Derivatives</v>
      </c>
      <c r="D2632" t="str">
        <v>HXRO</v>
      </c>
      <c r="E2632">
        <v>0</v>
      </c>
      <c r="F2632">
        <v>3314386.0018946389</v>
      </c>
    </row>
    <row r="2633" spans="2:6" ht="15.75" customHeight="1" x14ac:dyDescent="0.25">
      <c r="B2633" t="str">
        <v>Hybra V2</v>
      </c>
      <c r="C2633" t="str">
        <v>Dexs</v>
      </c>
      <c r="D2633" t="str">
        <v>-</v>
      </c>
      <c r="E2633">
        <v>5994.7436487432669</v>
      </c>
      <c r="F2633">
        <v>0</v>
      </c>
    </row>
    <row r="2634" spans="2:6" ht="15.75" customHeight="1" x14ac:dyDescent="0.25">
      <c r="B2634" t="str">
        <v>Hybra V3</v>
      </c>
      <c r="C2634" t="str">
        <v>Dexs</v>
      </c>
      <c r="D2634" t="str">
        <v>-</v>
      </c>
      <c r="E2634">
        <v>1286207.8032120215</v>
      </c>
      <c r="F2634">
        <v>0</v>
      </c>
    </row>
    <row r="2635" spans="2:6" ht="15.75" customHeight="1" x14ac:dyDescent="0.25">
      <c r="B2635" t="str">
        <v>Hybra V4</v>
      </c>
      <c r="C2635" t="str">
        <v>Dexs</v>
      </c>
      <c r="D2635" t="str">
        <v>-</v>
      </c>
      <c r="E2635">
        <v>2472590.0109612178</v>
      </c>
      <c r="F2635">
        <v>0</v>
      </c>
    </row>
    <row r="2636" spans="2:6" ht="15.75" customHeight="1" x14ac:dyDescent="0.25">
      <c r="B2636" t="str">
        <v>Hydradex V2</v>
      </c>
      <c r="C2636" t="str">
        <v>Dexs</v>
      </c>
      <c r="D2636" t="str">
        <v>-</v>
      </c>
      <c r="E2636">
        <v>19247.790503329375</v>
      </c>
      <c r="F2636">
        <v>0</v>
      </c>
    </row>
    <row r="2637" spans="2:6" ht="15.75" customHeight="1" x14ac:dyDescent="0.25">
      <c r="B2637" t="str">
        <v>Hydradex V3</v>
      </c>
      <c r="C2637" t="str">
        <v>Dexs</v>
      </c>
      <c r="D2637" t="str">
        <v>-</v>
      </c>
      <c r="E2637">
        <v>40890.778028773391</v>
      </c>
      <c r="F2637">
        <v>0</v>
      </c>
    </row>
    <row r="2638" spans="2:6" ht="15.75" customHeight="1" x14ac:dyDescent="0.25">
      <c r="B2638" t="str">
        <v>Hydration DEX</v>
      </c>
      <c r="C2638" t="str">
        <v>Dexs</v>
      </c>
      <c r="D2638" t="str">
        <v>HDX</v>
      </c>
      <c r="E2638">
        <v>89403728.326474488</v>
      </c>
      <c r="F2638">
        <v>25001662.937206604</v>
      </c>
    </row>
    <row r="2639" spans="2:6" ht="15.75" customHeight="1" x14ac:dyDescent="0.25">
      <c r="B2639" t="str">
        <v>Hydration Lending</v>
      </c>
      <c r="C2639" t="str">
        <v>Lending</v>
      </c>
      <c r="D2639" t="str">
        <v>HDX</v>
      </c>
      <c r="E2639">
        <v>61677709.318476744</v>
      </c>
      <c r="F2639">
        <v>0</v>
      </c>
    </row>
    <row r="2640" spans="2:6" ht="15.75" customHeight="1" x14ac:dyDescent="0.25">
      <c r="B2640" t="str">
        <v>Hydrex Integral</v>
      </c>
      <c r="C2640" t="str">
        <v>Dexs</v>
      </c>
      <c r="D2640" t="str">
        <v>HYDX</v>
      </c>
      <c r="E2640">
        <v>16535851.380316561</v>
      </c>
      <c r="F2640">
        <v>0</v>
      </c>
    </row>
    <row r="2641" spans="2:6" ht="15.75" customHeight="1" x14ac:dyDescent="0.25">
      <c r="B2641" t="str">
        <v>Hydrex Omni</v>
      </c>
      <c r="C2641" t="str">
        <v>Dexs</v>
      </c>
      <c r="D2641" t="str">
        <v>HYDX</v>
      </c>
      <c r="E2641">
        <v>4736359.0903913304</v>
      </c>
      <c r="F2641">
        <v>0</v>
      </c>
    </row>
    <row r="2642" spans="2:6" ht="15.75" customHeight="1" x14ac:dyDescent="0.25">
      <c r="B2642" t="str">
        <v>Hydro Lending</v>
      </c>
      <c r="C2642" t="str">
        <v>Lending</v>
      </c>
      <c r="D2642" t="str">
        <v>HDRO</v>
      </c>
      <c r="E2642">
        <v>1978687.0083138491</v>
      </c>
      <c r="F2642">
        <v>0</v>
      </c>
    </row>
    <row r="2643" spans="2:6" ht="15.75" customHeight="1" x14ac:dyDescent="0.25">
      <c r="B2643" t="str">
        <v>Hydro LSD-Fi</v>
      </c>
      <c r="C2643" t="str">
        <v>Yield</v>
      </c>
      <c r="D2643" t="str">
        <v>HDRO</v>
      </c>
      <c r="E2643">
        <v>52705.669400126862</v>
      </c>
      <c r="F2643">
        <v>0</v>
      </c>
    </row>
    <row r="2644" spans="2:6" ht="15.75" customHeight="1" x14ac:dyDescent="0.25">
      <c r="B2644" t="str">
        <v>Hydro LST</v>
      </c>
      <c r="C2644" t="str">
        <v>Liquid Staking</v>
      </c>
      <c r="D2644" t="str">
        <v>HDRO</v>
      </c>
      <c r="E2644">
        <v>8488959.0317689329</v>
      </c>
      <c r="F2644">
        <v>0</v>
      </c>
    </row>
    <row r="2645" spans="2:6" ht="15.75" customHeight="1" x14ac:dyDescent="0.25">
      <c r="B2645" t="str">
        <v>Hydrometer Finance</v>
      </c>
      <c r="C2645" t="str">
        <v>Dexs</v>
      </c>
      <c r="D2645" t="str">
        <v>HYDRO</v>
      </c>
      <c r="E2645">
        <v>597.97649004854088</v>
      </c>
      <c r="F2645">
        <v>0</v>
      </c>
    </row>
    <row r="2646" spans="2:6" ht="15.75" customHeight="1" x14ac:dyDescent="0.25">
      <c r="B2646" t="str">
        <v>HYDT Protocol</v>
      </c>
      <c r="C2646" t="str">
        <v>Yield</v>
      </c>
      <c r="D2646" t="str">
        <v>HYDT</v>
      </c>
      <c r="E2646">
        <v>121098.00936243628</v>
      </c>
      <c r="F2646">
        <v>0</v>
      </c>
    </row>
    <row r="2647" spans="2:6" ht="15.75" customHeight="1" x14ac:dyDescent="0.25">
      <c r="B2647" t="str">
        <v>HYENA</v>
      </c>
      <c r="C2647" t="str">
        <v>Interface</v>
      </c>
      <c r="D2647" t="str">
        <v>-</v>
      </c>
      <c r="E2647">
        <v>0</v>
      </c>
      <c r="F2647">
        <v>0</v>
      </c>
    </row>
    <row r="2648" spans="2:6" ht="15.75" customHeight="1" x14ac:dyDescent="0.25">
      <c r="B2648" t="str">
        <v>Hylo LSTs</v>
      </c>
      <c r="C2648" t="str">
        <v>Liquid Staking</v>
      </c>
      <c r="D2648" t="str">
        <v>-</v>
      </c>
      <c r="E2648">
        <v>35686867.373505548</v>
      </c>
      <c r="F2648">
        <v>0</v>
      </c>
    </row>
    <row r="2649" spans="2:6" ht="15.75" customHeight="1" x14ac:dyDescent="0.25">
      <c r="B2649" t="str">
        <v>Hylo Protocol</v>
      </c>
      <c r="C2649" t="str">
        <v>Dual-Token Stablecoin</v>
      </c>
      <c r="D2649" t="str">
        <v>-</v>
      </c>
      <c r="E2649">
        <v>59455461.144621462</v>
      </c>
      <c r="F2649">
        <v>0</v>
      </c>
    </row>
    <row r="2650" spans="2:6" ht="15.75" customHeight="1" x14ac:dyDescent="0.25">
      <c r="B2650" t="str">
        <v>Hyper Finance</v>
      </c>
      <c r="C2650" t="str">
        <v>Yield</v>
      </c>
      <c r="D2650" t="str">
        <v>HYFI</v>
      </c>
      <c r="E2650">
        <v>38806.346719754998</v>
      </c>
      <c r="F2650">
        <v>0</v>
      </c>
    </row>
    <row r="2651" spans="2:6" ht="15.75" customHeight="1" x14ac:dyDescent="0.25">
      <c r="B2651" t="str">
        <v>Hyperbeat Earn</v>
      </c>
      <c r="C2651" t="str">
        <v>Yield Aggregator</v>
      </c>
      <c r="D2651" t="str">
        <v>-</v>
      </c>
      <c r="E2651">
        <v>84905871.740443572</v>
      </c>
      <c r="F2651">
        <v>0</v>
      </c>
    </row>
    <row r="2652" spans="2:6" ht="15.75" customHeight="1" x14ac:dyDescent="0.25">
      <c r="B2652" t="str">
        <v>Hyperbeat LST</v>
      </c>
      <c r="C2652" t="str">
        <v>Liquid Staking</v>
      </c>
      <c r="D2652" t="str">
        <v>-</v>
      </c>
      <c r="E2652">
        <v>15567701.33334735</v>
      </c>
      <c r="F2652">
        <v>0</v>
      </c>
    </row>
    <row r="2653" spans="2:6" ht="15.75" customHeight="1" x14ac:dyDescent="0.25">
      <c r="B2653" t="str">
        <v>HyperBlast</v>
      </c>
      <c r="C2653" t="str">
        <v>Dexs</v>
      </c>
      <c r="D2653" t="str">
        <v>HYPE</v>
      </c>
      <c r="E2653">
        <v>5139.255900702944</v>
      </c>
      <c r="F2653">
        <v>0</v>
      </c>
    </row>
    <row r="2654" spans="2:6" ht="15.75" customHeight="1" x14ac:dyDescent="0.25">
      <c r="B2654" t="str">
        <v>HyperBloom</v>
      </c>
      <c r="C2654" t="str">
        <v>DEX Aggregator</v>
      </c>
      <c r="D2654" t="str">
        <v>-</v>
      </c>
      <c r="E2654">
        <v>102658.3133597635</v>
      </c>
      <c r="F2654">
        <v>0</v>
      </c>
    </row>
    <row r="2655" spans="2:6" ht="15.75" customHeight="1" x14ac:dyDescent="0.25">
      <c r="B2655" t="str">
        <v>HyperBrick</v>
      </c>
      <c r="C2655" t="str">
        <v>Dexs</v>
      </c>
      <c r="D2655" t="str">
        <v>-</v>
      </c>
      <c r="E2655">
        <v>19260.007007076456</v>
      </c>
      <c r="F2655">
        <v>0</v>
      </c>
    </row>
    <row r="2656" spans="2:6" ht="15.75" customHeight="1" x14ac:dyDescent="0.25">
      <c r="B2656" t="str">
        <v>HyperCat</v>
      </c>
      <c r="C2656" t="str">
        <v>Dexs</v>
      </c>
      <c r="D2656" t="str">
        <v>-</v>
      </c>
      <c r="E2656">
        <v>1198.5373172236423</v>
      </c>
      <c r="F2656">
        <v>0</v>
      </c>
    </row>
    <row r="2657" spans="2:6" ht="15.75" customHeight="1" x14ac:dyDescent="0.25">
      <c r="B2657" t="str">
        <v>HyperDash</v>
      </c>
      <c r="C2657" t="str">
        <v>Interface</v>
      </c>
      <c r="D2657" t="str">
        <v>-</v>
      </c>
      <c r="E2657">
        <v>0</v>
      </c>
      <c r="F2657">
        <v>0</v>
      </c>
    </row>
    <row r="2658" spans="2:6" ht="15.75" customHeight="1" x14ac:dyDescent="0.25">
      <c r="B2658" t="str">
        <v>Hyperdrive</v>
      </c>
      <c r="C2658" t="str">
        <v>Yield</v>
      </c>
      <c r="D2658" t="str">
        <v>-</v>
      </c>
      <c r="E2658">
        <v>88223.32832411812</v>
      </c>
      <c r="F2658">
        <v>0</v>
      </c>
    </row>
    <row r="2659" spans="2:6" ht="15.75" customHeight="1" x14ac:dyDescent="0.25">
      <c r="B2659" t="str">
        <v>Hyperdrive HL</v>
      </c>
      <c r="C2659" t="str">
        <v>Lending</v>
      </c>
      <c r="D2659" t="str">
        <v>-</v>
      </c>
      <c r="E2659">
        <v>3788950.4410611452</v>
      </c>
      <c r="F2659">
        <v>0</v>
      </c>
    </row>
    <row r="2660" spans="2:6" ht="15.75" customHeight="1" x14ac:dyDescent="0.25">
      <c r="B2660" t="str">
        <v>HyperFlow</v>
      </c>
      <c r="C2660" t="str">
        <v>DEX Aggregator</v>
      </c>
      <c r="D2660" t="str">
        <v>-</v>
      </c>
      <c r="E2660">
        <v>0</v>
      </c>
      <c r="F2660">
        <v>0</v>
      </c>
    </row>
    <row r="2661" spans="2:6" ht="15.75" customHeight="1" x14ac:dyDescent="0.25">
      <c r="B2661" t="str">
        <v>HyperInDex</v>
      </c>
      <c r="C2661" t="str">
        <v>Dexs</v>
      </c>
      <c r="D2661" t="str">
        <v>-</v>
      </c>
      <c r="E2661">
        <v>938719.86224276386</v>
      </c>
      <c r="F2661">
        <v>0</v>
      </c>
    </row>
    <row r="2662" spans="2:6" ht="15.75" customHeight="1" x14ac:dyDescent="0.25">
      <c r="B2662" t="str">
        <v>Hyperion</v>
      </c>
      <c r="C2662" t="str">
        <v>Dexs</v>
      </c>
      <c r="D2662" t="str">
        <v>-</v>
      </c>
      <c r="E2662">
        <v>54655834.959619805</v>
      </c>
      <c r="F2662">
        <v>0</v>
      </c>
    </row>
    <row r="2663" spans="2:6" ht="15.75" customHeight="1" x14ac:dyDescent="0.25">
      <c r="B2663" t="str">
        <v>Hyperion DEX</v>
      </c>
      <c r="C2663" t="str">
        <v>Dexs</v>
      </c>
      <c r="D2663" t="str">
        <v>-</v>
      </c>
      <c r="E2663">
        <v>748982.42640990531</v>
      </c>
      <c r="F2663">
        <v>0</v>
      </c>
    </row>
    <row r="2664" spans="2:6" ht="15.75" customHeight="1" x14ac:dyDescent="0.25">
      <c r="B2664" t="str">
        <v>Hyperion Exchange</v>
      </c>
      <c r="C2664" t="str">
        <v>Derivatives</v>
      </c>
      <c r="D2664" t="str">
        <v>-</v>
      </c>
      <c r="E2664">
        <v>0</v>
      </c>
      <c r="F2664">
        <v>0</v>
      </c>
    </row>
    <row r="2665" spans="2:6" ht="15.75" customHeight="1" x14ac:dyDescent="0.25">
      <c r="B2665" t="str">
        <v>Hyperithm</v>
      </c>
      <c r="C2665" t="str">
        <v>Risk Curators</v>
      </c>
      <c r="D2665" t="str">
        <v>-</v>
      </c>
      <c r="E2665">
        <v>182361634.90908912</v>
      </c>
      <c r="F2665">
        <v>0</v>
      </c>
    </row>
    <row r="2666" spans="2:6" ht="15.75" customHeight="1" x14ac:dyDescent="0.25">
      <c r="B2666" t="str">
        <v>HyperJump</v>
      </c>
      <c r="C2666" t="str">
        <v>Dexs</v>
      </c>
      <c r="D2666" t="str">
        <v>HYPR</v>
      </c>
      <c r="E2666">
        <v>363080.82210980513</v>
      </c>
      <c r="F2666">
        <v>0</v>
      </c>
    </row>
    <row r="2667" spans="2:6" ht="15.75" customHeight="1" x14ac:dyDescent="0.25">
      <c r="B2667" t="str">
        <v>HyperLend Isolated</v>
      </c>
      <c r="C2667" t="str">
        <v>Lending</v>
      </c>
      <c r="D2667" t="str">
        <v>-</v>
      </c>
      <c r="E2667">
        <v>1472271.0680151263</v>
      </c>
      <c r="F2667">
        <v>0</v>
      </c>
    </row>
    <row r="2668" spans="2:6" ht="15.75" customHeight="1" x14ac:dyDescent="0.25">
      <c r="B2668" t="str">
        <v>HyperLend Pooled</v>
      </c>
      <c r="C2668" t="str">
        <v>Lending</v>
      </c>
      <c r="D2668" t="str">
        <v>-</v>
      </c>
      <c r="E2668">
        <v>285586347.91717893</v>
      </c>
      <c r="F2668">
        <v>0</v>
      </c>
    </row>
    <row r="2669" spans="2:6" ht="15.75" customHeight="1" x14ac:dyDescent="0.25">
      <c r="B2669" t="str">
        <v>Hyperliquid Bridge</v>
      </c>
      <c r="C2669" t="str">
        <v>Bridge</v>
      </c>
      <c r="D2669" t="str">
        <v>HYPE</v>
      </c>
      <c r="E2669">
        <v>4192233809.5370941</v>
      </c>
      <c r="F2669">
        <v>0</v>
      </c>
    </row>
    <row r="2670" spans="2:6" ht="15.75" customHeight="1" x14ac:dyDescent="0.25">
      <c r="B2670" t="str">
        <v>Hyperliquid HLP</v>
      </c>
      <c r="C2670" t="str">
        <v>Derivatives</v>
      </c>
      <c r="D2670" t="str">
        <v>HYPE</v>
      </c>
      <c r="E2670">
        <v>294008348.76092243</v>
      </c>
      <c r="F2670">
        <v>0</v>
      </c>
    </row>
    <row r="2671" spans="2:6" ht="15.75" customHeight="1" x14ac:dyDescent="0.25">
      <c r="B2671" t="str">
        <v>Hyperliquid Perps</v>
      </c>
      <c r="C2671" t="str">
        <v>Derivatives</v>
      </c>
      <c r="D2671" t="str">
        <v>HYPE</v>
      </c>
      <c r="E2671">
        <v>0</v>
      </c>
      <c r="F2671">
        <v>0</v>
      </c>
    </row>
    <row r="2672" spans="2:6" ht="15.75" customHeight="1" x14ac:dyDescent="0.25">
      <c r="B2672" t="str">
        <v>Hyperliquid Spot Orderbook</v>
      </c>
      <c r="C2672" t="str">
        <v>Dexs</v>
      </c>
      <c r="D2672" t="str">
        <v>HYPE</v>
      </c>
      <c r="E2672">
        <v>126866018.84534417</v>
      </c>
      <c r="F2672">
        <v>0</v>
      </c>
    </row>
    <row r="2673" spans="2:6" ht="15.75" customHeight="1" x14ac:dyDescent="0.25">
      <c r="B2673" t="str">
        <v>HyperLoan</v>
      </c>
      <c r="C2673" t="str">
        <v>Lending</v>
      </c>
      <c r="D2673" t="str">
        <v>-</v>
      </c>
      <c r="E2673">
        <v>14.601995266504073</v>
      </c>
      <c r="F2673">
        <v>0</v>
      </c>
    </row>
    <row r="2674" spans="2:6" ht="15.75" customHeight="1" x14ac:dyDescent="0.25">
      <c r="B2674" t="str">
        <v>Hyperlock Finance</v>
      </c>
      <c r="C2674" t="str">
        <v>Yield</v>
      </c>
      <c r="D2674" t="str">
        <v>-</v>
      </c>
      <c r="E2674">
        <v>1797086.9667341849</v>
      </c>
      <c r="F2674">
        <v>0</v>
      </c>
    </row>
    <row r="2675" spans="2:6" ht="15.75" customHeight="1" x14ac:dyDescent="0.25">
      <c r="B2675" t="str">
        <v>HyperSignals</v>
      </c>
      <c r="C2675" t="str">
        <v>Interface</v>
      </c>
      <c r="D2675" t="str">
        <v>-</v>
      </c>
      <c r="E2675">
        <v>0</v>
      </c>
      <c r="F2675">
        <v>0</v>
      </c>
    </row>
    <row r="2676" spans="2:6" ht="15.75" customHeight="1" x14ac:dyDescent="0.25">
      <c r="B2676" t="str">
        <v>Hyperstable CDP</v>
      </c>
      <c r="C2676" t="str">
        <v>CDP</v>
      </c>
      <c r="D2676" t="str">
        <v>PEG</v>
      </c>
      <c r="E2676">
        <v>228080.26415909434</v>
      </c>
      <c r="F2676">
        <v>0</v>
      </c>
    </row>
    <row r="2677" spans="2:6" ht="15.75" customHeight="1" x14ac:dyDescent="0.25">
      <c r="B2677" t="str">
        <v>Hyperstable Vaults</v>
      </c>
      <c r="C2677" t="str">
        <v>Risk Curators</v>
      </c>
      <c r="D2677" t="str">
        <v>-</v>
      </c>
      <c r="E2677">
        <v>18515.851934255512</v>
      </c>
      <c r="F2677">
        <v>0</v>
      </c>
    </row>
    <row r="2678" spans="2:6" ht="15.75" customHeight="1" x14ac:dyDescent="0.25">
      <c r="B2678" t="str">
        <v>HYPERSTITIONS</v>
      </c>
      <c r="C2678" t="str">
        <v>Prediction Market</v>
      </c>
      <c r="D2678" t="str">
        <v>HST</v>
      </c>
      <c r="E2678">
        <v>0</v>
      </c>
      <c r="F2678">
        <v>0</v>
      </c>
    </row>
    <row r="2679" spans="2:6" ht="15.75" customHeight="1" x14ac:dyDescent="0.25">
      <c r="B2679" t="str">
        <v>Hypersurface</v>
      </c>
      <c r="C2679" t="str">
        <v>Options</v>
      </c>
      <c r="D2679" t="str">
        <v>-</v>
      </c>
      <c r="E2679">
        <v>0</v>
      </c>
      <c r="F2679">
        <v>0</v>
      </c>
    </row>
    <row r="2680" spans="2:6" ht="15.75" customHeight="1" x14ac:dyDescent="0.25">
      <c r="B2680" t="str">
        <v>hyperswap on Areon Network</v>
      </c>
      <c r="C2680" t="str">
        <v>Dexs</v>
      </c>
      <c r="D2680" t="str">
        <v>-</v>
      </c>
      <c r="E2680">
        <v>18001.496564100722</v>
      </c>
      <c r="F2680">
        <v>0</v>
      </c>
    </row>
    <row r="2681" spans="2:6" ht="15.75" customHeight="1" x14ac:dyDescent="0.25">
      <c r="B2681" t="str">
        <v>HyperSwap V2</v>
      </c>
      <c r="C2681" t="str">
        <v>Dexs</v>
      </c>
      <c r="D2681" t="str">
        <v>SWAP</v>
      </c>
      <c r="E2681">
        <v>2423109.029904868</v>
      </c>
      <c r="F2681">
        <v>0</v>
      </c>
    </row>
    <row r="2682" spans="2:6" ht="15.75" customHeight="1" x14ac:dyDescent="0.25">
      <c r="B2682" t="str">
        <v>HyperSwap V3</v>
      </c>
      <c r="C2682" t="str">
        <v>Dexs</v>
      </c>
      <c r="D2682" t="str">
        <v>SWAP</v>
      </c>
      <c r="E2682">
        <v>12541761.303231219</v>
      </c>
      <c r="F2682">
        <v>0</v>
      </c>
    </row>
    <row r="2683" spans="2:6" ht="15.75" customHeight="1" x14ac:dyDescent="0.25">
      <c r="B2683" t="str">
        <v>HyperTek</v>
      </c>
      <c r="C2683" t="str">
        <v>Prediction Market</v>
      </c>
      <c r="D2683" t="str">
        <v>HYPER</v>
      </c>
      <c r="E2683">
        <v>0</v>
      </c>
      <c r="F2683">
        <v>0</v>
      </c>
    </row>
    <row r="2684" spans="2:6" ht="15.75" customHeight="1" x14ac:dyDescent="0.25">
      <c r="B2684" t="str">
        <v>Hypertrade V3</v>
      </c>
      <c r="C2684" t="str">
        <v>Dexs</v>
      </c>
      <c r="D2684" t="str">
        <v>-</v>
      </c>
      <c r="E2684">
        <v>8411.1333361817306</v>
      </c>
      <c r="F2684">
        <v>0</v>
      </c>
    </row>
    <row r="2685" spans="2:6" ht="15.75" customHeight="1" x14ac:dyDescent="0.25">
      <c r="B2685" t="str">
        <v>HyperVault</v>
      </c>
      <c r="C2685" t="str">
        <v>Yield Aggregator</v>
      </c>
      <c r="D2685" t="str">
        <v>-</v>
      </c>
      <c r="E2685">
        <v>0</v>
      </c>
      <c r="F2685">
        <v>0</v>
      </c>
    </row>
    <row r="2686" spans="2:6" ht="15.75" customHeight="1" x14ac:dyDescent="0.25">
      <c r="B2686" t="str">
        <v>HyperWave</v>
      </c>
      <c r="C2686" t="str">
        <v>Yield</v>
      </c>
      <c r="D2686" t="str">
        <v>-</v>
      </c>
      <c r="E2686">
        <v>8261788.0193914454</v>
      </c>
      <c r="F2686">
        <v>0</v>
      </c>
    </row>
    <row r="2687" spans="2:6" ht="15.75" customHeight="1" x14ac:dyDescent="0.25">
      <c r="B2687" t="str">
        <v>HyperYield</v>
      </c>
      <c r="C2687" t="str">
        <v>Lending</v>
      </c>
      <c r="D2687" t="str">
        <v>-</v>
      </c>
      <c r="E2687">
        <v>27610.898596510386</v>
      </c>
      <c r="F2687">
        <v>0</v>
      </c>
    </row>
    <row r="2688" spans="2:6" ht="15.75" customHeight="1" x14ac:dyDescent="0.25">
      <c r="B2688" t="str">
        <v>Hypha</v>
      </c>
      <c r="C2688" t="str">
        <v>Liquid Staking</v>
      </c>
      <c r="D2688" t="str">
        <v>GGP</v>
      </c>
      <c r="E2688">
        <v>35106710.455959521</v>
      </c>
      <c r="F2688">
        <v>1504649.297074374</v>
      </c>
    </row>
    <row r="2689" spans="2:6" ht="15.75" customHeight="1" x14ac:dyDescent="0.25">
      <c r="B2689" t="str">
        <v>Hyphen</v>
      </c>
      <c r="C2689" t="str">
        <v>Bridge</v>
      </c>
      <c r="D2689" t="str">
        <v>BICO</v>
      </c>
      <c r="E2689">
        <v>149651.751249803</v>
      </c>
      <c r="F2689">
        <v>58604829.861974187</v>
      </c>
    </row>
    <row r="2690" spans="2:6" ht="15.75" customHeight="1" x14ac:dyDescent="0.25">
      <c r="B2690" t="str">
        <v>HypurrFi Isolated</v>
      </c>
      <c r="C2690" t="str">
        <v>Lending</v>
      </c>
      <c r="D2690" t="str">
        <v>-</v>
      </c>
      <c r="E2690">
        <v>4572763.0791498944</v>
      </c>
      <c r="F2690">
        <v>0</v>
      </c>
    </row>
    <row r="2691" spans="2:6" ht="15.75" customHeight="1" x14ac:dyDescent="0.25">
      <c r="B2691" t="str">
        <v>HypurrFi Pooled</v>
      </c>
      <c r="C2691" t="str">
        <v>Lending</v>
      </c>
      <c r="D2691" t="str">
        <v>-</v>
      </c>
      <c r="E2691">
        <v>51019994.005549237</v>
      </c>
      <c r="F2691">
        <v>0</v>
      </c>
    </row>
    <row r="2692" spans="2:6" ht="15.75" customHeight="1" x14ac:dyDescent="0.25">
      <c r="B2692" t="str">
        <v>iAero Protocol</v>
      </c>
      <c r="C2692" t="str">
        <v>Liquid Staking</v>
      </c>
      <c r="D2692" t="str">
        <v>LIQ</v>
      </c>
      <c r="E2692">
        <v>2093064.7589212898</v>
      </c>
      <c r="F2692">
        <v>0</v>
      </c>
    </row>
    <row r="2693" spans="2:6" ht="15.75" customHeight="1" x14ac:dyDescent="0.25">
      <c r="B2693" t="str">
        <v>Iagon</v>
      </c>
      <c r="C2693" t="str">
        <v>Services</v>
      </c>
      <c r="D2693" t="str">
        <v>IAG</v>
      </c>
      <c r="E2693">
        <v>0</v>
      </c>
      <c r="F2693">
        <v>28201154.918875076</v>
      </c>
    </row>
    <row r="2694" spans="2:6" ht="15.75" customHeight="1" x14ac:dyDescent="0.25">
      <c r="B2694" t="str">
        <v>IBC</v>
      </c>
      <c r="C2694" t="str">
        <v>Bridge</v>
      </c>
      <c r="D2694" t="str">
        <v>-</v>
      </c>
      <c r="E2694">
        <v>0</v>
      </c>
      <c r="F2694">
        <v>0</v>
      </c>
    </row>
    <row r="2695" spans="2:6" ht="15.75" customHeight="1" x14ac:dyDescent="0.25">
      <c r="B2695" t="str">
        <v>IBCX</v>
      </c>
      <c r="C2695" t="str">
        <v>Indexes</v>
      </c>
      <c r="D2695" t="str">
        <v>IBCX</v>
      </c>
      <c r="E2695">
        <v>5235.8261546156727</v>
      </c>
      <c r="F2695">
        <v>0</v>
      </c>
    </row>
    <row r="2696" spans="2:6" ht="15.75" customHeight="1" x14ac:dyDescent="0.25">
      <c r="B2696" t="str">
        <v>iBTC Finance</v>
      </c>
      <c r="C2696" t="str">
        <v>Liquid Restaking</v>
      </c>
      <c r="D2696" t="str">
        <v>-</v>
      </c>
      <c r="E2696">
        <v>371.34836637818177</v>
      </c>
      <c r="F2696">
        <v>0</v>
      </c>
    </row>
    <row r="2697" spans="2:6" ht="15.75" customHeight="1" x14ac:dyDescent="0.25">
      <c r="B2697" t="str">
        <v>iBTC Network</v>
      </c>
      <c r="C2697" t="str">
        <v>Decentralized BTC</v>
      </c>
      <c r="D2697" t="str">
        <v>-</v>
      </c>
      <c r="E2697">
        <v>1263867.6655510354</v>
      </c>
      <c r="F2697">
        <v>0</v>
      </c>
    </row>
    <row r="2698" spans="2:6" ht="15.75" customHeight="1" x14ac:dyDescent="0.25">
      <c r="B2698" t="str">
        <v>ICDex</v>
      </c>
      <c r="C2698" t="str">
        <v>Dexs</v>
      </c>
      <c r="D2698" t="str">
        <v>ICL</v>
      </c>
      <c r="E2698">
        <v>715976.63120986754</v>
      </c>
      <c r="F2698">
        <v>0</v>
      </c>
    </row>
    <row r="2699" spans="2:6" ht="15.75" customHeight="1" x14ac:dyDescent="0.25">
      <c r="B2699" t="str">
        <v>Ice Colony</v>
      </c>
      <c r="C2699" t="str">
        <v>Yield</v>
      </c>
      <c r="D2699" t="str">
        <v>ICE</v>
      </c>
      <c r="E2699">
        <v>37.948494468142897</v>
      </c>
      <c r="F2699">
        <v>0</v>
      </c>
    </row>
    <row r="2700" spans="2:6" ht="15.75" customHeight="1" x14ac:dyDescent="0.25">
      <c r="B2700" t="str">
        <v>Ice DAO</v>
      </c>
      <c r="C2700" t="str">
        <v>Reserve Currency</v>
      </c>
      <c r="D2700" t="str">
        <v>ICE</v>
      </c>
      <c r="E2700">
        <v>0</v>
      </c>
      <c r="F2700">
        <v>0</v>
      </c>
    </row>
    <row r="2701" spans="2:6" ht="15.75" customHeight="1" x14ac:dyDescent="0.25">
      <c r="B2701" t="str">
        <v>IceCream Finance</v>
      </c>
      <c r="C2701" t="str">
        <v>Algo-Stables</v>
      </c>
      <c r="D2701" t="str">
        <v>CREAM</v>
      </c>
      <c r="E2701">
        <v>0</v>
      </c>
      <c r="F2701">
        <v>0</v>
      </c>
    </row>
    <row r="2702" spans="2:6" ht="15.75" customHeight="1" x14ac:dyDescent="0.25">
      <c r="B2702" t="str">
        <v>IcecreamSwap V2</v>
      </c>
      <c r="C2702" t="str">
        <v>Dexs</v>
      </c>
      <c r="D2702" t="str">
        <v>ICE</v>
      </c>
      <c r="E2702">
        <v>109340.94304687262</v>
      </c>
      <c r="F2702">
        <v>0</v>
      </c>
    </row>
    <row r="2703" spans="2:6" ht="15.75" customHeight="1" x14ac:dyDescent="0.25">
      <c r="B2703" t="str">
        <v>IcecreamSwap V3</v>
      </c>
      <c r="C2703" t="str">
        <v>Dexs</v>
      </c>
      <c r="D2703" t="str">
        <v>ICE</v>
      </c>
      <c r="E2703">
        <v>21281.044244815319</v>
      </c>
      <c r="F2703">
        <v>0</v>
      </c>
    </row>
    <row r="2704" spans="2:6" ht="15.75" customHeight="1" x14ac:dyDescent="0.25">
      <c r="B2704" t="str">
        <v>IceSwap</v>
      </c>
      <c r="C2704" t="str">
        <v>Dexs</v>
      </c>
      <c r="D2704" t="str">
        <v>IKE</v>
      </c>
      <c r="E2704">
        <v>339.96857962492925</v>
      </c>
      <c r="F2704">
        <v>0</v>
      </c>
    </row>
    <row r="2705" spans="2:6" ht="15.75" customHeight="1" x14ac:dyDescent="0.25">
      <c r="B2705" t="str">
        <v>ICHI</v>
      </c>
      <c r="C2705" t="str">
        <v>Liquidity manager</v>
      </c>
      <c r="D2705" t="str">
        <v>ICHI</v>
      </c>
      <c r="E2705">
        <v>22749807.03034744</v>
      </c>
      <c r="F2705">
        <v>0</v>
      </c>
    </row>
    <row r="2706" spans="2:6" ht="15.75" customHeight="1" x14ac:dyDescent="0.25">
      <c r="B2706" t="str">
        <v>ICPEx</v>
      </c>
      <c r="C2706" t="str">
        <v>Dexs</v>
      </c>
      <c r="D2706" t="str">
        <v>-</v>
      </c>
      <c r="E2706">
        <v>31574.166601886172</v>
      </c>
      <c r="F2706">
        <v>0</v>
      </c>
    </row>
    <row r="2707" spans="2:6" ht="15.75" customHeight="1" x14ac:dyDescent="0.25">
      <c r="B2707" t="str">
        <v>ICPSwap</v>
      </c>
      <c r="C2707" t="str">
        <v>Dexs</v>
      </c>
      <c r="D2707" t="str">
        <v>ICS</v>
      </c>
      <c r="E2707">
        <v>4396161</v>
      </c>
      <c r="F2707">
        <v>0</v>
      </c>
    </row>
    <row r="2708" spans="2:6" ht="15.75" customHeight="1" x14ac:dyDescent="0.25">
      <c r="B2708" t="str">
        <v>Ideamarket</v>
      </c>
      <c r="C2708" t="str">
        <v>Derivatives</v>
      </c>
      <c r="D2708" t="str">
        <v>IMO</v>
      </c>
      <c r="E2708">
        <v>163102.88108789909</v>
      </c>
      <c r="F2708">
        <v>0</v>
      </c>
    </row>
    <row r="2709" spans="2:6" ht="15.75" customHeight="1" x14ac:dyDescent="0.25">
      <c r="B2709" t="str">
        <v>IDEX Classic</v>
      </c>
      <c r="C2709" t="str">
        <v>Dexs</v>
      </c>
      <c r="D2709" t="str">
        <v>IDEX</v>
      </c>
      <c r="E2709">
        <v>1771483.9263081341</v>
      </c>
      <c r="F2709">
        <v>0</v>
      </c>
    </row>
    <row r="2710" spans="2:6" ht="15.75" customHeight="1" x14ac:dyDescent="0.25">
      <c r="B2710" t="str">
        <v>IDEX V1</v>
      </c>
      <c r="C2710" t="str">
        <v>Dexs</v>
      </c>
      <c r="D2710" t="str">
        <v>IDEX</v>
      </c>
      <c r="E2710">
        <v>51611703.772827588</v>
      </c>
      <c r="F2710">
        <v>0</v>
      </c>
    </row>
    <row r="2711" spans="2:6" ht="15.75" customHeight="1" x14ac:dyDescent="0.25">
      <c r="B2711" t="str">
        <v>Idle</v>
      </c>
      <c r="C2711" t="str">
        <v>Yield Aggregator</v>
      </c>
      <c r="D2711" t="str">
        <v>IDLE</v>
      </c>
      <c r="E2711">
        <v>46821053.923723578</v>
      </c>
      <c r="F2711">
        <v>0</v>
      </c>
    </row>
    <row r="2712" spans="2:6" ht="15.75" customHeight="1" x14ac:dyDescent="0.25">
      <c r="B2712" t="str">
        <v>iDos Games</v>
      </c>
      <c r="C2712" t="str">
        <v>Launchpad</v>
      </c>
      <c r="D2712" t="str">
        <v>-</v>
      </c>
      <c r="E2712">
        <v>16577.640195102129</v>
      </c>
      <c r="F2712">
        <v>0</v>
      </c>
    </row>
    <row r="2713" spans="2:6" ht="15.75" customHeight="1" x14ac:dyDescent="0.25">
      <c r="B2713" t="str">
        <v>IFPool</v>
      </c>
      <c r="C2713" t="str">
        <v>Liquid Staking</v>
      </c>
      <c r="D2713" t="str">
        <v>IFT</v>
      </c>
      <c r="E2713">
        <v>148770.65600766611</v>
      </c>
      <c r="F2713">
        <v>0</v>
      </c>
    </row>
    <row r="2714" spans="2:6" ht="15.75" customHeight="1" x14ac:dyDescent="0.25">
      <c r="B2714" t="str">
        <v>IFSwap</v>
      </c>
      <c r="C2714" t="str">
        <v>Dexs</v>
      </c>
      <c r="D2714" t="str">
        <v>IFS</v>
      </c>
      <c r="E2714">
        <v>493.82977078191436</v>
      </c>
      <c r="F2714">
        <v>0</v>
      </c>
    </row>
    <row r="2715" spans="2:6" ht="15.75" customHeight="1" x14ac:dyDescent="0.25">
      <c r="B2715" t="str">
        <v>Ignite Finance</v>
      </c>
      <c r="C2715" t="str">
        <v>Reserve Currency</v>
      </c>
      <c r="D2715" t="str">
        <v>TINDER</v>
      </c>
      <c r="E2715">
        <v>0</v>
      </c>
      <c r="F2715">
        <v>0</v>
      </c>
    </row>
    <row r="2716" spans="2:6" ht="15.75" customHeight="1" x14ac:dyDescent="0.25">
      <c r="B2716" t="str">
        <v>Ignore Fud</v>
      </c>
      <c r="C2716" t="str">
        <v>Staking Pool</v>
      </c>
      <c r="D2716" t="str">
        <v>4TOKEN</v>
      </c>
      <c r="E2716">
        <v>0</v>
      </c>
      <c r="F2716">
        <v>3950.4216165371604</v>
      </c>
    </row>
    <row r="2717" spans="2:6" ht="15.75" customHeight="1" x14ac:dyDescent="0.25">
      <c r="B2717" t="str">
        <v>Iguana Stableswap</v>
      </c>
      <c r="C2717" t="str">
        <v>Dexs</v>
      </c>
      <c r="D2717" t="str">
        <v>-</v>
      </c>
      <c r="E2717">
        <v>182.82037598622884</v>
      </c>
      <c r="F2717">
        <v>0</v>
      </c>
    </row>
    <row r="2718" spans="2:6" ht="15.75" customHeight="1" x14ac:dyDescent="0.25">
      <c r="B2718" t="str">
        <v>IguanaDEX V2</v>
      </c>
      <c r="C2718" t="str">
        <v>Dexs</v>
      </c>
      <c r="D2718" t="str">
        <v>-</v>
      </c>
      <c r="E2718">
        <v>288.47113330548422</v>
      </c>
      <c r="F2718">
        <v>0</v>
      </c>
    </row>
    <row r="2719" spans="2:6" ht="15.75" customHeight="1" x14ac:dyDescent="0.25">
      <c r="B2719" t="str">
        <v>IguanaDEX V3</v>
      </c>
      <c r="C2719" t="str">
        <v>Dexs</v>
      </c>
      <c r="D2719" t="str">
        <v>-</v>
      </c>
      <c r="E2719">
        <v>14064.903000970593</v>
      </c>
      <c r="F2719">
        <v>0</v>
      </c>
    </row>
    <row r="2720" spans="2:6" ht="15.75" customHeight="1" x14ac:dyDescent="0.25">
      <c r="B2720" t="str">
        <v>iLend V1</v>
      </c>
      <c r="C2720" t="str">
        <v>Lending</v>
      </c>
      <c r="D2720" t="str">
        <v>-</v>
      </c>
      <c r="E2720">
        <v>1975.0962983489012</v>
      </c>
      <c r="F2720">
        <v>0</v>
      </c>
    </row>
    <row r="2721" spans="2:6" ht="15.75" customHeight="1" x14ac:dyDescent="0.25">
      <c r="B2721" t="str">
        <v>iLend V2</v>
      </c>
      <c r="C2721" t="str">
        <v>Lending</v>
      </c>
      <c r="D2721" t="str">
        <v>-</v>
      </c>
      <c r="E2721">
        <v>169.904421255003</v>
      </c>
      <c r="F2721">
        <v>0</v>
      </c>
    </row>
    <row r="2722" spans="2:6" ht="15.75" customHeight="1" x14ac:dyDescent="0.25">
      <c r="B2722" t="str">
        <v>Illuminate</v>
      </c>
      <c r="C2722" t="str">
        <v>Lending</v>
      </c>
      <c r="D2722" t="str">
        <v>-</v>
      </c>
      <c r="E2722">
        <v>1143.6733016645978</v>
      </c>
      <c r="F2722">
        <v>0</v>
      </c>
    </row>
    <row r="2723" spans="2:6" ht="15.75" customHeight="1" x14ac:dyDescent="0.25">
      <c r="B2723" t="str">
        <v>illumineX</v>
      </c>
      <c r="C2723" t="str">
        <v>Cross Chain Bridge</v>
      </c>
      <c r="D2723" t="str">
        <v>IX</v>
      </c>
      <c r="E2723">
        <v>134378.02257608829</v>
      </c>
      <c r="F2723">
        <v>0</v>
      </c>
    </row>
    <row r="2724" spans="2:6" ht="15.75" customHeight="1" x14ac:dyDescent="0.25">
      <c r="B2724" t="str">
        <v>Illuvium</v>
      </c>
      <c r="C2724" t="str">
        <v>Gaming</v>
      </c>
      <c r="D2724" t="str">
        <v>ILV</v>
      </c>
      <c r="E2724">
        <v>0</v>
      </c>
      <c r="F2724">
        <v>56133205.146534905</v>
      </c>
    </row>
    <row r="2725" spans="2:6" ht="15.75" customHeight="1" x14ac:dyDescent="0.25">
      <c r="B2725" t="str">
        <v>ILoop</v>
      </c>
      <c r="C2725" t="str">
        <v>Lending</v>
      </c>
      <c r="D2725" t="str">
        <v>-</v>
      </c>
      <c r="E2725">
        <v>47258.437216379985</v>
      </c>
      <c r="F2725">
        <v>0</v>
      </c>
    </row>
    <row r="2726" spans="2:6" ht="15.75" customHeight="1" x14ac:dyDescent="0.25">
      <c r="B2726" t="str">
        <v>Immortal</v>
      </c>
      <c r="C2726" t="str">
        <v>Reserve Currency</v>
      </c>
      <c r="D2726" t="str">
        <v>IMMO</v>
      </c>
      <c r="E2726">
        <v>0</v>
      </c>
      <c r="F2726">
        <v>0</v>
      </c>
    </row>
    <row r="2727" spans="2:6" ht="15.75" customHeight="1" x14ac:dyDescent="0.25">
      <c r="B2727" t="str">
        <v>ImmortalX</v>
      </c>
      <c r="C2727" t="str">
        <v>Derivatives</v>
      </c>
      <c r="D2727" t="str">
        <v>IMTX</v>
      </c>
      <c r="E2727">
        <v>6949.0256637973171</v>
      </c>
      <c r="F2727">
        <v>0</v>
      </c>
    </row>
    <row r="2728" spans="2:6" ht="15.75" customHeight="1" x14ac:dyDescent="0.25">
      <c r="B2728" t="str">
        <v>Immutable Orderbook</v>
      </c>
      <c r="C2728" t="str">
        <v>NFT Marketplace</v>
      </c>
      <c r="D2728" t="str">
        <v>-</v>
      </c>
      <c r="E2728">
        <v>0</v>
      </c>
      <c r="F2728">
        <v>0</v>
      </c>
    </row>
    <row r="2729" spans="2:6" ht="15.75" customHeight="1" x14ac:dyDescent="0.25">
      <c r="B2729" t="str">
        <v>ImmutableX</v>
      </c>
      <c r="C2729" t="str">
        <v>NFT Marketplace</v>
      </c>
      <c r="D2729" t="str">
        <v>IMX</v>
      </c>
      <c r="E2729">
        <v>19142074.760322195</v>
      </c>
      <c r="F2729">
        <v>224646274.87343469</v>
      </c>
    </row>
    <row r="2730" spans="2:6" ht="15.75" customHeight="1" x14ac:dyDescent="0.25">
      <c r="B2730" t="str">
        <v>ImpactMarket</v>
      </c>
      <c r="C2730" t="str">
        <v>Yield</v>
      </c>
      <c r="D2730" t="str">
        <v>PACT</v>
      </c>
      <c r="E2730">
        <v>0</v>
      </c>
      <c r="F2730">
        <v>0</v>
      </c>
    </row>
    <row r="2731" spans="2:6" ht="15.75" customHeight="1" x14ac:dyDescent="0.25">
      <c r="B2731" t="str">
        <v>Impermax V2</v>
      </c>
      <c r="C2731" t="str">
        <v>Lending</v>
      </c>
      <c r="D2731" t="str">
        <v>IBEX</v>
      </c>
      <c r="E2731">
        <v>1471383.3259466027</v>
      </c>
      <c r="F2731">
        <v>0</v>
      </c>
    </row>
    <row r="2732" spans="2:6" ht="15.75" customHeight="1" x14ac:dyDescent="0.25">
      <c r="B2732" t="str">
        <v>Impermax V3</v>
      </c>
      <c r="C2732" t="str">
        <v>Lending</v>
      </c>
      <c r="D2732" t="str">
        <v>IBEX</v>
      </c>
      <c r="E2732">
        <v>624089.83897312393</v>
      </c>
      <c r="F2732">
        <v>0</v>
      </c>
    </row>
    <row r="2733" spans="2:6" ht="15.75" customHeight="1" x14ac:dyDescent="0.25">
      <c r="B2733" t="str">
        <v>IMPLS</v>
      </c>
      <c r="C2733" t="str">
        <v>Yield Aggregator</v>
      </c>
      <c r="D2733" t="str">
        <v>IMPLS</v>
      </c>
      <c r="E2733">
        <v>6524.4373346022385</v>
      </c>
      <c r="F2733">
        <v>0</v>
      </c>
    </row>
    <row r="2734" spans="2:6" ht="15.75" customHeight="1" x14ac:dyDescent="0.25">
      <c r="B2734" t="str">
        <v>Impossible Finance</v>
      </c>
      <c r="C2734" t="str">
        <v>Launchpad</v>
      </c>
      <c r="D2734" t="str">
        <v>IDIA</v>
      </c>
      <c r="E2734">
        <v>212725.08468451837</v>
      </c>
      <c r="F2734">
        <v>15353559.9841947</v>
      </c>
    </row>
    <row r="2735" spans="2:6" ht="15.75" customHeight="1" x14ac:dyDescent="0.25">
      <c r="B2735" t="str">
        <v>Inbuilt Finance</v>
      </c>
      <c r="C2735" t="str">
        <v>Yield</v>
      </c>
      <c r="D2735" t="str">
        <v>-</v>
      </c>
      <c r="E2735">
        <v>0</v>
      </c>
      <c r="F2735">
        <v>0</v>
      </c>
    </row>
    <row r="2736" spans="2:6" ht="15.75" customHeight="1" x14ac:dyDescent="0.25">
      <c r="B2736" t="str">
        <v>IncaSwap</v>
      </c>
      <c r="C2736" t="str">
        <v>Dexs</v>
      </c>
      <c r="D2736" t="str">
        <v>INCA</v>
      </c>
      <c r="E2736">
        <v>52323.648492144268</v>
      </c>
      <c r="F2736">
        <v>0</v>
      </c>
    </row>
    <row r="2737" spans="2:6" ht="15.75" customHeight="1" x14ac:dyDescent="0.25">
      <c r="B2737" t="str">
        <v>InceptionLRT (Isolated Restaking)</v>
      </c>
      <c r="C2737" t="str">
        <v>Liquid Restaking</v>
      </c>
      <c r="D2737" t="str">
        <v>-</v>
      </c>
      <c r="E2737">
        <v>8521723.1263030749</v>
      </c>
      <c r="F2737">
        <v>0</v>
      </c>
    </row>
    <row r="2738" spans="2:6" ht="15.75" customHeight="1" x14ac:dyDescent="0.25">
      <c r="B2738" t="str">
        <v>Incognito</v>
      </c>
      <c r="C2738" t="str">
        <v>Dexs</v>
      </c>
      <c r="D2738" t="str">
        <v>-</v>
      </c>
      <c r="E2738">
        <v>216.31167177546919</v>
      </c>
      <c r="F2738">
        <v>0</v>
      </c>
    </row>
    <row r="2739" spans="2:6" ht="15.75" customHeight="1" x14ac:dyDescent="0.25">
      <c r="B2739" t="str">
        <v>Incprinter</v>
      </c>
      <c r="C2739" t="str">
        <v>CDP</v>
      </c>
      <c r="D2739" t="str">
        <v>PRINT</v>
      </c>
      <c r="E2739">
        <v>1267293.3451379344</v>
      </c>
      <c r="F2739">
        <v>0</v>
      </c>
    </row>
    <row r="2740" spans="2:6" ht="15.75" customHeight="1" x14ac:dyDescent="0.25">
      <c r="B2740" t="str">
        <v>Increment Lending</v>
      </c>
      <c r="C2740" t="str">
        <v>Lending</v>
      </c>
      <c r="D2740" t="str">
        <v>-</v>
      </c>
      <c r="E2740">
        <v>1284554</v>
      </c>
      <c r="F2740">
        <v>0</v>
      </c>
    </row>
    <row r="2741" spans="2:6" ht="15.75" customHeight="1" x14ac:dyDescent="0.25">
      <c r="B2741" t="str">
        <v>Increment Liquid Staking</v>
      </c>
      <c r="C2741" t="str">
        <v>Liquid Staking</v>
      </c>
      <c r="D2741" t="str">
        <v>-</v>
      </c>
      <c r="E2741">
        <v>1686615.7058576352</v>
      </c>
      <c r="F2741">
        <v>0</v>
      </c>
    </row>
    <row r="2742" spans="2:6" ht="15.75" customHeight="1" x14ac:dyDescent="0.25">
      <c r="B2742" t="str">
        <v>Increment Protocol</v>
      </c>
      <c r="C2742" t="str">
        <v>Derivatives</v>
      </c>
      <c r="D2742" t="str">
        <v>-</v>
      </c>
      <c r="E2742">
        <v>13157.990843536807</v>
      </c>
      <c r="F2742">
        <v>0</v>
      </c>
    </row>
    <row r="2743" spans="2:6" ht="15.75" customHeight="1" x14ac:dyDescent="0.25">
      <c r="B2743" t="str">
        <v>Increment Swap</v>
      </c>
      <c r="C2743" t="str">
        <v>Dexs</v>
      </c>
      <c r="D2743" t="str">
        <v>-</v>
      </c>
      <c r="E2743">
        <v>15989419.978377398</v>
      </c>
      <c r="F2743">
        <v>0</v>
      </c>
    </row>
    <row r="2744" spans="2:6" ht="15.75" customHeight="1" x14ac:dyDescent="0.25">
      <c r="B2744" t="str">
        <v>Index Coop</v>
      </c>
      <c r="C2744" t="str">
        <v>Indexes</v>
      </c>
      <c r="D2744" t="str">
        <v>INDEX</v>
      </c>
      <c r="E2744">
        <v>26272790.415610366</v>
      </c>
      <c r="F2744">
        <v>3457068.0220956821</v>
      </c>
    </row>
    <row r="2745" spans="2:6" ht="15.75" customHeight="1" x14ac:dyDescent="0.25">
      <c r="B2745" t="str">
        <v>Indexed Finance</v>
      </c>
      <c r="C2745" t="str">
        <v>Indexes</v>
      </c>
      <c r="D2745" t="str">
        <v>NDX</v>
      </c>
      <c r="E2745">
        <v>189082.57410320069</v>
      </c>
      <c r="F2745">
        <v>13933.277520913816</v>
      </c>
    </row>
    <row r="2746" spans="2:6" ht="15.75" customHeight="1" x14ac:dyDescent="0.25">
      <c r="B2746" t="str">
        <v>India Covid Relief Fund</v>
      </c>
      <c r="C2746" t="str">
        <v>Services</v>
      </c>
      <c r="D2746" t="str">
        <v>-</v>
      </c>
      <c r="E2746">
        <v>0</v>
      </c>
      <c r="F2746">
        <v>0</v>
      </c>
    </row>
    <row r="2747" spans="2:6" ht="15.75" customHeight="1" x14ac:dyDescent="0.25">
      <c r="B2747" t="str">
        <v>Indigo</v>
      </c>
      <c r="C2747" t="str">
        <v>CDP</v>
      </c>
      <c r="D2747" t="str">
        <v>INDY</v>
      </c>
      <c r="E2747">
        <v>11148242.541732827</v>
      </c>
      <c r="F2747">
        <v>5430033.9911344461</v>
      </c>
    </row>
    <row r="2748" spans="2:6" ht="15.75" customHeight="1" x14ac:dyDescent="0.25">
      <c r="B2748" t="str">
        <v>INDX</v>
      </c>
      <c r="C2748" t="str">
        <v>Indexes</v>
      </c>
      <c r="D2748" t="str">
        <v>-</v>
      </c>
      <c r="E2748">
        <v>7338.8913069836717</v>
      </c>
      <c r="F2748">
        <v>0</v>
      </c>
    </row>
    <row r="2749" spans="2:6" ht="15.75" customHeight="1" x14ac:dyDescent="0.25">
      <c r="B2749" t="str">
        <v>INERTIA</v>
      </c>
      <c r="C2749" t="str">
        <v>Lending</v>
      </c>
      <c r="D2749" t="str">
        <v>-</v>
      </c>
      <c r="E2749">
        <v>497266.60699853505</v>
      </c>
      <c r="F2749">
        <v>0</v>
      </c>
    </row>
    <row r="2750" spans="2:6" ht="15.75" customHeight="1" x14ac:dyDescent="0.25">
      <c r="B2750" t="str">
        <v>Inertia Bridge</v>
      </c>
      <c r="C2750" t="str">
        <v>Canonical Bridge</v>
      </c>
      <c r="D2750" t="str">
        <v>-</v>
      </c>
      <c r="E2750">
        <v>503444.35375124135</v>
      </c>
      <c r="F2750">
        <v>0</v>
      </c>
    </row>
    <row r="2751" spans="2:6" ht="15.75" customHeight="1" x14ac:dyDescent="0.25">
      <c r="B2751" t="str">
        <v>Inferno Swap</v>
      </c>
      <c r="C2751" t="str">
        <v>Dexs</v>
      </c>
      <c r="D2751" t="str">
        <v>-</v>
      </c>
      <c r="E2751">
        <v>6.6423992548626929</v>
      </c>
      <c r="F2751">
        <v>0</v>
      </c>
    </row>
    <row r="2752" spans="2:6" ht="15.75" customHeight="1" x14ac:dyDescent="0.25">
      <c r="B2752" t="str">
        <v>Infinex Perp</v>
      </c>
      <c r="C2752" t="str">
        <v>Interface</v>
      </c>
      <c r="D2752" t="str">
        <v>-</v>
      </c>
      <c r="E2752">
        <v>0</v>
      </c>
      <c r="F2752">
        <v>0</v>
      </c>
    </row>
    <row r="2753" spans="2:6" ht="15.75" customHeight="1" x14ac:dyDescent="0.25">
      <c r="B2753" t="str">
        <v>Infinex Spot</v>
      </c>
      <c r="C2753" t="str">
        <v>Dexs</v>
      </c>
      <c r="D2753" t="str">
        <v>-</v>
      </c>
      <c r="E2753">
        <v>0</v>
      </c>
      <c r="F2753">
        <v>0</v>
      </c>
    </row>
    <row r="2754" spans="2:6" ht="15.75" customHeight="1" x14ac:dyDescent="0.25">
      <c r="B2754" t="str">
        <v>infiniFi</v>
      </c>
      <c r="C2754" t="str">
        <v>Yield</v>
      </c>
      <c r="D2754" t="str">
        <v>-</v>
      </c>
      <c r="E2754">
        <v>181368884.87699741</v>
      </c>
      <c r="F2754">
        <v>0</v>
      </c>
    </row>
    <row r="2755" spans="2:6" ht="15.75" customHeight="1" x14ac:dyDescent="0.25">
      <c r="B2755" t="str">
        <v>INFINIT</v>
      </c>
      <c r="C2755" t="str">
        <v>AI Agents</v>
      </c>
      <c r="D2755" t="str">
        <v>IN</v>
      </c>
      <c r="E2755">
        <v>0</v>
      </c>
      <c r="F2755">
        <v>16571685.517977092</v>
      </c>
    </row>
    <row r="2756" spans="2:6" ht="15.75" customHeight="1" x14ac:dyDescent="0.25">
      <c r="B2756" t="str">
        <v>Infinite Trading Protocol</v>
      </c>
      <c r="C2756" t="str">
        <v>AI Agents</v>
      </c>
      <c r="D2756" t="str">
        <v>ITP</v>
      </c>
      <c r="E2756">
        <v>67159.188028795063</v>
      </c>
      <c r="F2756">
        <v>0</v>
      </c>
    </row>
    <row r="2757" spans="2:6" ht="15.75" customHeight="1" x14ac:dyDescent="0.25">
      <c r="B2757" t="str">
        <v>InfiniTORR</v>
      </c>
      <c r="C2757" t="str">
        <v>Dexs</v>
      </c>
      <c r="D2757" t="str">
        <v>TORR</v>
      </c>
      <c r="E2757">
        <v>1668.3294891652783</v>
      </c>
      <c r="F2757">
        <v>0</v>
      </c>
    </row>
    <row r="2758" spans="2:6" ht="15.75" customHeight="1" x14ac:dyDescent="0.25">
      <c r="B2758" t="str">
        <v>Infinity Hedge Fund</v>
      </c>
      <c r="C2758" t="str">
        <v>Farm</v>
      </c>
      <c r="D2758" t="str">
        <v>IHF</v>
      </c>
      <c r="E2758">
        <v>0</v>
      </c>
      <c r="F2758">
        <v>0</v>
      </c>
    </row>
    <row r="2759" spans="2:6" ht="15.75" customHeight="1" x14ac:dyDescent="0.25">
      <c r="B2759" t="str">
        <v>Infinity Pad</v>
      </c>
      <c r="C2759" t="str">
        <v>Launchpad</v>
      </c>
      <c r="D2759" t="str">
        <v>IPAD</v>
      </c>
      <c r="E2759">
        <v>0</v>
      </c>
      <c r="F2759">
        <v>15663.83289253027</v>
      </c>
    </row>
    <row r="2760" spans="2:6" ht="15.75" customHeight="1" x14ac:dyDescent="0.25">
      <c r="B2760" t="str">
        <v>InfinityName</v>
      </c>
      <c r="C2760" t="str">
        <v>Domains</v>
      </c>
      <c r="D2760" t="str">
        <v>-</v>
      </c>
      <c r="E2760">
        <v>0</v>
      </c>
      <c r="F2760">
        <v>0</v>
      </c>
    </row>
    <row r="2761" spans="2:6" ht="15.75" customHeight="1" x14ac:dyDescent="0.25">
      <c r="B2761" t="str">
        <v>InfinityPools</v>
      </c>
      <c r="C2761" t="str">
        <v>Derivatives</v>
      </c>
      <c r="D2761" t="str">
        <v>-</v>
      </c>
      <c r="E2761">
        <v>156100.09478179133</v>
      </c>
      <c r="F2761">
        <v>0</v>
      </c>
    </row>
    <row r="2762" spans="2:6" ht="15.75" customHeight="1" x14ac:dyDescent="0.25">
      <c r="B2762" t="str">
        <v>Influpia</v>
      </c>
      <c r="C2762" t="str">
        <v>Dexs</v>
      </c>
      <c r="D2762" t="str">
        <v>ING</v>
      </c>
      <c r="E2762">
        <v>16771.616618394251</v>
      </c>
      <c r="F2762">
        <v>0</v>
      </c>
    </row>
    <row r="2763" spans="2:6" ht="15.75" customHeight="1" x14ac:dyDescent="0.25">
      <c r="B2763" t="str">
        <v>Infrared Finance</v>
      </c>
      <c r="C2763" t="str">
        <v>Liquid Staking</v>
      </c>
      <c r="D2763" t="str">
        <v>-</v>
      </c>
      <c r="E2763">
        <v>199009250.31309286</v>
      </c>
      <c r="F2763">
        <v>0</v>
      </c>
    </row>
    <row r="2764" spans="2:6" ht="15.75" customHeight="1" x14ac:dyDescent="0.25">
      <c r="B2764" t="str">
        <v>Infusion</v>
      </c>
      <c r="C2764" t="str">
        <v>Dexs</v>
      </c>
      <c r="D2764" t="str">
        <v>-</v>
      </c>
      <c r="E2764">
        <v>99563.803240008579</v>
      </c>
      <c r="F2764">
        <v>0</v>
      </c>
    </row>
    <row r="2765" spans="2:6" ht="15.75" customHeight="1" x14ac:dyDescent="0.25">
      <c r="B2765" t="str">
        <v>Infy Protocol</v>
      </c>
      <c r="C2765" t="str">
        <v>NFT Lending</v>
      </c>
      <c r="D2765" t="str">
        <v>-</v>
      </c>
      <c r="E2765">
        <v>1.0413638827005511</v>
      </c>
      <c r="F2765">
        <v>0</v>
      </c>
    </row>
    <row r="2766" spans="2:6" ht="15.75" customHeight="1" x14ac:dyDescent="0.25">
      <c r="B2766" t="str">
        <v>INIT Capital</v>
      </c>
      <c r="C2766" t="str">
        <v>Lending</v>
      </c>
      <c r="D2766" t="str">
        <v>-</v>
      </c>
      <c r="E2766">
        <v>9955706.68777504</v>
      </c>
      <c r="F2766">
        <v>0</v>
      </c>
    </row>
    <row r="2767" spans="2:6" ht="15.75" customHeight="1" x14ac:dyDescent="0.25">
      <c r="B2767" t="str">
        <v>InitiaDEX</v>
      </c>
      <c r="C2767" t="str">
        <v>Dexs</v>
      </c>
      <c r="D2767" t="str">
        <v>-</v>
      </c>
      <c r="E2767">
        <v>3234806.2850087727</v>
      </c>
      <c r="F2767">
        <v>0</v>
      </c>
    </row>
    <row r="2768" spans="2:6" ht="15.75" customHeight="1" x14ac:dyDescent="0.25">
      <c r="B2768" t="str">
        <v>Injective Bridge</v>
      </c>
      <c r="C2768" t="str">
        <v>Bridge</v>
      </c>
      <c r="D2768" t="str">
        <v>INJ</v>
      </c>
      <c r="E2768">
        <v>18667101.748833649</v>
      </c>
      <c r="F2768">
        <v>0</v>
      </c>
    </row>
    <row r="2769" spans="2:6" ht="15.75" customHeight="1" x14ac:dyDescent="0.25">
      <c r="B2769" t="str">
        <v>Injective Perps</v>
      </c>
      <c r="C2769" t="str">
        <v>Derivatives</v>
      </c>
      <c r="D2769" t="str">
        <v>INJ</v>
      </c>
      <c r="E2769">
        <v>0</v>
      </c>
      <c r="F2769">
        <v>0</v>
      </c>
    </row>
    <row r="2770" spans="2:6" ht="15.75" customHeight="1" x14ac:dyDescent="0.25">
      <c r="B2770" t="str">
        <v>Injective Spot</v>
      </c>
      <c r="C2770" t="str">
        <v>Dexs</v>
      </c>
      <c r="D2770" t="str">
        <v>INJ</v>
      </c>
      <c r="E2770">
        <v>0</v>
      </c>
      <c r="F2770">
        <v>0</v>
      </c>
    </row>
    <row r="2771" spans="2:6" ht="15.75" customHeight="1" x14ac:dyDescent="0.25">
      <c r="B2771" t="str">
        <v>Injera</v>
      </c>
      <c r="C2771" t="str">
        <v>CDP</v>
      </c>
      <c r="D2771" t="str">
        <v>-</v>
      </c>
      <c r="E2771">
        <v>1951.2585017687074</v>
      </c>
      <c r="F2771">
        <v>0</v>
      </c>
    </row>
    <row r="2772" spans="2:6" ht="15.75" customHeight="1" x14ac:dyDescent="0.25">
      <c r="B2772" t="str">
        <v>Injex Finance</v>
      </c>
      <c r="C2772" t="str">
        <v>DEX Aggregator</v>
      </c>
      <c r="D2772" t="str">
        <v>-</v>
      </c>
      <c r="E2772">
        <v>0</v>
      </c>
      <c r="F2772">
        <v>0</v>
      </c>
    </row>
    <row r="2773" spans="2:6" ht="15.75" customHeight="1" x14ac:dyDescent="0.25">
      <c r="B2773" t="str">
        <v>Ink Bridge</v>
      </c>
      <c r="C2773" t="str">
        <v>Canonical Bridge</v>
      </c>
      <c r="D2773" t="str">
        <v>-</v>
      </c>
      <c r="E2773">
        <v>37.443173781836244</v>
      </c>
      <c r="F2773">
        <v>0</v>
      </c>
    </row>
    <row r="2774" spans="2:6" ht="15.75" customHeight="1" x14ac:dyDescent="0.25">
      <c r="B2774" t="str">
        <v>INK Protocol</v>
      </c>
      <c r="C2774" t="str">
        <v>Yield</v>
      </c>
      <c r="D2774" t="str">
        <v>-</v>
      </c>
      <c r="E2774">
        <v>0</v>
      </c>
      <c r="F2774">
        <v>0</v>
      </c>
    </row>
    <row r="2775" spans="2:6" ht="15.75" customHeight="1" x14ac:dyDescent="0.25">
      <c r="B2775" t="str">
        <v>InkSwap</v>
      </c>
      <c r="C2775" t="str">
        <v>Dexs</v>
      </c>
      <c r="D2775" t="str">
        <v>-</v>
      </c>
      <c r="E2775">
        <v>33819.840703601541</v>
      </c>
      <c r="F2775">
        <v>0</v>
      </c>
    </row>
    <row r="2776" spans="2:6" ht="15.75" customHeight="1" x14ac:dyDescent="0.25">
      <c r="B2776" t="str">
        <v>InkySwap</v>
      </c>
      <c r="C2776" t="str">
        <v>Dexs</v>
      </c>
      <c r="D2776" t="str">
        <v>-</v>
      </c>
      <c r="E2776">
        <v>973126.008766799</v>
      </c>
      <c r="F2776">
        <v>0</v>
      </c>
    </row>
    <row r="2777" spans="2:6" ht="15.75" customHeight="1" x14ac:dyDescent="0.25">
      <c r="B2777" t="str">
        <v>Insilico Terminal</v>
      </c>
      <c r="C2777" t="str">
        <v>Interface</v>
      </c>
      <c r="D2777" t="str">
        <v>-</v>
      </c>
      <c r="E2777">
        <v>0</v>
      </c>
      <c r="F2777">
        <v>0</v>
      </c>
    </row>
    <row r="2778" spans="2:6" ht="15.75" customHeight="1" x14ac:dyDescent="0.25">
      <c r="B2778" t="str">
        <v>Instrumental Finance</v>
      </c>
      <c r="C2778" t="str">
        <v>Yield</v>
      </c>
      <c r="D2778" t="str">
        <v>STRM</v>
      </c>
      <c r="E2778">
        <v>0</v>
      </c>
      <c r="F2778">
        <v>0</v>
      </c>
    </row>
    <row r="2779" spans="2:6" ht="15.75" customHeight="1" x14ac:dyDescent="0.25">
      <c r="B2779" t="str">
        <v>InsurAce</v>
      </c>
      <c r="C2779" t="str">
        <v>Insurance</v>
      </c>
      <c r="D2779" t="str">
        <v>INSUR</v>
      </c>
      <c r="E2779">
        <v>157784.75418735913</v>
      </c>
      <c r="F2779">
        <v>104061.78894870238</v>
      </c>
    </row>
    <row r="2780" spans="2:6" ht="15.75" customHeight="1" x14ac:dyDescent="0.25">
      <c r="B2780" t="str">
        <v>InsureDAO</v>
      </c>
      <c r="C2780" t="str">
        <v>Insurance</v>
      </c>
      <c r="D2780" t="str">
        <v>INSURE</v>
      </c>
      <c r="E2780">
        <v>123769.78656154325</v>
      </c>
      <c r="F2780">
        <v>0</v>
      </c>
    </row>
    <row r="2781" spans="2:6" ht="15.75" customHeight="1" x14ac:dyDescent="0.25">
      <c r="B2781" t="str">
        <v>InSwap</v>
      </c>
      <c r="C2781" t="str">
        <v>Dexs</v>
      </c>
      <c r="D2781" t="str">
        <v>-</v>
      </c>
      <c r="E2781">
        <v>298154.736456596</v>
      </c>
      <c r="F2781">
        <v>0</v>
      </c>
    </row>
    <row r="2782" spans="2:6" ht="15.75" customHeight="1" x14ac:dyDescent="0.25">
      <c r="B2782" t="str">
        <v>Integral</v>
      </c>
      <c r="C2782" t="str">
        <v>Dexs</v>
      </c>
      <c r="D2782" t="str">
        <v>ITGR</v>
      </c>
      <c r="E2782">
        <v>716357.31276575802</v>
      </c>
      <c r="F2782">
        <v>155046.34125727779</v>
      </c>
    </row>
    <row r="2783" spans="2:6" ht="15.75" customHeight="1" x14ac:dyDescent="0.25">
      <c r="B2783" t="str">
        <v>IntentX</v>
      </c>
      <c r="C2783" t="str">
        <v>Derivatives</v>
      </c>
      <c r="D2783" t="str">
        <v>-</v>
      </c>
      <c r="E2783">
        <v>5673214.3039259482</v>
      </c>
      <c r="F2783">
        <v>0</v>
      </c>
    </row>
    <row r="2784" spans="2:6" ht="15.75" customHeight="1" x14ac:dyDescent="0.25">
      <c r="B2784" t="str">
        <v>Inter Protocol</v>
      </c>
      <c r="C2784" t="str">
        <v>CDP</v>
      </c>
      <c r="D2784" t="str">
        <v>-</v>
      </c>
      <c r="E2784">
        <v>125359.86719310748</v>
      </c>
      <c r="F2784">
        <v>0</v>
      </c>
    </row>
    <row r="2785" spans="2:6" ht="15.75" customHeight="1" x14ac:dyDescent="0.25">
      <c r="B2785" t="str">
        <v>Intercroneswap</v>
      </c>
      <c r="C2785" t="str">
        <v>Dexs</v>
      </c>
      <c r="D2785" t="str">
        <v>ICR</v>
      </c>
      <c r="E2785">
        <v>321895.58327684825</v>
      </c>
      <c r="F2785">
        <v>0</v>
      </c>
    </row>
    <row r="2786" spans="2:6" ht="15.75" customHeight="1" x14ac:dyDescent="0.25">
      <c r="B2786" t="str">
        <v>Interest Curve</v>
      </c>
      <c r="C2786" t="str">
        <v>Dexs</v>
      </c>
      <c r="D2786" t="str">
        <v>-</v>
      </c>
      <c r="E2786">
        <v>5275.6409616167612</v>
      </c>
      <c r="F2786">
        <v>0</v>
      </c>
    </row>
    <row r="2787" spans="2:6" ht="15.75" customHeight="1" x14ac:dyDescent="0.25">
      <c r="B2787" t="str">
        <v>Interest DEX</v>
      </c>
      <c r="C2787" t="str">
        <v>Dexs</v>
      </c>
      <c r="D2787" t="str">
        <v>-</v>
      </c>
      <c r="E2787">
        <v>22.801889897022207</v>
      </c>
      <c r="F2787">
        <v>0</v>
      </c>
    </row>
    <row r="2788" spans="2:6" ht="15.75" customHeight="1" x14ac:dyDescent="0.25">
      <c r="B2788" t="str">
        <v>Interest Protocol</v>
      </c>
      <c r="C2788" t="str">
        <v>CDP</v>
      </c>
      <c r="D2788" t="str">
        <v>USDI</v>
      </c>
      <c r="E2788">
        <v>78850.702961356525</v>
      </c>
      <c r="F2788">
        <v>0</v>
      </c>
    </row>
    <row r="2789" spans="2:6" ht="15.75" customHeight="1" x14ac:dyDescent="0.25">
      <c r="B2789" t="str">
        <v>Interest Protocol Stable Swap</v>
      </c>
      <c r="C2789" t="str">
        <v>Dexs</v>
      </c>
      <c r="D2789" t="str">
        <v>IPX</v>
      </c>
      <c r="E2789">
        <v>7254.4522564025719</v>
      </c>
      <c r="F2789">
        <v>0</v>
      </c>
    </row>
    <row r="2790" spans="2:6" ht="15.75" customHeight="1" x14ac:dyDescent="0.25">
      <c r="B2790" t="str">
        <v>Interest Protocol-SUI</v>
      </c>
      <c r="C2790" t="str">
        <v>Dexs</v>
      </c>
      <c r="D2790" t="str">
        <v>IPX</v>
      </c>
      <c r="E2790">
        <v>6506.6177162697604</v>
      </c>
      <c r="F2790">
        <v>0</v>
      </c>
    </row>
    <row r="2791" spans="2:6" ht="15.75" customHeight="1" x14ac:dyDescent="0.25">
      <c r="B2791" t="str">
        <v>Interface Social</v>
      </c>
      <c r="C2791" t="str">
        <v>Interface</v>
      </c>
      <c r="D2791" t="str">
        <v>-</v>
      </c>
      <c r="E2791">
        <v>0</v>
      </c>
      <c r="F2791">
        <v>0</v>
      </c>
    </row>
    <row r="2792" spans="2:6" ht="15.75" customHeight="1" x14ac:dyDescent="0.25">
      <c r="B2792" t="str">
        <v>Interlay BTC</v>
      </c>
      <c r="C2792" t="str">
        <v>Bridge</v>
      </c>
      <c r="D2792" t="str">
        <v>INTR</v>
      </c>
      <c r="E2792">
        <v>228571.55784312129</v>
      </c>
      <c r="F2792">
        <v>0</v>
      </c>
    </row>
    <row r="2793" spans="2:6" ht="15.75" customHeight="1" x14ac:dyDescent="0.25">
      <c r="B2793" t="str">
        <v>Interlay Collateral</v>
      </c>
      <c r="C2793" t="str">
        <v>Cross Chain Bridge</v>
      </c>
      <c r="D2793" t="str">
        <v>INTR</v>
      </c>
      <c r="E2793">
        <v>4425.7970353159899</v>
      </c>
      <c r="F2793">
        <v>0</v>
      </c>
    </row>
    <row r="2794" spans="2:6" ht="15.75" customHeight="1" x14ac:dyDescent="0.25">
      <c r="B2794" t="str">
        <v>Interlay Dex</v>
      </c>
      <c r="C2794" t="str">
        <v>Dexs</v>
      </c>
      <c r="D2794" t="str">
        <v>-</v>
      </c>
      <c r="E2794">
        <v>3968.1868747826193</v>
      </c>
      <c r="F2794">
        <v>0</v>
      </c>
    </row>
    <row r="2795" spans="2:6" ht="15.75" customHeight="1" x14ac:dyDescent="0.25">
      <c r="B2795" t="str">
        <v>Interlay Lending</v>
      </c>
      <c r="C2795" t="str">
        <v>Lending</v>
      </c>
      <c r="D2795" t="str">
        <v>-</v>
      </c>
      <c r="E2795">
        <v>273918.96541096549</v>
      </c>
      <c r="F2795">
        <v>0</v>
      </c>
    </row>
    <row r="2796" spans="2:6" ht="15.75" customHeight="1" x14ac:dyDescent="0.25">
      <c r="B2796" t="str">
        <v>Interlay Staking</v>
      </c>
      <c r="C2796" t="str">
        <v>Liquid Staking</v>
      </c>
      <c r="D2796" t="str">
        <v>INTR</v>
      </c>
      <c r="E2796">
        <v>0</v>
      </c>
      <c r="F2796">
        <v>0</v>
      </c>
    </row>
    <row r="2797" spans="2:6" ht="15.75" customHeight="1" x14ac:dyDescent="0.25">
      <c r="B2797" t="str">
        <v>International Meme Fund V1</v>
      </c>
      <c r="C2797" t="str">
        <v>CDP</v>
      </c>
      <c r="D2797" t="str">
        <v>IMF</v>
      </c>
      <c r="E2797">
        <v>20376.271183108282</v>
      </c>
      <c r="F2797">
        <v>0</v>
      </c>
    </row>
    <row r="2798" spans="2:6" ht="15.75" customHeight="1" x14ac:dyDescent="0.25">
      <c r="B2798" t="str">
        <v>International Meme Fund V2</v>
      </c>
      <c r="C2798" t="str">
        <v>Onchain Capital Allocator</v>
      </c>
      <c r="D2798" t="str">
        <v>IMF</v>
      </c>
      <c r="E2798">
        <v>1940048.4683637486</v>
      </c>
      <c r="F2798">
        <v>0</v>
      </c>
    </row>
    <row r="2799" spans="2:6" ht="15.75" customHeight="1" x14ac:dyDescent="0.25">
      <c r="B2799" t="str">
        <v>International Stable Currency</v>
      </c>
      <c r="C2799" t="str">
        <v>RWA</v>
      </c>
      <c r="D2799" t="str">
        <v>-</v>
      </c>
      <c r="E2799">
        <v>2398986.5124427481</v>
      </c>
      <c r="F2799">
        <v>0</v>
      </c>
    </row>
    <row r="2800" spans="2:6" ht="15.75" customHeight="1" x14ac:dyDescent="0.25">
      <c r="B2800" t="str">
        <v>Interport Finance</v>
      </c>
      <c r="C2800" t="str">
        <v>Cross Chain Bridge</v>
      </c>
      <c r="D2800" t="str">
        <v>ITP</v>
      </c>
      <c r="E2800">
        <v>25106.155812507361</v>
      </c>
      <c r="F2800">
        <v>263968.58216382063</v>
      </c>
    </row>
    <row r="2801" spans="2:6" ht="15.75" customHeight="1" x14ac:dyDescent="0.25">
      <c r="B2801" t="str">
        <v>Intswap</v>
      </c>
      <c r="C2801" t="str">
        <v>NFT Marketplace</v>
      </c>
      <c r="D2801" t="str">
        <v>-</v>
      </c>
      <c r="E2801">
        <v>2600.7006524389476</v>
      </c>
      <c r="F2801">
        <v>0</v>
      </c>
    </row>
    <row r="2802" spans="2:6" ht="15.75" customHeight="1" x14ac:dyDescent="0.25">
      <c r="B2802" t="str">
        <v>Intuition</v>
      </c>
      <c r="C2802" t="str">
        <v>Developer Tools</v>
      </c>
      <c r="D2802" t="str">
        <v>TRUST</v>
      </c>
      <c r="E2802">
        <v>6.2765749713147891E-3</v>
      </c>
      <c r="F2802">
        <v>21852152.405755494</v>
      </c>
    </row>
    <row r="2803" spans="2:6" ht="15.75" customHeight="1" x14ac:dyDescent="0.25">
      <c r="B2803" t="str">
        <v>INU FAIR</v>
      </c>
      <c r="C2803" t="str">
        <v>Dexs</v>
      </c>
      <c r="D2803" t="str">
        <v>-</v>
      </c>
      <c r="E2803">
        <v>803.06772541368957</v>
      </c>
      <c r="F2803">
        <v>0</v>
      </c>
    </row>
    <row r="2804" spans="2:6" ht="15.75" customHeight="1" x14ac:dyDescent="0.25">
      <c r="B2804" t="str">
        <v>Inuswap</v>
      </c>
      <c r="C2804" t="str">
        <v>Dexs</v>
      </c>
      <c r="D2804" t="str">
        <v>INU</v>
      </c>
      <c r="E2804">
        <v>142.97121198888959</v>
      </c>
      <c r="F2804">
        <v>0</v>
      </c>
    </row>
    <row r="2805" spans="2:6" ht="15.75" customHeight="1" x14ac:dyDescent="0.25">
      <c r="B2805" t="str">
        <v>InVar Finance</v>
      </c>
      <c r="C2805" t="str">
        <v>RWA</v>
      </c>
      <c r="D2805" t="str">
        <v>-</v>
      </c>
      <c r="E2805">
        <v>261.96303064192006</v>
      </c>
      <c r="F2805">
        <v>0</v>
      </c>
    </row>
    <row r="2806" spans="2:6" ht="15.75" customHeight="1" x14ac:dyDescent="0.25">
      <c r="B2806" t="str">
        <v>Invariant</v>
      </c>
      <c r="C2806" t="str">
        <v>Dexs</v>
      </c>
      <c r="D2806" t="str">
        <v>-</v>
      </c>
      <c r="E2806">
        <v>398741.48629327468</v>
      </c>
      <c r="F2806">
        <v>0</v>
      </c>
    </row>
    <row r="2807" spans="2:6" ht="15.75" customHeight="1" x14ac:dyDescent="0.25">
      <c r="B2807" t="str">
        <v>Invariant Group</v>
      </c>
      <c r="C2807" t="str">
        <v>Risk Curators</v>
      </c>
      <c r="D2807" t="str">
        <v>-</v>
      </c>
      <c r="E2807">
        <v>1257862.3315447762</v>
      </c>
      <c r="F2807">
        <v>0</v>
      </c>
    </row>
    <row r="2808" spans="2:6" ht="15.75" customHeight="1" x14ac:dyDescent="0.25">
      <c r="B2808" t="str">
        <v>Inverse Finance FiRM</v>
      </c>
      <c r="C2808" t="str">
        <v>CDP</v>
      </c>
      <c r="D2808" t="str">
        <v>INV</v>
      </c>
      <c r="E2808">
        <v>72238867.76181455</v>
      </c>
      <c r="F2808">
        <v>17542415.291506238</v>
      </c>
    </row>
    <row r="2809" spans="2:6" ht="15.75" customHeight="1" x14ac:dyDescent="0.25">
      <c r="B2809" t="str">
        <v>Inverse Finance Frontier</v>
      </c>
      <c r="C2809" t="str">
        <v>CDP</v>
      </c>
      <c r="D2809" t="str">
        <v>INV</v>
      </c>
      <c r="E2809">
        <v>15351320.91884372</v>
      </c>
      <c r="F2809">
        <v>0</v>
      </c>
    </row>
    <row r="2810" spans="2:6" ht="15.75" customHeight="1" x14ac:dyDescent="0.25">
      <c r="B2810" t="str">
        <v>Investin</v>
      </c>
      <c r="C2810" t="str">
        <v>Indexes</v>
      </c>
      <c r="D2810" t="str">
        <v>IVN</v>
      </c>
      <c r="E2810">
        <v>0</v>
      </c>
      <c r="F2810">
        <v>10134.281004105187</v>
      </c>
    </row>
    <row r="2811" spans="2:6" ht="15.75" customHeight="1" x14ac:dyDescent="0.25">
      <c r="B2811" t="str">
        <v>InvictusDAO</v>
      </c>
      <c r="C2811" t="str">
        <v>Reserve Currency</v>
      </c>
      <c r="D2811" t="str">
        <v>IN</v>
      </c>
      <c r="E2811">
        <v>1.6329999999999999E-3</v>
      </c>
      <c r="F2811">
        <v>20637.285072706098</v>
      </c>
    </row>
    <row r="2812" spans="2:6" ht="15.75" customHeight="1" x14ac:dyDescent="0.25">
      <c r="B2812" t="str">
        <v>IOLEND</v>
      </c>
      <c r="C2812" t="str">
        <v>Lending</v>
      </c>
      <c r="D2812" t="str">
        <v>IOL</v>
      </c>
      <c r="E2812">
        <v>14670.284687614618</v>
      </c>
      <c r="F2812">
        <v>0</v>
      </c>
    </row>
    <row r="2813" spans="2:6" ht="15.75" customHeight="1" x14ac:dyDescent="0.25">
      <c r="B2813" t="str">
        <v>ION DAO</v>
      </c>
      <c r="C2813" t="str">
        <v>Synthetics</v>
      </c>
      <c r="D2813" t="str">
        <v>ION</v>
      </c>
      <c r="E2813">
        <v>65057.079773423051</v>
      </c>
      <c r="F2813">
        <v>822887.55545284681</v>
      </c>
    </row>
    <row r="2814" spans="2:6" ht="15.75" customHeight="1" x14ac:dyDescent="0.25">
      <c r="B2814" t="str">
        <v>Ion Protocol</v>
      </c>
      <c r="C2814" t="str">
        <v>Lending</v>
      </c>
      <c r="D2814" t="str">
        <v>-</v>
      </c>
      <c r="E2814">
        <v>44884.120816873678</v>
      </c>
      <c r="F2814">
        <v>0</v>
      </c>
    </row>
    <row r="2815" spans="2:6" ht="15.75" customHeight="1" x14ac:dyDescent="0.25">
      <c r="B2815" t="str">
        <v>Ionex</v>
      </c>
      <c r="C2815" t="str">
        <v>Dexs</v>
      </c>
      <c r="D2815" t="str">
        <v>INX</v>
      </c>
      <c r="E2815">
        <v>151401.47129516274</v>
      </c>
      <c r="F2815">
        <v>0</v>
      </c>
    </row>
    <row r="2816" spans="2:6" ht="15.75" customHeight="1" x14ac:dyDescent="0.25">
      <c r="B2816" t="str">
        <v>Ionic Protocol</v>
      </c>
      <c r="C2816" t="str">
        <v>Lending</v>
      </c>
      <c r="D2816" t="str">
        <v>ION</v>
      </c>
      <c r="E2816">
        <v>2042238.8078521416</v>
      </c>
      <c r="F2816">
        <v>21899.389887924401</v>
      </c>
    </row>
    <row r="2817" spans="2:6" ht="15.75" customHeight="1" x14ac:dyDescent="0.25">
      <c r="B2817" t="str">
        <v>Ionise</v>
      </c>
      <c r="C2817" t="str">
        <v>Lending</v>
      </c>
      <c r="D2817" t="str">
        <v>-</v>
      </c>
      <c r="E2817">
        <v>4526.9099852742684</v>
      </c>
      <c r="F2817">
        <v>0</v>
      </c>
    </row>
    <row r="2818" spans="2:6" ht="15.75" customHeight="1" x14ac:dyDescent="0.25">
      <c r="B2818" t="str">
        <v>Iotabee</v>
      </c>
      <c r="C2818" t="str">
        <v>Dexs</v>
      </c>
      <c r="D2818" t="str">
        <v>-</v>
      </c>
      <c r="E2818">
        <v>9563.4982433444657</v>
      </c>
      <c r="F2818">
        <v>0</v>
      </c>
    </row>
    <row r="2819" spans="2:6" ht="15.75" customHeight="1" x14ac:dyDescent="0.25">
      <c r="B2819" t="str">
        <v>IoTeX Monster Go</v>
      </c>
      <c r="C2819" t="str">
        <v>Gaming</v>
      </c>
      <c r="D2819" t="str">
        <v>MTGO</v>
      </c>
      <c r="E2819">
        <v>0</v>
      </c>
      <c r="F2819">
        <v>0</v>
      </c>
    </row>
    <row r="2820" spans="2:6" ht="15.75" customHeight="1" x14ac:dyDescent="0.25">
      <c r="B2820" t="str">
        <v>ioTube</v>
      </c>
      <c r="C2820" t="str">
        <v>Bridge</v>
      </c>
      <c r="D2820" t="str">
        <v>-</v>
      </c>
      <c r="E2820">
        <v>11985018.205450054</v>
      </c>
      <c r="F2820">
        <v>0</v>
      </c>
    </row>
    <row r="2821" spans="2:6" ht="15.75" customHeight="1" x14ac:dyDescent="0.25">
      <c r="B2821" t="str">
        <v>IPOR Derivatives</v>
      </c>
      <c r="C2821" t="str">
        <v>Derivatives</v>
      </c>
      <c r="D2821" t="str">
        <v>-</v>
      </c>
      <c r="E2821">
        <v>2358241.9207791416</v>
      </c>
      <c r="F2821">
        <v>0</v>
      </c>
    </row>
    <row r="2822" spans="2:6" ht="15.75" customHeight="1" x14ac:dyDescent="0.25">
      <c r="B2822" t="str">
        <v>IPOR Fusion</v>
      </c>
      <c r="C2822" t="str">
        <v>Yield Aggregator</v>
      </c>
      <c r="D2822" t="str">
        <v>-</v>
      </c>
      <c r="E2822">
        <v>42288838.828999169</v>
      </c>
      <c r="F2822">
        <v>0</v>
      </c>
    </row>
    <row r="2823" spans="2:6" ht="15.75" customHeight="1" x14ac:dyDescent="0.25">
      <c r="B2823" t="str">
        <v>IQ</v>
      </c>
      <c r="C2823" t="str">
        <v>Services</v>
      </c>
      <c r="D2823" t="str">
        <v>IQ</v>
      </c>
      <c r="E2823">
        <v>0</v>
      </c>
      <c r="F2823">
        <v>42285341.565046102</v>
      </c>
    </row>
    <row r="2824" spans="2:6" ht="15.75" customHeight="1" x14ac:dyDescent="0.25">
      <c r="B2824" t="str">
        <v>Iron Bank</v>
      </c>
      <c r="C2824" t="str">
        <v>Lending</v>
      </c>
      <c r="D2824" t="str">
        <v>IB</v>
      </c>
      <c r="E2824">
        <v>6789320.8120136354</v>
      </c>
      <c r="F2824">
        <v>55383.484911977117</v>
      </c>
    </row>
    <row r="2825" spans="2:6" ht="15.75" customHeight="1" x14ac:dyDescent="0.25">
      <c r="B2825" t="str">
        <v>Iron Finance</v>
      </c>
      <c r="C2825" t="str">
        <v>CDP</v>
      </c>
      <c r="D2825" t="str">
        <v>IRON</v>
      </c>
      <c r="E2825">
        <v>315828.96523165517</v>
      </c>
      <c r="F2825">
        <v>0</v>
      </c>
    </row>
    <row r="2826" spans="2:6" ht="15.75" customHeight="1" x14ac:dyDescent="0.25">
      <c r="B2826" t="str">
        <v>Ironclad Finance</v>
      </c>
      <c r="C2826" t="str">
        <v>Lending</v>
      </c>
      <c r="D2826" t="str">
        <v>-</v>
      </c>
      <c r="E2826">
        <v>160923.62561696151</v>
      </c>
      <c r="F2826">
        <v>0</v>
      </c>
    </row>
    <row r="2827" spans="2:6" ht="15.75" customHeight="1" x14ac:dyDescent="0.25">
      <c r="B2827" t="str">
        <v>Iskra Fi</v>
      </c>
      <c r="C2827" t="str">
        <v>Farm</v>
      </c>
      <c r="D2827" t="str">
        <v>ISK</v>
      </c>
      <c r="E2827">
        <v>0</v>
      </c>
      <c r="F2827">
        <v>646004.27527146274</v>
      </c>
    </row>
    <row r="2828" spans="2:6" ht="15.75" customHeight="1" x14ac:dyDescent="0.25">
      <c r="B2828" t="str">
        <v>Isle Finance</v>
      </c>
      <c r="C2828" t="str">
        <v>RWA Lending</v>
      </c>
      <c r="D2828" t="str">
        <v>-</v>
      </c>
      <c r="E2828">
        <v>697260.42818689777</v>
      </c>
      <c r="F2828">
        <v>0</v>
      </c>
    </row>
    <row r="2829" spans="2:6" ht="15.75" customHeight="1" x14ac:dyDescent="0.25">
      <c r="B2829" t="str">
        <v>Ispolink</v>
      </c>
      <c r="C2829" t="str">
        <v>Gaming</v>
      </c>
      <c r="D2829" t="str">
        <v>ISP</v>
      </c>
      <c r="E2829">
        <v>0</v>
      </c>
      <c r="F2829">
        <v>1129596.0820146343</v>
      </c>
    </row>
    <row r="2830" spans="2:6" ht="15.75" customHeight="1" x14ac:dyDescent="0.25">
      <c r="B2830" t="str">
        <v>ISSUAA</v>
      </c>
      <c r="C2830" t="str">
        <v>Dexs</v>
      </c>
      <c r="D2830" t="str">
        <v>ISS</v>
      </c>
      <c r="E2830">
        <v>23906.235047309619</v>
      </c>
      <c r="F2830">
        <v>0</v>
      </c>
    </row>
    <row r="2831" spans="2:6" ht="15.75" customHeight="1" x14ac:dyDescent="0.25">
      <c r="B2831" t="str">
        <v>iSwap Tech</v>
      </c>
      <c r="C2831" t="str">
        <v>Dexs</v>
      </c>
      <c r="D2831" t="str">
        <v>-</v>
      </c>
      <c r="E2831">
        <v>2249.6717956116113</v>
      </c>
      <c r="F2831">
        <v>0</v>
      </c>
    </row>
    <row r="2832" spans="2:6" ht="15.75" customHeight="1" x14ac:dyDescent="0.25">
      <c r="B2832" t="str">
        <v>Ithaca Protocol</v>
      </c>
      <c r="C2832" t="str">
        <v>Options</v>
      </c>
      <c r="D2832" t="str">
        <v>ITHACA</v>
      </c>
      <c r="E2832">
        <v>2337699.0291149286</v>
      </c>
      <c r="F2832">
        <v>1044439.5449007642</v>
      </c>
    </row>
    <row r="2833" spans="2:6" ht="15.75" customHeight="1" x14ac:dyDescent="0.25">
      <c r="B2833" t="str">
        <v>Ithil</v>
      </c>
      <c r="C2833" t="str">
        <v>Leveraged Farming</v>
      </c>
      <c r="D2833" t="str">
        <v>-</v>
      </c>
      <c r="E2833">
        <v>192.03884927904193</v>
      </c>
      <c r="F2833">
        <v>0</v>
      </c>
    </row>
    <row r="2834" spans="2:6" ht="15.75" customHeight="1" x14ac:dyDescent="0.25">
      <c r="B2834" t="str">
        <v>iTrust Finance</v>
      </c>
      <c r="C2834" t="str">
        <v>Insurance</v>
      </c>
      <c r="D2834" t="str">
        <v>ITG</v>
      </c>
      <c r="E2834">
        <v>621922.01114614587</v>
      </c>
      <c r="F2834">
        <v>0</v>
      </c>
    </row>
    <row r="2835" spans="2:6" ht="15.75" customHeight="1" x14ac:dyDescent="0.25">
      <c r="B2835" t="str">
        <v>IVX Protocol</v>
      </c>
      <c r="C2835" t="str">
        <v>Options</v>
      </c>
      <c r="D2835" t="str">
        <v>-</v>
      </c>
      <c r="E2835">
        <v>33694.395264169441</v>
      </c>
      <c r="F2835">
        <v>0</v>
      </c>
    </row>
    <row r="2836" spans="2:6" ht="15.75" customHeight="1" x14ac:dyDescent="0.25">
      <c r="B2836" t="str">
        <v>IXS</v>
      </c>
      <c r="C2836" t="str">
        <v>Dexs</v>
      </c>
      <c r="D2836" t="str">
        <v>IXS</v>
      </c>
      <c r="E2836">
        <v>215338.16546869007</v>
      </c>
      <c r="F2836">
        <v>22426225.754929919</v>
      </c>
    </row>
    <row r="2837" spans="2:6" ht="15.75" customHeight="1" x14ac:dyDescent="0.25">
      <c r="B2837" t="str">
        <v>iZiSwap</v>
      </c>
      <c r="C2837" t="str">
        <v>Dexs</v>
      </c>
      <c r="D2837" t="str">
        <v>IZI</v>
      </c>
      <c r="E2837">
        <v>2683493.5126374075</v>
      </c>
      <c r="F2837">
        <v>0</v>
      </c>
    </row>
    <row r="2838" spans="2:6" ht="15.75" customHeight="1" x14ac:dyDescent="0.25">
      <c r="B2838" t="str">
        <v>iZiSwap Classic</v>
      </c>
      <c r="C2838" t="str">
        <v>Dexs</v>
      </c>
      <c r="D2838" t="str">
        <v>IZI</v>
      </c>
      <c r="E2838">
        <v>160.34741035134783</v>
      </c>
      <c r="F2838">
        <v>0</v>
      </c>
    </row>
    <row r="2839" spans="2:6" ht="15.75" customHeight="1" x14ac:dyDescent="0.25">
      <c r="B2839" t="str">
        <v>iZUMi LiquidBox</v>
      </c>
      <c r="C2839" t="str">
        <v>Yield</v>
      </c>
      <c r="D2839" t="str">
        <v>IZI</v>
      </c>
      <c r="E2839">
        <v>124843.19203430138</v>
      </c>
      <c r="F2839">
        <v>6127020.1541531216</v>
      </c>
    </row>
    <row r="2840" spans="2:6" ht="15.75" customHeight="1" x14ac:dyDescent="0.25">
      <c r="B2840" t="str">
        <v>JaceSwap</v>
      </c>
      <c r="C2840" t="str">
        <v>Dexs</v>
      </c>
      <c r="D2840" t="str">
        <v>JACE</v>
      </c>
      <c r="E2840">
        <v>9602.3938378599887</v>
      </c>
      <c r="F2840">
        <v>0</v>
      </c>
    </row>
    <row r="2841" spans="2:6" ht="15.75" customHeight="1" x14ac:dyDescent="0.25">
      <c r="B2841" t="str">
        <v>Jackson Protocol</v>
      </c>
      <c r="C2841" t="str">
        <v>Prediction Market</v>
      </c>
      <c r="D2841" t="str">
        <v>-</v>
      </c>
      <c r="E2841">
        <v>4683.9148506263364</v>
      </c>
      <c r="F2841">
        <v>0</v>
      </c>
    </row>
    <row r="2842" spans="2:6" ht="15.75" customHeight="1" x14ac:dyDescent="0.25">
      <c r="B2842" t="str">
        <v>Jade Money</v>
      </c>
      <c r="C2842" t="str">
        <v>CDP</v>
      </c>
      <c r="D2842" t="str">
        <v>-</v>
      </c>
      <c r="E2842">
        <v>0</v>
      </c>
      <c r="F2842">
        <v>0</v>
      </c>
    </row>
    <row r="2843" spans="2:6" ht="15.75" customHeight="1" x14ac:dyDescent="0.25">
      <c r="B2843" t="str">
        <v>Jade Protocol</v>
      </c>
      <c r="C2843" t="str">
        <v>Reserve Currency</v>
      </c>
      <c r="D2843" t="str">
        <v>JADE</v>
      </c>
      <c r="E2843">
        <v>0</v>
      </c>
      <c r="F2843">
        <v>8536728.8702839874</v>
      </c>
    </row>
    <row r="2844" spans="2:6" ht="15.75" customHeight="1" x14ac:dyDescent="0.25">
      <c r="B2844" t="str">
        <v>Jadeswap</v>
      </c>
      <c r="C2844" t="str">
        <v>Dexs</v>
      </c>
      <c r="D2844" t="str">
        <v>-</v>
      </c>
      <c r="E2844">
        <v>30.161489846089129</v>
      </c>
      <c r="F2844">
        <v>0</v>
      </c>
    </row>
    <row r="2845" spans="2:6" ht="15.75" customHeight="1" x14ac:dyDescent="0.25">
      <c r="B2845" t="str">
        <v>JaguarSwap</v>
      </c>
      <c r="C2845" t="str">
        <v>Yield</v>
      </c>
      <c r="D2845" t="str">
        <v>JAGUAR</v>
      </c>
      <c r="E2845">
        <v>502.52089038806469</v>
      </c>
      <c r="F2845">
        <v>0</v>
      </c>
    </row>
    <row r="2846" spans="2:6" ht="15.75" customHeight="1" x14ac:dyDescent="0.25">
      <c r="B2846" t="str">
        <v>JAINE</v>
      </c>
      <c r="C2846" t="str">
        <v>Dexs</v>
      </c>
      <c r="D2846" t="str">
        <v>-</v>
      </c>
      <c r="E2846">
        <v>1444498.1990974394</v>
      </c>
      <c r="F2846">
        <v>0</v>
      </c>
    </row>
    <row r="2847" spans="2:6" ht="15.75" customHeight="1" x14ac:dyDescent="0.25">
      <c r="B2847" t="str">
        <v>JamFrens</v>
      </c>
      <c r="C2847" t="str">
        <v>SoFi</v>
      </c>
      <c r="D2847" t="str">
        <v>-</v>
      </c>
      <c r="E2847">
        <v>649.56229701344762</v>
      </c>
      <c r="F2847">
        <v>0</v>
      </c>
    </row>
    <row r="2848" spans="2:6" ht="15.75" customHeight="1" x14ac:dyDescent="0.25">
      <c r="B2848" t="str">
        <v>Jarvis Network</v>
      </c>
      <c r="C2848" t="str">
        <v>Derivatives</v>
      </c>
      <c r="D2848" t="str">
        <v>JRT</v>
      </c>
      <c r="E2848">
        <v>298087.10869912995</v>
      </c>
      <c r="F2848">
        <v>688275.61086925189</v>
      </c>
    </row>
    <row r="2849" spans="2:6" ht="15.75" customHeight="1" x14ac:dyDescent="0.25">
      <c r="B2849" t="str">
        <v>Jasper Vault</v>
      </c>
      <c r="C2849" t="str">
        <v>Options</v>
      </c>
      <c r="D2849" t="str">
        <v>-</v>
      </c>
      <c r="E2849">
        <v>2367694.8697293191</v>
      </c>
      <c r="F2849">
        <v>0</v>
      </c>
    </row>
    <row r="2850" spans="2:6" ht="15.75" customHeight="1" x14ac:dyDescent="0.25">
      <c r="B2850" t="str">
        <v>Javsphere</v>
      </c>
      <c r="C2850" t="str">
        <v>Derivatives</v>
      </c>
      <c r="D2850" t="str">
        <v>JAV</v>
      </c>
      <c r="E2850">
        <v>257323.96690919346</v>
      </c>
      <c r="F2850">
        <v>138218.80768682252</v>
      </c>
    </row>
    <row r="2851" spans="2:6" ht="15.75" customHeight="1" x14ac:dyDescent="0.25">
      <c r="B2851" t="str">
        <v>Jax Finance</v>
      </c>
      <c r="C2851" t="str">
        <v>Lending</v>
      </c>
      <c r="D2851" t="str">
        <v>-</v>
      </c>
      <c r="E2851">
        <v>279.31471565553642</v>
      </c>
      <c r="F2851">
        <v>0</v>
      </c>
    </row>
    <row r="2852" spans="2:6" ht="15.75" customHeight="1" x14ac:dyDescent="0.25">
      <c r="B2852" t="str">
        <v>Jaypeggers</v>
      </c>
      <c r="C2852" t="str">
        <v>Yield</v>
      </c>
      <c r="D2852" t="str">
        <v>JAY</v>
      </c>
      <c r="E2852">
        <v>280882.23512574116</v>
      </c>
      <c r="F2852">
        <v>0</v>
      </c>
    </row>
    <row r="2853" spans="2:6" ht="15.75" customHeight="1" x14ac:dyDescent="0.25">
      <c r="B2853" t="str">
        <v>JBC.Finance</v>
      </c>
      <c r="C2853" t="str">
        <v>Leveraged Farming</v>
      </c>
      <c r="D2853" t="str">
        <v>JBC</v>
      </c>
      <c r="E2853">
        <v>378.48801320584653</v>
      </c>
      <c r="F2853">
        <v>0</v>
      </c>
    </row>
    <row r="2854" spans="2:6" ht="15.75" customHeight="1" x14ac:dyDescent="0.25">
      <c r="B2854" t="str">
        <v>jBTC</v>
      </c>
      <c r="C2854" t="str">
        <v>Bridge</v>
      </c>
      <c r="D2854" t="str">
        <v>-</v>
      </c>
      <c r="E2854">
        <v>0.18528413520061404</v>
      </c>
      <c r="F2854">
        <v>0</v>
      </c>
    </row>
    <row r="2855" spans="2:6" ht="15.75" customHeight="1" x14ac:dyDescent="0.25">
      <c r="B2855" t="str">
        <v>JediSwap V1</v>
      </c>
      <c r="C2855" t="str">
        <v>Dexs</v>
      </c>
      <c r="D2855" t="str">
        <v>-</v>
      </c>
      <c r="E2855">
        <v>1022416.9382476335</v>
      </c>
      <c r="F2855">
        <v>0</v>
      </c>
    </row>
    <row r="2856" spans="2:6" ht="15.75" customHeight="1" x14ac:dyDescent="0.25">
      <c r="B2856" t="str">
        <v>JediSwap V2</v>
      </c>
      <c r="C2856" t="str">
        <v>Dexs</v>
      </c>
      <c r="D2856" t="str">
        <v>-</v>
      </c>
      <c r="E2856">
        <v>47335.094395451721</v>
      </c>
      <c r="F2856">
        <v>0</v>
      </c>
    </row>
    <row r="2857" spans="2:6" ht="15.75" customHeight="1" x14ac:dyDescent="0.25">
      <c r="B2857" t="str">
        <v>Jelly</v>
      </c>
      <c r="C2857" t="str">
        <v>Yield</v>
      </c>
      <c r="D2857" t="str">
        <v>JELLY</v>
      </c>
      <c r="E2857">
        <v>0</v>
      </c>
      <c r="F2857">
        <v>0</v>
      </c>
    </row>
    <row r="2858" spans="2:6" ht="15.75" customHeight="1" x14ac:dyDescent="0.25">
      <c r="B2858" t="str">
        <v>JellyBeanSwap</v>
      </c>
      <c r="C2858" t="str">
        <v>Dexs</v>
      </c>
      <c r="D2858" t="str">
        <v>-</v>
      </c>
      <c r="E2858">
        <v>45.637307812685044</v>
      </c>
      <c r="F2858">
        <v>0</v>
      </c>
    </row>
    <row r="2859" spans="2:6" ht="15.75" customHeight="1" x14ac:dyDescent="0.25">
      <c r="B2859" t="str">
        <v>Jellyverse</v>
      </c>
      <c r="C2859" t="str">
        <v>Dexs</v>
      </c>
      <c r="D2859" t="str">
        <v>JLY</v>
      </c>
      <c r="E2859">
        <v>68498.01504998983</v>
      </c>
      <c r="F2859">
        <v>75297.376767642359</v>
      </c>
    </row>
    <row r="2860" spans="2:6" ht="15.75" customHeight="1" x14ac:dyDescent="0.25">
      <c r="B2860" t="str">
        <v>Jet Fixed Term</v>
      </c>
      <c r="C2860" t="str">
        <v>Lending</v>
      </c>
      <c r="D2860" t="str">
        <v>JET</v>
      </c>
      <c r="E2860">
        <v>384.55591982979126</v>
      </c>
      <c r="F2860">
        <v>0</v>
      </c>
    </row>
    <row r="2861" spans="2:6" ht="15.75" customHeight="1" x14ac:dyDescent="0.25">
      <c r="B2861" t="str">
        <v>Jet Margin</v>
      </c>
      <c r="C2861" t="str">
        <v>Lending</v>
      </c>
      <c r="D2861" t="str">
        <v>JET</v>
      </c>
      <c r="E2861">
        <v>316507.98070550966</v>
      </c>
      <c r="F2861">
        <v>0</v>
      </c>
    </row>
    <row r="2862" spans="2:6" ht="15.75" customHeight="1" x14ac:dyDescent="0.25">
      <c r="B2862" t="str">
        <v>Jet V1</v>
      </c>
      <c r="C2862" t="str">
        <v>Lending</v>
      </c>
      <c r="D2862" t="str">
        <v>JET</v>
      </c>
      <c r="E2862">
        <v>194769.11238781482</v>
      </c>
      <c r="F2862">
        <v>0</v>
      </c>
    </row>
    <row r="2863" spans="2:6" ht="15.75" customHeight="1" x14ac:dyDescent="0.25">
      <c r="B2863" t="str">
        <v>JetFuel Finance</v>
      </c>
      <c r="C2863" t="str">
        <v>Yield</v>
      </c>
      <c r="D2863" t="str">
        <v>FUEL</v>
      </c>
      <c r="E2863">
        <v>293055.78363398236</v>
      </c>
      <c r="F2863">
        <v>2810306.2674844791</v>
      </c>
    </row>
    <row r="2864" spans="2:6" ht="15.75" customHeight="1" x14ac:dyDescent="0.25">
      <c r="B2864" t="str">
        <v>JetMine DAO</v>
      </c>
      <c r="C2864" t="str">
        <v>Yield</v>
      </c>
      <c r="D2864" t="str">
        <v>JETMINE</v>
      </c>
      <c r="E2864">
        <v>213.94784781529947</v>
      </c>
      <c r="F2864">
        <v>0</v>
      </c>
    </row>
    <row r="2865" spans="2:6" ht="15.75" customHeight="1" x14ac:dyDescent="0.25">
      <c r="B2865" t="str">
        <v>Jeton</v>
      </c>
      <c r="C2865" t="str">
        <v>DEX Aggregator</v>
      </c>
      <c r="D2865" t="str">
        <v>-</v>
      </c>
      <c r="E2865">
        <v>0</v>
      </c>
      <c r="F2865">
        <v>0</v>
      </c>
    </row>
    <row r="2866" spans="2:6" ht="15.75" customHeight="1" x14ac:dyDescent="0.25">
      <c r="B2866" t="str">
        <v>Jetstream</v>
      </c>
      <c r="C2866" t="str">
        <v>Derivatives</v>
      </c>
      <c r="D2866" t="str">
        <v>-</v>
      </c>
      <c r="E2866">
        <v>5773.8589277717192</v>
      </c>
      <c r="F2866">
        <v>0</v>
      </c>
    </row>
    <row r="2867" spans="2:6" ht="15.75" customHeight="1" x14ac:dyDescent="0.25">
      <c r="B2867" t="str">
        <v>JetSwap</v>
      </c>
      <c r="C2867" t="str">
        <v>Dexs</v>
      </c>
      <c r="D2867" t="str">
        <v>WINGS</v>
      </c>
      <c r="E2867">
        <v>594889.95654188993</v>
      </c>
      <c r="F2867">
        <v>0</v>
      </c>
    </row>
    <row r="2868" spans="2:6" ht="15.75" customHeight="1" x14ac:dyDescent="0.25">
      <c r="B2868" t="str">
        <v>JewelSwap Leveraged Farming</v>
      </c>
      <c r="C2868" t="str">
        <v>Leveraged Farming</v>
      </c>
      <c r="D2868" t="str">
        <v>-</v>
      </c>
      <c r="E2868">
        <v>12747.129411769371</v>
      </c>
      <c r="F2868">
        <v>0</v>
      </c>
    </row>
    <row r="2869" spans="2:6" ht="15.75" customHeight="1" x14ac:dyDescent="0.25">
      <c r="B2869" t="str">
        <v>JewelSwap Liquid Staking</v>
      </c>
      <c r="C2869" t="str">
        <v>Liquid Staking</v>
      </c>
      <c r="D2869" t="str">
        <v>-</v>
      </c>
      <c r="E2869">
        <v>255546.10644924906</v>
      </c>
      <c r="F2869">
        <v>0</v>
      </c>
    </row>
    <row r="2870" spans="2:6" ht="15.75" customHeight="1" x14ac:dyDescent="0.25">
      <c r="B2870" t="str">
        <v>JewelSwap NFT Lending</v>
      </c>
      <c r="C2870" t="str">
        <v>NFT Lending</v>
      </c>
      <c r="D2870" t="str">
        <v>-</v>
      </c>
      <c r="E2870">
        <v>33.763509803201806</v>
      </c>
      <c r="F2870">
        <v>0</v>
      </c>
    </row>
    <row r="2871" spans="2:6" ht="15.75" customHeight="1" x14ac:dyDescent="0.25">
      <c r="B2871" t="str">
        <v>JEXchangeDefi</v>
      </c>
      <c r="C2871" t="str">
        <v>Dexs</v>
      </c>
      <c r="D2871" t="str">
        <v>JEX</v>
      </c>
      <c r="E2871">
        <v>142869.34626238659</v>
      </c>
      <c r="F2871">
        <v>138264.70018514464</v>
      </c>
    </row>
    <row r="2872" spans="2:6" ht="15.75" customHeight="1" x14ac:dyDescent="0.25">
      <c r="B2872" t="str">
        <v>JIBLEND</v>
      </c>
      <c r="C2872" t="str">
        <v>Lending</v>
      </c>
      <c r="D2872" t="str">
        <v>JLEND</v>
      </c>
      <c r="E2872">
        <v>625.92880234454628</v>
      </c>
      <c r="F2872">
        <v>0</v>
      </c>
    </row>
    <row r="2873" spans="2:6" ht="15.75" customHeight="1" x14ac:dyDescent="0.25">
      <c r="B2873" t="str">
        <v>JIBSWAP</v>
      </c>
      <c r="C2873" t="str">
        <v>Dexs</v>
      </c>
      <c r="D2873" t="str">
        <v>-</v>
      </c>
      <c r="E2873">
        <v>3009.6504258704681</v>
      </c>
      <c r="F2873">
        <v>0</v>
      </c>
    </row>
    <row r="2874" spans="2:6" ht="15.75" customHeight="1" x14ac:dyDescent="0.25">
      <c r="B2874" t="str">
        <v>Jigsaw</v>
      </c>
      <c r="C2874" t="str">
        <v>CDP</v>
      </c>
      <c r="D2874" t="str">
        <v>-</v>
      </c>
      <c r="E2874">
        <v>427932.108734963</v>
      </c>
      <c r="F2874">
        <v>0</v>
      </c>
    </row>
    <row r="2875" spans="2:6" ht="15.75" customHeight="1" x14ac:dyDescent="0.25">
      <c r="B2875" t="str">
        <v>Jiko</v>
      </c>
      <c r="C2875" t="str">
        <v>Gaming</v>
      </c>
      <c r="D2875" t="str">
        <v>-</v>
      </c>
      <c r="E2875">
        <v>377409.55955100938</v>
      </c>
      <c r="F2875">
        <v>0</v>
      </c>
    </row>
    <row r="2876" spans="2:6" ht="15.75" customHeight="1" x14ac:dyDescent="0.25">
      <c r="B2876" t="str">
        <v>JioSwap</v>
      </c>
      <c r="C2876" t="str">
        <v>Dexs</v>
      </c>
      <c r="D2876" t="str">
        <v>-</v>
      </c>
      <c r="E2876">
        <v>30.047850024241892</v>
      </c>
      <c r="F2876">
        <v>0</v>
      </c>
    </row>
    <row r="2877" spans="2:6" ht="15.75" customHeight="1" x14ac:dyDescent="0.25">
      <c r="B2877" t="str">
        <v>Jito DAO</v>
      </c>
      <c r="C2877" t="str">
        <v>DAO Service Provider</v>
      </c>
      <c r="D2877" t="str">
        <v>JTO</v>
      </c>
      <c r="E2877">
        <v>0</v>
      </c>
      <c r="F2877">
        <v>0</v>
      </c>
    </row>
    <row r="2878" spans="2:6" ht="15.75" customHeight="1" x14ac:dyDescent="0.25">
      <c r="B2878" t="str">
        <v>Jito Liquid Staking</v>
      </c>
      <c r="C2878" t="str">
        <v>Liquid Staking</v>
      </c>
      <c r="D2878" t="str">
        <v>JTO</v>
      </c>
      <c r="E2878">
        <v>1974361299.048548</v>
      </c>
      <c r="F2878">
        <v>0</v>
      </c>
    </row>
    <row r="2879" spans="2:6" ht="15.75" customHeight="1" x14ac:dyDescent="0.25">
      <c r="B2879" t="str">
        <v>Jito MEV Tips</v>
      </c>
      <c r="C2879" t="str">
        <v>MEV</v>
      </c>
      <c r="D2879" t="str">
        <v>-</v>
      </c>
      <c r="E2879">
        <v>0</v>
      </c>
      <c r="F2879">
        <v>0</v>
      </c>
    </row>
    <row r="2880" spans="2:6" ht="15.75" customHeight="1" x14ac:dyDescent="0.25">
      <c r="B2880" t="str">
        <v>Jito Restaking</v>
      </c>
      <c r="C2880" t="str">
        <v>Restaking</v>
      </c>
      <c r="D2880" t="str">
        <v>JTO</v>
      </c>
      <c r="E2880">
        <v>40638458.330670498</v>
      </c>
      <c r="F2880">
        <v>0</v>
      </c>
    </row>
    <row r="2881" spans="2:6" ht="15.75" customHeight="1" x14ac:dyDescent="0.25">
      <c r="B2881" t="str">
        <v>JLSwap</v>
      </c>
      <c r="C2881" t="str">
        <v>Dexs</v>
      </c>
      <c r="D2881" t="str">
        <v>JLS</v>
      </c>
      <c r="E2881">
        <v>0</v>
      </c>
      <c r="F2881">
        <v>0</v>
      </c>
    </row>
    <row r="2882" spans="2:6" ht="15.75" customHeight="1" x14ac:dyDescent="0.25">
      <c r="B2882" t="str">
        <v>JOC Dex</v>
      </c>
      <c r="C2882" t="str">
        <v>Dexs</v>
      </c>
      <c r="D2882" t="str">
        <v>-</v>
      </c>
      <c r="E2882">
        <v>4086.8751613324698</v>
      </c>
      <c r="F2882">
        <v>0</v>
      </c>
    </row>
    <row r="2883" spans="2:6" ht="15.75" customHeight="1" x14ac:dyDescent="0.25">
      <c r="B2883" t="str">
        <v>Joe DEX</v>
      </c>
      <c r="C2883" t="str">
        <v>Dexs</v>
      </c>
      <c r="D2883" t="str">
        <v>JOE</v>
      </c>
      <c r="E2883">
        <v>19809526.53984312</v>
      </c>
      <c r="F2883">
        <v>0</v>
      </c>
    </row>
    <row r="2884" spans="2:6" ht="15.75" customHeight="1" x14ac:dyDescent="0.25">
      <c r="B2884" t="str">
        <v>Joe Lend</v>
      </c>
      <c r="C2884" t="str">
        <v>Lending</v>
      </c>
      <c r="D2884" t="str">
        <v>JOE</v>
      </c>
      <c r="E2884">
        <v>2852186.1742171282</v>
      </c>
      <c r="F2884">
        <v>0</v>
      </c>
    </row>
    <row r="2885" spans="2:6" ht="15.75" customHeight="1" x14ac:dyDescent="0.25">
      <c r="B2885" t="str">
        <v>Joe Stek</v>
      </c>
      <c r="C2885" t="str">
        <v>Farm</v>
      </c>
      <c r="D2885" t="str">
        <v>JOE</v>
      </c>
      <c r="E2885">
        <v>72160.439293427073</v>
      </c>
      <c r="F2885">
        <v>0</v>
      </c>
    </row>
    <row r="2886" spans="2:6" ht="15.75" customHeight="1" x14ac:dyDescent="0.25">
      <c r="B2886" t="str">
        <v>Joe V2</v>
      </c>
      <c r="C2886" t="str">
        <v>Dexs</v>
      </c>
      <c r="D2886" t="str">
        <v>JOE</v>
      </c>
      <c r="E2886">
        <v>228936.30033208505</v>
      </c>
      <c r="F2886">
        <v>0</v>
      </c>
    </row>
    <row r="2887" spans="2:6" ht="15.75" customHeight="1" x14ac:dyDescent="0.25">
      <c r="B2887" t="str">
        <v>Joe V2.1</v>
      </c>
      <c r="C2887" t="str">
        <v>Dexs</v>
      </c>
      <c r="D2887" t="str">
        <v>JOE</v>
      </c>
      <c r="E2887">
        <v>5840043.6461809827</v>
      </c>
      <c r="F2887">
        <v>0</v>
      </c>
    </row>
    <row r="2888" spans="2:6" ht="15.75" customHeight="1" x14ac:dyDescent="0.25">
      <c r="B2888" t="str">
        <v>Joe V2.2</v>
      </c>
      <c r="C2888" t="str">
        <v>Dexs</v>
      </c>
      <c r="D2888" t="str">
        <v>JOE</v>
      </c>
      <c r="E2888">
        <v>40493333.87851949</v>
      </c>
      <c r="F2888">
        <v>0</v>
      </c>
    </row>
    <row r="2889" spans="2:6" ht="15.75" customHeight="1" x14ac:dyDescent="0.25">
      <c r="B2889" t="str">
        <v>JOJO</v>
      </c>
      <c r="C2889" t="str">
        <v>Derivatives</v>
      </c>
      <c r="D2889" t="str">
        <v>-</v>
      </c>
      <c r="E2889">
        <v>26532.798645672221</v>
      </c>
      <c r="F2889">
        <v>0</v>
      </c>
    </row>
    <row r="2890" spans="2:6" ht="15.75" customHeight="1" x14ac:dyDescent="0.25">
      <c r="B2890" t="str">
        <v>Jolt</v>
      </c>
      <c r="C2890" t="str">
        <v>Lending</v>
      </c>
      <c r="D2890" t="str">
        <v>JOLT</v>
      </c>
      <c r="E2890">
        <v>147.95091490446561</v>
      </c>
      <c r="F2890">
        <v>0</v>
      </c>
    </row>
    <row r="2891" spans="2:6" ht="15.75" customHeight="1" x14ac:dyDescent="0.25">
      <c r="B2891" t="str">
        <v>Joltify Lend</v>
      </c>
      <c r="C2891" t="str">
        <v>Lending</v>
      </c>
      <c r="D2891" t="str">
        <v>JOLT</v>
      </c>
      <c r="E2891">
        <v>5653.6873534430815</v>
      </c>
      <c r="F2891">
        <v>0</v>
      </c>
    </row>
    <row r="2892" spans="2:6" ht="15.75" customHeight="1" x14ac:dyDescent="0.25">
      <c r="B2892" t="str">
        <v>Joltify RWA</v>
      </c>
      <c r="C2892" t="str">
        <v>RWA Lending</v>
      </c>
      <c r="D2892" t="str">
        <v>JOLT</v>
      </c>
      <c r="E2892">
        <v>-22495.784980806071</v>
      </c>
      <c r="F2892">
        <v>0</v>
      </c>
    </row>
    <row r="2893" spans="2:6" ht="15.75" customHeight="1" x14ac:dyDescent="0.25">
      <c r="B2893" t="str">
        <v>Jones DAO</v>
      </c>
      <c r="C2893" t="str">
        <v>Yield Aggregator</v>
      </c>
      <c r="D2893" t="str">
        <v>JONES</v>
      </c>
      <c r="E2893">
        <v>1215945.782973787</v>
      </c>
      <c r="F2893">
        <v>1192551.1414332155</v>
      </c>
    </row>
    <row r="2894" spans="2:6" ht="15.75" customHeight="1" x14ac:dyDescent="0.25">
      <c r="B2894" t="str">
        <v>Joule Finance</v>
      </c>
      <c r="C2894" t="str">
        <v>Lending</v>
      </c>
      <c r="D2894" t="str">
        <v>-</v>
      </c>
      <c r="E2894">
        <v>448017.76243074256</v>
      </c>
      <c r="F2894">
        <v>0</v>
      </c>
    </row>
    <row r="2895" spans="2:6" ht="15.75" customHeight="1" x14ac:dyDescent="0.25">
      <c r="B2895" t="str">
        <v>Joystick Club</v>
      </c>
      <c r="C2895" t="str">
        <v>Gaming</v>
      </c>
      <c r="D2895" t="str">
        <v>JOY</v>
      </c>
      <c r="E2895">
        <v>0</v>
      </c>
      <c r="F2895">
        <v>0</v>
      </c>
    </row>
    <row r="2896" spans="2:6" ht="15.75" customHeight="1" x14ac:dyDescent="0.25">
      <c r="B2896" t="str">
        <v>JPEG'd</v>
      </c>
      <c r="C2896" t="str">
        <v>NFT Lending</v>
      </c>
      <c r="D2896" t="str">
        <v>JPGD</v>
      </c>
      <c r="E2896">
        <v>668768.93140949612</v>
      </c>
      <c r="F2896">
        <v>0</v>
      </c>
    </row>
    <row r="2897" spans="2:6" ht="15.75" customHeight="1" x14ac:dyDescent="0.25">
      <c r="B2897" t="str">
        <v>JPG Store</v>
      </c>
      <c r="C2897" t="str">
        <v>NFT Marketplace</v>
      </c>
      <c r="D2897" t="str">
        <v>JPG</v>
      </c>
      <c r="E2897">
        <v>369104.36683335644</v>
      </c>
      <c r="F2897">
        <v>0</v>
      </c>
    </row>
    <row r="2898" spans="2:6" ht="15.75" customHeight="1" x14ac:dyDescent="0.25">
      <c r="B2898" t="str">
        <v>JPool</v>
      </c>
      <c r="C2898" t="str">
        <v>Liquid Staking</v>
      </c>
      <c r="D2898" t="str">
        <v>-</v>
      </c>
      <c r="E2898">
        <v>170850664.82596737</v>
      </c>
      <c r="F2898">
        <v>0</v>
      </c>
    </row>
    <row r="2899" spans="2:6" ht="15.75" customHeight="1" x14ac:dyDescent="0.25">
      <c r="B2899" t="str">
        <v>JPOW AI</v>
      </c>
      <c r="C2899" t="str">
        <v>CDP</v>
      </c>
      <c r="D2899" t="str">
        <v>-</v>
      </c>
      <c r="E2899">
        <v>143293.73179116944</v>
      </c>
      <c r="F2899">
        <v>20235.806584316841</v>
      </c>
    </row>
    <row r="2900" spans="2:6" ht="15.75" customHeight="1" x14ac:dyDescent="0.25">
      <c r="B2900" t="str">
        <v>JSwap</v>
      </c>
      <c r="C2900" t="str">
        <v>Dexs</v>
      </c>
      <c r="D2900" t="str">
        <v>JF</v>
      </c>
      <c r="E2900">
        <v>357030.06220540009</v>
      </c>
      <c r="F2900">
        <v>0</v>
      </c>
    </row>
    <row r="2901" spans="2:6" ht="15.75" customHeight="1" x14ac:dyDescent="0.25">
      <c r="B2901" t="str">
        <v>Juggler Red</v>
      </c>
      <c r="C2901" t="str">
        <v>Dexs</v>
      </c>
      <c r="D2901" t="str">
        <v>-</v>
      </c>
      <c r="E2901">
        <v>1074.2724716269079</v>
      </c>
      <c r="F2901">
        <v>0</v>
      </c>
    </row>
    <row r="2902" spans="2:6" ht="15.75" customHeight="1" x14ac:dyDescent="0.25">
      <c r="B2902" t="str">
        <v>Juice Finance</v>
      </c>
      <c r="C2902" t="str">
        <v>Leveraged Farming</v>
      </c>
      <c r="D2902" t="str">
        <v>JUICE</v>
      </c>
      <c r="E2902">
        <v>3626302.7028660965</v>
      </c>
      <c r="F2902">
        <v>34317.72934057469</v>
      </c>
    </row>
    <row r="2903" spans="2:6" ht="15.75" customHeight="1" x14ac:dyDescent="0.25">
      <c r="B2903" t="str">
        <v>Juicebox V1</v>
      </c>
      <c r="C2903" t="str">
        <v>Launchpad</v>
      </c>
      <c r="D2903" t="str">
        <v>JBX</v>
      </c>
      <c r="E2903">
        <v>15968806.956285764</v>
      </c>
      <c r="F2903">
        <v>0</v>
      </c>
    </row>
    <row r="2904" spans="2:6" ht="15.75" customHeight="1" x14ac:dyDescent="0.25">
      <c r="B2904" t="str">
        <v>Juicebox V2</v>
      </c>
      <c r="C2904" t="str">
        <v>Launchpad</v>
      </c>
      <c r="D2904" t="str">
        <v>JBX</v>
      </c>
      <c r="E2904">
        <v>30056.757997832592</v>
      </c>
      <c r="F2904">
        <v>0</v>
      </c>
    </row>
    <row r="2905" spans="2:6" ht="15.75" customHeight="1" x14ac:dyDescent="0.25">
      <c r="B2905" t="str">
        <v>Juicebox V3</v>
      </c>
      <c r="C2905" t="str">
        <v>Launchpad</v>
      </c>
      <c r="D2905" t="str">
        <v>JBX</v>
      </c>
      <c r="E2905">
        <v>321567.52149803046</v>
      </c>
      <c r="F2905">
        <v>0</v>
      </c>
    </row>
    <row r="2906" spans="2:6" ht="15.75" customHeight="1" x14ac:dyDescent="0.25">
      <c r="B2906" t="str">
        <v>Jujube Finance</v>
      </c>
      <c r="C2906" t="str">
        <v>Dexs</v>
      </c>
      <c r="D2906" t="str">
        <v>-</v>
      </c>
      <c r="E2906">
        <v>59.584274093738571</v>
      </c>
      <c r="F2906">
        <v>0</v>
      </c>
    </row>
    <row r="2907" spans="2:6" ht="15.75" customHeight="1" x14ac:dyDescent="0.25">
      <c r="B2907" t="str">
        <v>JulSwap</v>
      </c>
      <c r="C2907" t="str">
        <v>Dexs</v>
      </c>
      <c r="D2907" t="str">
        <v>JULD</v>
      </c>
      <c r="E2907">
        <v>584809.85484591918</v>
      </c>
      <c r="F2907">
        <v>59156.313391174634</v>
      </c>
    </row>
    <row r="2908" spans="2:6" ht="15.75" customHeight="1" x14ac:dyDescent="0.25">
      <c r="B2908" t="str">
        <v>Jumbo Exchange</v>
      </c>
      <c r="C2908" t="str">
        <v>Dexs</v>
      </c>
      <c r="D2908" t="str">
        <v>JUMBO</v>
      </c>
      <c r="E2908">
        <v>507915.76149053057</v>
      </c>
      <c r="F2908">
        <v>0</v>
      </c>
    </row>
    <row r="2909" spans="2:6" ht="15.75" customHeight="1" x14ac:dyDescent="0.25">
      <c r="B2909" t="str">
        <v>JUMPBOX.ETH</v>
      </c>
      <c r="C2909" t="str">
        <v>Yield</v>
      </c>
      <c r="D2909" t="str">
        <v>JUMPBOX</v>
      </c>
      <c r="E2909">
        <v>0</v>
      </c>
      <c r="F2909">
        <v>0</v>
      </c>
    </row>
    <row r="2910" spans="2:6" ht="15.75" customHeight="1" x14ac:dyDescent="0.25">
      <c r="B2910" t="str">
        <v>JumpDefi</v>
      </c>
      <c r="C2910" t="str">
        <v>Dexs</v>
      </c>
      <c r="D2910" t="str">
        <v>-</v>
      </c>
      <c r="E2910">
        <v>7.3824665506060053E-2</v>
      </c>
      <c r="F2910">
        <v>0</v>
      </c>
    </row>
    <row r="2911" spans="2:6" ht="15.75" customHeight="1" x14ac:dyDescent="0.25">
      <c r="B2911" t="str">
        <v>Jumper Exchange</v>
      </c>
      <c r="C2911" t="str">
        <v>DEX Aggregator</v>
      </c>
      <c r="D2911" t="str">
        <v>-</v>
      </c>
      <c r="E2911">
        <v>0</v>
      </c>
      <c r="F2911">
        <v>0</v>
      </c>
    </row>
    <row r="2912" spans="2:6" ht="15.75" customHeight="1" x14ac:dyDescent="0.25">
      <c r="B2912" t="str">
        <v>Junoswap</v>
      </c>
      <c r="C2912" t="str">
        <v>Dexs</v>
      </c>
      <c r="D2912" t="str">
        <v>RAW</v>
      </c>
      <c r="E2912">
        <v>0</v>
      </c>
      <c r="F2912">
        <v>0</v>
      </c>
    </row>
    <row r="2913" spans="2:6" ht="15.75" customHeight="1" x14ac:dyDescent="0.25">
      <c r="B2913" t="str">
        <v>Jupiter Aggregator</v>
      </c>
      <c r="C2913" t="str">
        <v>DEX Aggregator</v>
      </c>
      <c r="D2913" t="str">
        <v>JUP</v>
      </c>
      <c r="E2913">
        <v>0</v>
      </c>
      <c r="F2913">
        <v>675523023.24692035</v>
      </c>
    </row>
    <row r="2914" spans="2:6" ht="15.75" customHeight="1" x14ac:dyDescent="0.25">
      <c r="B2914" t="str">
        <v>Jupiter DCA</v>
      </c>
      <c r="C2914" t="str">
        <v>Derivatives</v>
      </c>
      <c r="D2914" t="str">
        <v>JUP</v>
      </c>
      <c r="E2914">
        <v>0</v>
      </c>
      <c r="F2914">
        <v>0</v>
      </c>
    </row>
    <row r="2915" spans="2:6" ht="15.75" customHeight="1" x14ac:dyDescent="0.25">
      <c r="B2915" t="str">
        <v>Jupiter Lend</v>
      </c>
      <c r="C2915" t="str">
        <v>Lending</v>
      </c>
      <c r="D2915" t="str">
        <v>JUP</v>
      </c>
      <c r="E2915">
        <v>1122909541.8206191</v>
      </c>
      <c r="F2915">
        <v>0</v>
      </c>
    </row>
    <row r="2916" spans="2:6" ht="15.75" customHeight="1" x14ac:dyDescent="0.25">
      <c r="B2916" t="str">
        <v>Jupiter Perpetual Exchange</v>
      </c>
      <c r="C2916" t="str">
        <v>Derivatives</v>
      </c>
      <c r="D2916" t="str">
        <v>JUP</v>
      </c>
      <c r="E2916">
        <v>1176346188.5121884</v>
      </c>
      <c r="F2916">
        <v>0</v>
      </c>
    </row>
    <row r="2917" spans="2:6" ht="15.75" customHeight="1" x14ac:dyDescent="0.25">
      <c r="B2917" t="str">
        <v>Jupiter Prediction</v>
      </c>
      <c r="C2917" t="str">
        <v>Interface</v>
      </c>
      <c r="D2917" t="str">
        <v>JUP</v>
      </c>
      <c r="E2917">
        <v>293019.52311543224</v>
      </c>
      <c r="F2917">
        <v>0</v>
      </c>
    </row>
    <row r="2918" spans="2:6" ht="15.75" customHeight="1" x14ac:dyDescent="0.25">
      <c r="B2918" t="str">
        <v>Jupiter Staked SOL</v>
      </c>
      <c r="C2918" t="str">
        <v>Liquid Staking</v>
      </c>
      <c r="D2918" t="str">
        <v>JUP</v>
      </c>
      <c r="E2918">
        <v>1307022727.1189418</v>
      </c>
      <c r="F2918">
        <v>0</v>
      </c>
    </row>
    <row r="2919" spans="2:6" ht="15.75" customHeight="1" x14ac:dyDescent="0.25">
      <c r="B2919" t="str">
        <v>Jupiter Studio</v>
      </c>
      <c r="C2919" t="str">
        <v>Launchpad</v>
      </c>
      <c r="D2919" t="str">
        <v>JUP</v>
      </c>
      <c r="E2919">
        <v>0</v>
      </c>
      <c r="F2919">
        <v>0</v>
      </c>
    </row>
    <row r="2920" spans="2:6" ht="15.75" customHeight="1" x14ac:dyDescent="0.25">
      <c r="B2920" t="str">
        <v>Jupiter Swap</v>
      </c>
      <c r="C2920" t="str">
        <v>Dexs</v>
      </c>
      <c r="D2920" t="str">
        <v>-</v>
      </c>
      <c r="E2920">
        <v>15.449214477311683</v>
      </c>
      <c r="F2920">
        <v>0</v>
      </c>
    </row>
    <row r="2921" spans="2:6" ht="15.75" customHeight="1" x14ac:dyDescent="0.25">
      <c r="B2921" t="str">
        <v>JupUSD</v>
      </c>
      <c r="C2921" t="str">
        <v>Dexs</v>
      </c>
      <c r="D2921" t="str">
        <v>JUP</v>
      </c>
      <c r="E2921">
        <v>11703221.435529189</v>
      </c>
      <c r="F2921">
        <v>0</v>
      </c>
    </row>
    <row r="2922" spans="2:6" ht="15.75" customHeight="1" x14ac:dyDescent="0.25">
      <c r="B2922" t="str">
        <v>Juris Protocol</v>
      </c>
      <c r="C2922" t="str">
        <v>Yield</v>
      </c>
      <c r="D2922" t="str">
        <v>JURIS</v>
      </c>
      <c r="E2922">
        <v>0</v>
      </c>
      <c r="F2922">
        <v>1582757.1571158422</v>
      </c>
    </row>
    <row r="2923" spans="2:6" ht="15.75" customHeight="1" x14ac:dyDescent="0.25">
      <c r="B2923" t="str">
        <v>Just Yield</v>
      </c>
      <c r="C2923" t="str">
        <v>Yield Aggregator</v>
      </c>
      <c r="D2923" t="str">
        <v>-</v>
      </c>
      <c r="E2923">
        <v>385.90998509848919</v>
      </c>
      <c r="F2923">
        <v>0</v>
      </c>
    </row>
    <row r="2924" spans="2:6" ht="15.75" customHeight="1" x14ac:dyDescent="0.25">
      <c r="B2924" t="str">
        <v>JustBet</v>
      </c>
      <c r="C2924" t="str">
        <v>Luck Games</v>
      </c>
      <c r="D2924" t="str">
        <v>-</v>
      </c>
      <c r="E2924">
        <v>743033.09020941064</v>
      </c>
      <c r="F2924">
        <v>0</v>
      </c>
    </row>
    <row r="2925" spans="2:6" ht="15.75" customHeight="1" x14ac:dyDescent="0.25">
      <c r="B2925" t="str">
        <v>JustCryptos</v>
      </c>
      <c r="C2925" t="str">
        <v>Bridge</v>
      </c>
      <c r="D2925" t="str">
        <v>JST</v>
      </c>
      <c r="E2925">
        <v>3122341252</v>
      </c>
      <c r="F2925">
        <v>0</v>
      </c>
    </row>
    <row r="2926" spans="2:6" ht="15.75" customHeight="1" x14ac:dyDescent="0.25">
      <c r="B2926" t="str">
        <v>JustLend</v>
      </c>
      <c r="C2926" t="str">
        <v>Lending</v>
      </c>
      <c r="D2926" t="str">
        <v>JST</v>
      </c>
      <c r="E2926">
        <v>3939852358.7684984</v>
      </c>
      <c r="F2926">
        <v>438827775.53219414</v>
      </c>
    </row>
    <row r="2927" spans="2:6" ht="15.75" customHeight="1" x14ac:dyDescent="0.25">
      <c r="B2927" t="str">
        <v>JustLock</v>
      </c>
      <c r="C2927" t="str">
        <v>Token Locker</v>
      </c>
      <c r="D2927" t="str">
        <v>-</v>
      </c>
      <c r="E2927">
        <v>102446.11785496031</v>
      </c>
      <c r="F2927">
        <v>0</v>
      </c>
    </row>
    <row r="2928" spans="2:6" ht="15.75" customHeight="1" x14ac:dyDescent="0.25">
      <c r="B2928" t="str">
        <v>JustMoney</v>
      </c>
      <c r="C2928" t="str">
        <v>Dexs</v>
      </c>
      <c r="D2928" t="str">
        <v>JM</v>
      </c>
      <c r="E2928">
        <v>752443.81655206624</v>
      </c>
      <c r="F2928">
        <v>0</v>
      </c>
    </row>
    <row r="2929" spans="2:6" ht="15.75" customHeight="1" x14ac:dyDescent="0.25">
      <c r="B2929" t="str">
        <v>JustStables</v>
      </c>
      <c r="C2929" t="str">
        <v>CDP</v>
      </c>
      <c r="D2929" t="str">
        <v>USDJ</v>
      </c>
      <c r="E2929">
        <v>0</v>
      </c>
      <c r="F2929">
        <v>0</v>
      </c>
    </row>
    <row r="2930" spans="2:6" ht="15.75" customHeight="1" x14ac:dyDescent="0.25">
      <c r="B2930" t="str">
        <v>JVault</v>
      </c>
      <c r="C2930" t="str">
        <v>Farm</v>
      </c>
      <c r="D2930" t="str">
        <v>JVT</v>
      </c>
      <c r="E2930">
        <v>0</v>
      </c>
      <c r="F2930">
        <v>0</v>
      </c>
    </row>
    <row r="2931" spans="2:6" ht="15.75" customHeight="1" x14ac:dyDescent="0.25">
      <c r="B2931" t="str">
        <v>K-BIT</v>
      </c>
      <c r="C2931" t="str">
        <v>Derivatives</v>
      </c>
      <c r="D2931" t="str">
        <v>-</v>
      </c>
      <c r="E2931">
        <v>56631.028754617844</v>
      </c>
      <c r="F2931">
        <v>0</v>
      </c>
    </row>
    <row r="2932" spans="2:6" ht="15.75" customHeight="1" x14ac:dyDescent="0.25">
      <c r="B2932" t="str">
        <v>K3 Capital</v>
      </c>
      <c r="C2932" t="str">
        <v>Risk Curators</v>
      </c>
      <c r="D2932" t="str">
        <v>-</v>
      </c>
      <c r="E2932">
        <v>292739044.30888116</v>
      </c>
      <c r="F2932">
        <v>0</v>
      </c>
    </row>
    <row r="2933" spans="2:6" ht="15.75" customHeight="1" x14ac:dyDescent="0.25">
      <c r="B2933" t="str">
        <v>K9 Finance DAO</v>
      </c>
      <c r="C2933" t="str">
        <v>Liquid Staking</v>
      </c>
      <c r="D2933" t="str">
        <v>KNINE</v>
      </c>
      <c r="E2933">
        <v>108957.37397875068</v>
      </c>
      <c r="F2933">
        <v>713292.05590216478</v>
      </c>
    </row>
    <row r="2934" spans="2:6" ht="15.75" customHeight="1" x14ac:dyDescent="0.25">
      <c r="B2934" t="str">
        <v>Kaching</v>
      </c>
      <c r="C2934" t="str">
        <v>Luck Games</v>
      </c>
      <c r="D2934" t="str">
        <v>-</v>
      </c>
      <c r="E2934">
        <v>102822.66822341934</v>
      </c>
      <c r="F2934">
        <v>0</v>
      </c>
    </row>
    <row r="2935" spans="2:6" ht="15.75" customHeight="1" x14ac:dyDescent="0.25">
      <c r="B2935" t="str">
        <v>KACO Finance</v>
      </c>
      <c r="C2935" t="str">
        <v>Dexs</v>
      </c>
      <c r="D2935" t="str">
        <v>KAC</v>
      </c>
      <c r="E2935">
        <v>14368.38392404335</v>
      </c>
      <c r="F2935">
        <v>0</v>
      </c>
    </row>
    <row r="2936" spans="2:6" ht="15.75" customHeight="1" x14ac:dyDescent="0.25">
      <c r="B2936" t="str">
        <v>kaDefi</v>
      </c>
      <c r="C2936" t="str">
        <v>Yield</v>
      </c>
      <c r="D2936" t="str">
        <v>-</v>
      </c>
      <c r="E2936">
        <v>0.43280077209672868</v>
      </c>
      <c r="F2936">
        <v>0</v>
      </c>
    </row>
    <row r="2937" spans="2:6" ht="15.75" customHeight="1" x14ac:dyDescent="0.25">
      <c r="B2937" t="str">
        <v>Kadena Cabinet</v>
      </c>
      <c r="C2937" t="str">
        <v>Governance Incentives</v>
      </c>
      <c r="D2937" t="str">
        <v>-</v>
      </c>
      <c r="E2937">
        <v>0</v>
      </c>
      <c r="F2937">
        <v>0</v>
      </c>
    </row>
    <row r="2938" spans="2:6" ht="15.75" customHeight="1" x14ac:dyDescent="0.25">
      <c r="B2938" t="str">
        <v>Kafe Finance</v>
      </c>
      <c r="C2938" t="str">
        <v>Yield</v>
      </c>
      <c r="D2938" t="str">
        <v>KAFE</v>
      </c>
      <c r="E2938">
        <v>0</v>
      </c>
      <c r="F2938">
        <v>0</v>
      </c>
    </row>
    <row r="2939" spans="2:6" ht="15.75" customHeight="1" x14ac:dyDescent="0.25">
      <c r="B2939" t="str">
        <v>KafiDAO</v>
      </c>
      <c r="C2939" t="str">
        <v>Farm</v>
      </c>
      <c r="D2939" t="str">
        <v>-</v>
      </c>
      <c r="E2939">
        <v>2.1223996750899147E-2</v>
      </c>
      <c r="F2939">
        <v>0</v>
      </c>
    </row>
    <row r="2940" spans="2:6" ht="15.75" customHeight="1" x14ac:dyDescent="0.25">
      <c r="B2940" t="str">
        <v>Kagla Finance</v>
      </c>
      <c r="C2940" t="str">
        <v>Dexs</v>
      </c>
      <c r="D2940" t="str">
        <v>KGL</v>
      </c>
      <c r="E2940">
        <v>95940.934300222711</v>
      </c>
      <c r="F2940">
        <v>0</v>
      </c>
    </row>
    <row r="2941" spans="2:6" ht="15.75" customHeight="1" x14ac:dyDescent="0.25">
      <c r="B2941" t="str">
        <v>Kai Finance</v>
      </c>
      <c r="C2941" t="str">
        <v>Leveraged Farming</v>
      </c>
      <c r="D2941" t="str">
        <v>-</v>
      </c>
      <c r="E2941">
        <v>20948348.914168797</v>
      </c>
      <c r="F2941">
        <v>0</v>
      </c>
    </row>
    <row r="2942" spans="2:6" ht="15.75" customHeight="1" x14ac:dyDescent="0.25">
      <c r="B2942" t="str">
        <v>KaiaFun</v>
      </c>
      <c r="C2942" t="str">
        <v>Launchpad</v>
      </c>
      <c r="D2942" t="str">
        <v>-</v>
      </c>
      <c r="E2942">
        <v>6062.1222789652766</v>
      </c>
      <c r="F2942">
        <v>0</v>
      </c>
    </row>
    <row r="2943" spans="2:6" ht="15.75" customHeight="1" x14ac:dyDescent="0.25">
      <c r="B2943" t="str">
        <v>KaiaSwap</v>
      </c>
      <c r="C2943" t="str">
        <v>Dexs</v>
      </c>
      <c r="D2943" t="str">
        <v>-</v>
      </c>
      <c r="E2943">
        <v>104767.27649535387</v>
      </c>
      <c r="F2943">
        <v>0</v>
      </c>
    </row>
    <row r="2944" spans="2:6" ht="15.75" customHeight="1" x14ac:dyDescent="0.25">
      <c r="B2944" t="str">
        <v>Kaidex</v>
      </c>
      <c r="C2944" t="str">
        <v>Dexs</v>
      </c>
      <c r="D2944" t="str">
        <v>KDX</v>
      </c>
      <c r="E2944">
        <v>18836.403465791547</v>
      </c>
      <c r="F2944">
        <v>0</v>
      </c>
    </row>
    <row r="2945" spans="2:6" ht="15.75" customHeight="1" x14ac:dyDescent="0.25">
      <c r="B2945" t="str">
        <v>KAIO</v>
      </c>
      <c r="C2945" t="str">
        <v>RWA</v>
      </c>
      <c r="D2945" t="str">
        <v>-</v>
      </c>
      <c r="E2945">
        <v>90412684.457389638</v>
      </c>
      <c r="F2945">
        <v>0</v>
      </c>
    </row>
    <row r="2946" spans="2:6" ht="15.75" customHeight="1" x14ac:dyDescent="0.25">
      <c r="B2946" t="str">
        <v>Kairos Timeboost</v>
      </c>
      <c r="C2946" t="str">
        <v>MEV</v>
      </c>
      <c r="D2946" t="str">
        <v>-</v>
      </c>
      <c r="E2946">
        <v>0</v>
      </c>
      <c r="F2946">
        <v>0</v>
      </c>
    </row>
    <row r="2947" spans="2:6" ht="15.75" customHeight="1" x14ac:dyDescent="0.25">
      <c r="B2947" t="str">
        <v>Kaisen</v>
      </c>
      <c r="C2947" t="str">
        <v>Liquidity manager</v>
      </c>
      <c r="D2947" t="str">
        <v>-</v>
      </c>
      <c r="E2947">
        <v>206.80272259774827</v>
      </c>
      <c r="F2947">
        <v>0</v>
      </c>
    </row>
    <row r="2948" spans="2:6" ht="15.75" customHeight="1" x14ac:dyDescent="0.25">
      <c r="B2948" t="str">
        <v>Kaito</v>
      </c>
      <c r="C2948" t="str">
        <v>Services</v>
      </c>
      <c r="D2948" t="str">
        <v>KAITO</v>
      </c>
      <c r="E2948">
        <v>0</v>
      </c>
      <c r="F2948">
        <v>133715403.67350997</v>
      </c>
    </row>
    <row r="2949" spans="2:6" ht="15.75" customHeight="1" x14ac:dyDescent="0.25">
      <c r="B2949" t="str">
        <v>Kalata</v>
      </c>
      <c r="C2949" t="str">
        <v>Synthetics</v>
      </c>
      <c r="D2949" t="str">
        <v>KALA</v>
      </c>
      <c r="E2949">
        <v>3573.6944196370619</v>
      </c>
      <c r="F2949">
        <v>0</v>
      </c>
    </row>
    <row r="2950" spans="2:6" ht="15.75" customHeight="1" x14ac:dyDescent="0.25">
      <c r="B2950" t="str">
        <v>Kalax</v>
      </c>
      <c r="C2950" t="str">
        <v>Yield Aggregator</v>
      </c>
      <c r="D2950" t="str">
        <v>KALA</v>
      </c>
      <c r="E2950">
        <v>173684.03148761348</v>
      </c>
      <c r="F2950">
        <v>0</v>
      </c>
    </row>
    <row r="2951" spans="2:6" ht="15.75" customHeight="1" x14ac:dyDescent="0.25">
      <c r="B2951" t="str">
        <v>KaleidoCube</v>
      </c>
      <c r="C2951" t="str">
        <v>Dexs</v>
      </c>
      <c r="D2951" t="str">
        <v>$KALEI</v>
      </c>
      <c r="E2951">
        <v>13471.153871852282</v>
      </c>
      <c r="F2951">
        <v>0</v>
      </c>
    </row>
    <row r="2952" spans="2:6" ht="15.75" customHeight="1" x14ac:dyDescent="0.25">
      <c r="B2952" t="str">
        <v>Kalmy App</v>
      </c>
      <c r="C2952" t="str">
        <v>Yield</v>
      </c>
      <c r="D2952" t="str">
        <v>KALM</v>
      </c>
      <c r="E2952">
        <v>39520.107936482527</v>
      </c>
      <c r="F2952">
        <v>23923.915909010069</v>
      </c>
    </row>
    <row r="2953" spans="2:6" ht="15.75" customHeight="1" x14ac:dyDescent="0.25">
      <c r="B2953" t="str">
        <v>Kalshi</v>
      </c>
      <c r="C2953" t="str">
        <v>Prediction Market</v>
      </c>
      <c r="D2953" t="str">
        <v>-</v>
      </c>
      <c r="E2953">
        <v>0</v>
      </c>
      <c r="F2953">
        <v>0</v>
      </c>
    </row>
    <row r="2954" spans="2:6" ht="15.75" customHeight="1" x14ac:dyDescent="0.25">
      <c r="B2954" t="str">
        <v>Kame Aggregator</v>
      </c>
      <c r="C2954" t="str">
        <v>DEX Aggregator</v>
      </c>
      <c r="D2954" t="str">
        <v>-</v>
      </c>
      <c r="E2954">
        <v>0</v>
      </c>
      <c r="F2954">
        <v>0</v>
      </c>
    </row>
    <row r="2955" spans="2:6" ht="15.75" customHeight="1" x14ac:dyDescent="0.25">
      <c r="B2955" t="str">
        <v>Kamigotchi</v>
      </c>
      <c r="C2955" t="str">
        <v>Gaming</v>
      </c>
      <c r="D2955" t="str">
        <v>-</v>
      </c>
      <c r="E2955">
        <v>1395755.3979822453</v>
      </c>
      <c r="F2955">
        <v>0</v>
      </c>
    </row>
    <row r="2956" spans="2:6" ht="15.75" customHeight="1" x14ac:dyDescent="0.25">
      <c r="B2956" t="str">
        <v>Kamino Lend</v>
      </c>
      <c r="C2956" t="str">
        <v>Lending</v>
      </c>
      <c r="D2956" t="str">
        <v>KMNO</v>
      </c>
      <c r="E2956">
        <v>2294257584.7354121</v>
      </c>
      <c r="F2956">
        <v>0</v>
      </c>
    </row>
    <row r="2957" spans="2:6" ht="15.75" customHeight="1" x14ac:dyDescent="0.25">
      <c r="B2957" t="str">
        <v>Kamino Liquidity</v>
      </c>
      <c r="C2957" t="str">
        <v>Liquidity manager</v>
      </c>
      <c r="D2957" t="str">
        <v>KMNO</v>
      </c>
      <c r="E2957">
        <v>256105869.68394244</v>
      </c>
      <c r="F2957">
        <v>0</v>
      </c>
    </row>
    <row r="2958" spans="2:6" ht="15.75" customHeight="1" x14ac:dyDescent="0.25">
      <c r="B2958" t="str">
        <v>Kandle Finance</v>
      </c>
      <c r="C2958" t="str">
        <v>Yield</v>
      </c>
      <c r="D2958" t="str">
        <v>-</v>
      </c>
      <c r="E2958">
        <v>1006527.6586047627</v>
      </c>
      <c r="F2958">
        <v>0</v>
      </c>
    </row>
    <row r="2959" spans="2:6" ht="15.75" customHeight="1" x14ac:dyDescent="0.25">
      <c r="B2959" t="str">
        <v>Kandyland Finance</v>
      </c>
      <c r="C2959" t="str">
        <v>Reserve Currency</v>
      </c>
      <c r="D2959" t="str">
        <v>KANDY</v>
      </c>
      <c r="E2959">
        <v>0</v>
      </c>
      <c r="F2959">
        <v>0</v>
      </c>
    </row>
    <row r="2960" spans="2:6" ht="15.75" customHeight="1" x14ac:dyDescent="0.25">
      <c r="B2960" t="str">
        <v>Kannagi Finance</v>
      </c>
      <c r="C2960" t="str">
        <v>Yield Aggregator</v>
      </c>
      <c r="D2960" t="str">
        <v>KANA</v>
      </c>
      <c r="E2960">
        <v>72.202559334035698</v>
      </c>
      <c r="F2960">
        <v>0</v>
      </c>
    </row>
    <row r="2961" spans="2:6" ht="15.75" customHeight="1" x14ac:dyDescent="0.25">
      <c r="B2961" t="str">
        <v>Kanvas</v>
      </c>
      <c r="C2961" t="str">
        <v>NFT Marketplace</v>
      </c>
      <c r="D2961" t="str">
        <v>KVS</v>
      </c>
      <c r="E2961">
        <v>101.98707830911398</v>
      </c>
      <c r="F2961">
        <v>0</v>
      </c>
    </row>
    <row r="2962" spans="2:6" ht="15.75" customHeight="1" x14ac:dyDescent="0.25">
      <c r="B2962" t="str">
        <v>KaoyaSwap</v>
      </c>
      <c r="C2962" t="str">
        <v>Dexs</v>
      </c>
      <c r="D2962" t="str">
        <v>-</v>
      </c>
      <c r="E2962">
        <v>1893771.7344238102</v>
      </c>
      <c r="F2962">
        <v>0</v>
      </c>
    </row>
    <row r="2963" spans="2:6" ht="15.75" customHeight="1" x14ac:dyDescent="0.25">
      <c r="B2963" t="str">
        <v>KapaSwap</v>
      </c>
      <c r="C2963" t="str">
        <v>Dexs</v>
      </c>
      <c r="D2963" t="str">
        <v>-</v>
      </c>
      <c r="E2963">
        <v>0.33754819386489981</v>
      </c>
      <c r="F2963">
        <v>0</v>
      </c>
    </row>
    <row r="2964" spans="2:6" ht="15.75" customHeight="1" x14ac:dyDescent="0.25">
      <c r="B2964" t="str">
        <v>Kapinus</v>
      </c>
      <c r="C2964" t="str">
        <v>Dexs</v>
      </c>
      <c r="D2964" t="str">
        <v>-</v>
      </c>
      <c r="E2964">
        <v>355.5099800204012</v>
      </c>
      <c r="F2964">
        <v>0</v>
      </c>
    </row>
    <row r="2965" spans="2:6" ht="15.75" customHeight="1" x14ac:dyDescent="0.25">
      <c r="B2965" t="str">
        <v>Karma DAO</v>
      </c>
      <c r="C2965" t="str">
        <v>Reserve Currency</v>
      </c>
      <c r="D2965" t="str">
        <v>KARMA</v>
      </c>
      <c r="E2965">
        <v>0</v>
      </c>
      <c r="F2965">
        <v>76064.509678782386</v>
      </c>
    </row>
    <row r="2966" spans="2:6" ht="15.75" customHeight="1" x14ac:dyDescent="0.25">
      <c r="B2966" t="str">
        <v>Karura Dollar (kUSD)</v>
      </c>
      <c r="C2966" t="str">
        <v>Lending</v>
      </c>
      <c r="D2966" t="str">
        <v>-</v>
      </c>
      <c r="E2966">
        <v>0</v>
      </c>
      <c r="F2966">
        <v>0</v>
      </c>
    </row>
    <row r="2967" spans="2:6" ht="15.75" customHeight="1" x14ac:dyDescent="0.25">
      <c r="B2967" t="str">
        <v>Karura Liquid Staking</v>
      </c>
      <c r="C2967" t="str">
        <v>Liquid Staking</v>
      </c>
      <c r="D2967" t="str">
        <v>KSM</v>
      </c>
      <c r="E2967">
        <v>1213171.2882318976</v>
      </c>
      <c r="F2967">
        <v>0</v>
      </c>
    </row>
    <row r="2968" spans="2:6" ht="15.75" customHeight="1" x14ac:dyDescent="0.25">
      <c r="B2968" t="str">
        <v>Karura Swap</v>
      </c>
      <c r="C2968" t="str">
        <v>Dexs</v>
      </c>
      <c r="D2968" t="str">
        <v>-</v>
      </c>
      <c r="E2968">
        <v>0</v>
      </c>
      <c r="F2968">
        <v>0</v>
      </c>
    </row>
    <row r="2969" spans="2:6" ht="15.75" customHeight="1" x14ac:dyDescent="0.25">
      <c r="B2969" t="str">
        <v>Kasava Dex</v>
      </c>
      <c r="C2969" t="str">
        <v>Dexs</v>
      </c>
      <c r="D2969" t="str">
        <v>-</v>
      </c>
      <c r="E2969">
        <v>4.7047677596360051</v>
      </c>
      <c r="F2969">
        <v>0</v>
      </c>
    </row>
    <row r="2970" spans="2:6" ht="15.75" customHeight="1" x14ac:dyDescent="0.25">
      <c r="B2970" t="str">
        <v>Kaspa Finance V3</v>
      </c>
      <c r="C2970" t="str">
        <v>Dexs</v>
      </c>
      <c r="D2970" t="str">
        <v>KFC</v>
      </c>
      <c r="E2970">
        <v>5302.0547059788805</v>
      </c>
      <c r="F2970">
        <v>0</v>
      </c>
    </row>
    <row r="2971" spans="2:6" ht="15.75" customHeight="1" x14ac:dyDescent="0.25">
      <c r="B2971" t="str">
        <v>KaspaCom Dex</v>
      </c>
      <c r="C2971" t="str">
        <v>Dexs</v>
      </c>
      <c r="D2971" t="str">
        <v>-</v>
      </c>
      <c r="E2971">
        <v>70311.47527607248</v>
      </c>
      <c r="F2971">
        <v>0</v>
      </c>
    </row>
    <row r="2972" spans="2:6" ht="15.75" customHeight="1" x14ac:dyDescent="0.25">
      <c r="B2972" t="str">
        <v>Kassandra DAO</v>
      </c>
      <c r="C2972" t="str">
        <v>Indexes</v>
      </c>
      <c r="D2972" t="str">
        <v>KACY</v>
      </c>
      <c r="E2972">
        <v>1221.9675623948883</v>
      </c>
      <c r="F2972">
        <v>5632.1941588775962</v>
      </c>
    </row>
    <row r="2973" spans="2:6" ht="15.75" customHeight="1" x14ac:dyDescent="0.25">
      <c r="B2973" t="str">
        <v>Kasu</v>
      </c>
      <c r="C2973" t="str">
        <v>RWA Lending</v>
      </c>
      <c r="D2973" t="str">
        <v>-</v>
      </c>
      <c r="E2973">
        <v>5907380.3555038339</v>
      </c>
      <c r="F2973">
        <v>0</v>
      </c>
    </row>
    <row r="2974" spans="2:6" ht="15.75" customHeight="1" x14ac:dyDescent="0.25">
      <c r="B2974" t="str">
        <v>Katana</v>
      </c>
      <c r="C2974" t="str">
        <v>Options Vault</v>
      </c>
      <c r="D2974" t="str">
        <v>-</v>
      </c>
      <c r="E2974">
        <v>2548834.6559837363</v>
      </c>
      <c r="F2974">
        <v>0</v>
      </c>
    </row>
    <row r="2975" spans="2:6" ht="15.75" customHeight="1" x14ac:dyDescent="0.25">
      <c r="B2975" t="str">
        <v>Katana DEX</v>
      </c>
      <c r="C2975" t="str">
        <v>Dexs</v>
      </c>
      <c r="D2975" t="str">
        <v>-</v>
      </c>
      <c r="E2975">
        <v>13528296.332312167</v>
      </c>
      <c r="F2975">
        <v>0</v>
      </c>
    </row>
    <row r="2976" spans="2:6" ht="15.75" customHeight="1" x14ac:dyDescent="0.25">
      <c r="B2976" t="str">
        <v>Katana DEX V3</v>
      </c>
      <c r="C2976" t="str">
        <v>Dexs</v>
      </c>
      <c r="D2976" t="str">
        <v>-</v>
      </c>
      <c r="E2976">
        <v>4721510.9670251301</v>
      </c>
      <c r="F2976">
        <v>0</v>
      </c>
    </row>
    <row r="2977" spans="2:6" ht="15.75" customHeight="1" x14ac:dyDescent="0.25">
      <c r="B2977" t="str">
        <v>Katana Pre-Launch</v>
      </c>
      <c r="C2977" t="str">
        <v>Farm</v>
      </c>
      <c r="D2977" t="str">
        <v>-</v>
      </c>
      <c r="E2977">
        <v>34507981.799367681</v>
      </c>
      <c r="F2977">
        <v>0</v>
      </c>
    </row>
    <row r="2978" spans="2:6" ht="15.75" customHeight="1" x14ac:dyDescent="0.25">
      <c r="B2978" t="str">
        <v>KatanaSwap</v>
      </c>
      <c r="C2978" t="str">
        <v>Dexs</v>
      </c>
      <c r="D2978" t="str">
        <v>KTN</v>
      </c>
      <c r="E2978">
        <v>39.309893470410962</v>
      </c>
      <c r="F2978">
        <v>0</v>
      </c>
    </row>
    <row r="2979" spans="2:6" ht="15.75" customHeight="1" x14ac:dyDescent="0.25">
      <c r="B2979" t="str">
        <v>Kava Boost</v>
      </c>
      <c r="C2979" t="str">
        <v>Farm</v>
      </c>
      <c r="D2979" t="str">
        <v>-</v>
      </c>
      <c r="E2979">
        <v>21911.581682344611</v>
      </c>
      <c r="F2979">
        <v>0</v>
      </c>
    </row>
    <row r="2980" spans="2:6" ht="15.75" customHeight="1" x14ac:dyDescent="0.25">
      <c r="B2980" t="str">
        <v>Kava Earn</v>
      </c>
      <c r="C2980" t="str">
        <v>Yield Aggregator</v>
      </c>
      <c r="D2980" t="str">
        <v>-</v>
      </c>
      <c r="E2980">
        <v>3045117.9731748328</v>
      </c>
      <c r="F2980">
        <v>0</v>
      </c>
    </row>
    <row r="2981" spans="2:6" ht="15.75" customHeight="1" x14ac:dyDescent="0.25">
      <c r="B2981" t="str">
        <v>Kava Football Club</v>
      </c>
      <c r="C2981" t="str">
        <v>Prediction Market</v>
      </c>
      <c r="D2981" t="str">
        <v>-</v>
      </c>
      <c r="E2981">
        <v>0</v>
      </c>
      <c r="F2981">
        <v>0</v>
      </c>
    </row>
    <row r="2982" spans="2:6" ht="15.75" customHeight="1" x14ac:dyDescent="0.25">
      <c r="B2982" t="str">
        <v>Kava Lend</v>
      </c>
      <c r="C2982" t="str">
        <v>Lending</v>
      </c>
      <c r="D2982" t="str">
        <v>HARD</v>
      </c>
      <c r="E2982">
        <v>15276651.83803717</v>
      </c>
      <c r="F2982">
        <v>551914.48164887517</v>
      </c>
    </row>
    <row r="2983" spans="2:6" ht="15.75" customHeight="1" x14ac:dyDescent="0.25">
      <c r="B2983" t="str">
        <v>Kava Liquid</v>
      </c>
      <c r="C2983" t="str">
        <v>Liquid Staking</v>
      </c>
      <c r="D2983" t="str">
        <v>-</v>
      </c>
      <c r="E2983">
        <v>3028096.4411725327</v>
      </c>
      <c r="F2983">
        <v>0</v>
      </c>
    </row>
    <row r="2984" spans="2:6" ht="15.75" customHeight="1" x14ac:dyDescent="0.25">
      <c r="B2984" t="str">
        <v>Kava Mint</v>
      </c>
      <c r="C2984" t="str">
        <v>CDP</v>
      </c>
      <c r="D2984" t="str">
        <v>-</v>
      </c>
      <c r="E2984">
        <v>22636497.810370389</v>
      </c>
      <c r="F2984">
        <v>0</v>
      </c>
    </row>
    <row r="2985" spans="2:6" ht="15.75" customHeight="1" x14ac:dyDescent="0.25">
      <c r="B2985" t="str">
        <v>Kava Swap</v>
      </c>
      <c r="C2985" t="str">
        <v>Dexs</v>
      </c>
      <c r="D2985" t="str">
        <v>SWP</v>
      </c>
      <c r="E2985">
        <v>408240.41836735629</v>
      </c>
      <c r="F2985">
        <v>425395.74982809025</v>
      </c>
    </row>
    <row r="2986" spans="2:6" ht="15.75" customHeight="1" x14ac:dyDescent="0.25">
      <c r="B2986" t="str">
        <v>Kavacave</v>
      </c>
      <c r="C2986" t="str">
        <v>Yield</v>
      </c>
      <c r="D2986" t="str">
        <v>-</v>
      </c>
      <c r="E2986">
        <v>0</v>
      </c>
      <c r="F2986">
        <v>0</v>
      </c>
    </row>
    <row r="2987" spans="2:6" ht="15.75" customHeight="1" x14ac:dyDescent="0.25">
      <c r="B2987" t="str">
        <v>KavaLake</v>
      </c>
      <c r="C2987" t="str">
        <v>Liquid Staking</v>
      </c>
      <c r="D2987" t="str">
        <v>-</v>
      </c>
      <c r="E2987">
        <v>0</v>
      </c>
      <c r="F2987">
        <v>0</v>
      </c>
    </row>
    <row r="2988" spans="2:6" ht="15.75" customHeight="1" x14ac:dyDescent="0.25">
      <c r="B2988" t="str">
        <v>Kavastarter</v>
      </c>
      <c r="C2988" t="str">
        <v>Launchpad</v>
      </c>
      <c r="D2988" t="str">
        <v>KAST</v>
      </c>
      <c r="E2988">
        <v>7.5569648567275854E-2</v>
      </c>
      <c r="F2988">
        <v>0</v>
      </c>
    </row>
    <row r="2989" spans="2:6" ht="15.75" customHeight="1" x14ac:dyDescent="0.25">
      <c r="B2989" t="str">
        <v>Kawa Finance</v>
      </c>
      <c r="C2989" t="str">
        <v>Lending</v>
      </c>
      <c r="D2989" t="str">
        <v>-</v>
      </c>
      <c r="E2989">
        <v>802.18655623646941</v>
      </c>
      <c r="F2989">
        <v>0</v>
      </c>
    </row>
    <row r="2990" spans="2:6" ht="15.75" customHeight="1" x14ac:dyDescent="0.25">
      <c r="B2990" t="str">
        <v>KawaiiSwap</v>
      </c>
      <c r="C2990" t="str">
        <v>Yield</v>
      </c>
      <c r="D2990" t="str">
        <v>CALCIFIRE</v>
      </c>
      <c r="E2990">
        <v>0</v>
      </c>
      <c r="F2990">
        <v>0</v>
      </c>
    </row>
    <row r="2991" spans="2:6" ht="15.75" customHeight="1" x14ac:dyDescent="0.25">
      <c r="B2991" t="str">
        <v>Kayak V2</v>
      </c>
      <c r="C2991" t="str">
        <v>Dexs</v>
      </c>
      <c r="D2991" t="str">
        <v>-</v>
      </c>
      <c r="E2991">
        <v>1252.2342467685485</v>
      </c>
      <c r="F2991">
        <v>0</v>
      </c>
    </row>
    <row r="2992" spans="2:6" ht="15.75" customHeight="1" x14ac:dyDescent="0.25">
      <c r="B2992" t="str">
        <v>Kayak V3</v>
      </c>
      <c r="C2992" t="str">
        <v>Dexs</v>
      </c>
      <c r="D2992" t="str">
        <v>-</v>
      </c>
      <c r="E2992">
        <v>562.7648056868004</v>
      </c>
      <c r="F2992">
        <v>0</v>
      </c>
    </row>
    <row r="2993" spans="2:6" ht="15.75" customHeight="1" x14ac:dyDescent="0.25">
      <c r="B2993" t="str">
        <v>KDex</v>
      </c>
      <c r="C2993" t="str">
        <v>Dexs</v>
      </c>
      <c r="D2993" t="str">
        <v>KDEX</v>
      </c>
      <c r="E2993">
        <v>0</v>
      </c>
      <c r="F2993">
        <v>0</v>
      </c>
    </row>
    <row r="2994" spans="2:6" ht="15.75" customHeight="1" x14ac:dyDescent="0.25">
      <c r="B2994" t="str">
        <v>KDLaunch</v>
      </c>
      <c r="C2994" t="str">
        <v>Launchpad</v>
      </c>
      <c r="D2994" t="str">
        <v>KDL</v>
      </c>
      <c r="E2994">
        <v>0</v>
      </c>
      <c r="F2994">
        <v>0</v>
      </c>
    </row>
    <row r="2995" spans="2:6" ht="15.75" customHeight="1" x14ac:dyDescent="0.25">
      <c r="B2995" t="str">
        <v>KDSwap</v>
      </c>
      <c r="C2995" t="str">
        <v>Dexs</v>
      </c>
      <c r="D2995" t="str">
        <v>KDS</v>
      </c>
      <c r="E2995">
        <v>0</v>
      </c>
      <c r="F2995">
        <v>0</v>
      </c>
    </row>
    <row r="2996" spans="2:6" ht="15.75" customHeight="1" x14ac:dyDescent="0.25">
      <c r="B2996" t="str">
        <v>Kea Credit</v>
      </c>
      <c r="C2996" t="str">
        <v>RWA</v>
      </c>
      <c r="D2996" t="str">
        <v>-</v>
      </c>
      <c r="E2996">
        <v>0</v>
      </c>
      <c r="F2996">
        <v>0</v>
      </c>
    </row>
    <row r="2997" spans="2:6" ht="15.75" customHeight="1" x14ac:dyDescent="0.25">
      <c r="B2997" t="str">
        <v>Kebab Finance</v>
      </c>
      <c r="C2997" t="str">
        <v>Dexs</v>
      </c>
      <c r="D2997" t="str">
        <v>KEBAB</v>
      </c>
      <c r="E2997">
        <v>160.51882149115283</v>
      </c>
      <c r="F2997">
        <v>0</v>
      </c>
    </row>
    <row r="2998" spans="2:6" ht="15.75" customHeight="1" x14ac:dyDescent="0.25">
      <c r="B2998" t="str">
        <v>Keel Finance</v>
      </c>
      <c r="C2998" t="str">
        <v>Yield</v>
      </c>
      <c r="D2998" t="str">
        <v>-</v>
      </c>
      <c r="E2998">
        <v>6.9978357266827942</v>
      </c>
      <c r="F2998">
        <v>0</v>
      </c>
    </row>
    <row r="2999" spans="2:6" ht="15.75" customHeight="1" x14ac:dyDescent="0.25">
      <c r="B2999" t="str">
        <v>KEEP Network</v>
      </c>
      <c r="C2999" t="str">
        <v>Cross Chain Bridge</v>
      </c>
      <c r="D2999" t="str">
        <v>KEEP</v>
      </c>
      <c r="E2999">
        <v>1276220.3235505</v>
      </c>
      <c r="F2999">
        <v>26096733.923629101</v>
      </c>
    </row>
    <row r="3000" spans="2:6" ht="15.75" customHeight="1" x14ac:dyDescent="0.25">
      <c r="B3000" t="str">
        <v>Keep3r Network</v>
      </c>
      <c r="C3000" t="str">
        <v>Derivatives</v>
      </c>
      <c r="D3000" t="str">
        <v>KP3R</v>
      </c>
      <c r="E3000">
        <v>5826735.375248529</v>
      </c>
      <c r="F3000">
        <v>1366312.2149789787</v>
      </c>
    </row>
    <row r="3001" spans="2:6" ht="15.75" customHeight="1" x14ac:dyDescent="0.25">
      <c r="B3001" t="str">
        <v>KefirSwap</v>
      </c>
      <c r="C3001" t="str">
        <v>Dexs</v>
      </c>
      <c r="D3001" t="str">
        <v>KEFIR</v>
      </c>
      <c r="E3001">
        <v>73.050467665466556</v>
      </c>
      <c r="F3001">
        <v>0</v>
      </c>
    </row>
    <row r="3002" spans="2:6" ht="15.75" customHeight="1" x14ac:dyDescent="0.25">
      <c r="B3002" t="str">
        <v>Kei Finance</v>
      </c>
      <c r="C3002" t="str">
        <v>Yield</v>
      </c>
      <c r="D3002" t="str">
        <v>KEI</v>
      </c>
      <c r="E3002">
        <v>0</v>
      </c>
      <c r="F3002">
        <v>0</v>
      </c>
    </row>
    <row r="3003" spans="2:6" ht="15.75" customHeight="1" x14ac:dyDescent="0.25">
      <c r="B3003" t="str">
        <v>Keiko Finance</v>
      </c>
      <c r="C3003" t="str">
        <v>CDP</v>
      </c>
      <c r="D3003" t="str">
        <v>-</v>
      </c>
      <c r="E3003">
        <v>100958.24231718</v>
      </c>
      <c r="F3003">
        <v>0</v>
      </c>
    </row>
    <row r="3004" spans="2:6" ht="15.75" customHeight="1" x14ac:dyDescent="0.25">
      <c r="B3004" t="str">
        <v>KekSwap</v>
      </c>
      <c r="C3004" t="str">
        <v>Dexs</v>
      </c>
      <c r="D3004" t="str">
        <v>-</v>
      </c>
      <c r="E3004">
        <v>0</v>
      </c>
      <c r="F3004">
        <v>0</v>
      </c>
    </row>
    <row r="3005" spans="2:6" ht="15.75" customHeight="1" x14ac:dyDescent="0.25">
      <c r="B3005" t="str">
        <v>Keller Finance V2</v>
      </c>
      <c r="C3005" t="str">
        <v>Dexs</v>
      </c>
      <c r="D3005" t="str">
        <v>KELL</v>
      </c>
      <c r="E3005">
        <v>409.45034275984472</v>
      </c>
      <c r="F3005">
        <v>0</v>
      </c>
    </row>
    <row r="3006" spans="2:6" ht="15.75" customHeight="1" x14ac:dyDescent="0.25">
      <c r="B3006" t="str">
        <v>Keller Finance V3</v>
      </c>
      <c r="C3006" t="str">
        <v>Dexs</v>
      </c>
      <c r="D3006" t="str">
        <v>KELL</v>
      </c>
      <c r="E3006">
        <v>330.39337502263004</v>
      </c>
      <c r="F3006">
        <v>0</v>
      </c>
    </row>
    <row r="3007" spans="2:6" ht="15.75" customHeight="1" x14ac:dyDescent="0.25">
      <c r="B3007" t="str">
        <v>Kelp</v>
      </c>
      <c r="C3007" t="str">
        <v>Liquid Restaking</v>
      </c>
      <c r="D3007" t="str">
        <v>-</v>
      </c>
      <c r="E3007">
        <v>1134655956.95752</v>
      </c>
      <c r="F3007">
        <v>0</v>
      </c>
    </row>
    <row r="3008" spans="2:6" ht="15.75" customHeight="1" x14ac:dyDescent="0.25">
      <c r="B3008" t="str">
        <v>Kensei</v>
      </c>
      <c r="C3008" t="str">
        <v>Launchpad</v>
      </c>
      <c r="D3008" t="str">
        <v>-</v>
      </c>
      <c r="E3008">
        <v>0</v>
      </c>
      <c r="F3008">
        <v>0</v>
      </c>
    </row>
    <row r="3009" spans="2:6" ht="15.75" customHeight="1" x14ac:dyDescent="0.25">
      <c r="B3009" t="str">
        <v>Keom Protocol</v>
      </c>
      <c r="C3009" t="str">
        <v>Lending</v>
      </c>
      <c r="D3009" t="str">
        <v>-</v>
      </c>
      <c r="E3009">
        <v>306865.61203054327</v>
      </c>
      <c r="F3009">
        <v>0</v>
      </c>
    </row>
    <row r="3010" spans="2:6" ht="15.75" customHeight="1" x14ac:dyDescent="0.25">
      <c r="B3010" t="str">
        <v>Kerberus</v>
      </c>
      <c r="C3010" t="str">
        <v>Security Extension</v>
      </c>
      <c r="D3010" t="str">
        <v>-</v>
      </c>
      <c r="E3010">
        <v>0</v>
      </c>
      <c r="F3010">
        <v>0</v>
      </c>
    </row>
    <row r="3011" spans="2:6" ht="15.75" customHeight="1" x14ac:dyDescent="0.25">
      <c r="B3011" t="str">
        <v>Kernel</v>
      </c>
      <c r="C3011" t="str">
        <v>Restaking</v>
      </c>
      <c r="D3011" t="str">
        <v>-</v>
      </c>
      <c r="E3011">
        <v>6975724.5731687173</v>
      </c>
      <c r="F3011">
        <v>0</v>
      </c>
    </row>
    <row r="3012" spans="2:6" ht="15.75" customHeight="1" x14ac:dyDescent="0.25">
      <c r="B3012" t="str">
        <v>Kernel Protocol</v>
      </c>
      <c r="C3012" t="str">
        <v>Liquid Restaking</v>
      </c>
      <c r="D3012" t="str">
        <v>-</v>
      </c>
      <c r="E3012">
        <v>105238.61338950544</v>
      </c>
      <c r="F3012">
        <v>0</v>
      </c>
    </row>
    <row r="3013" spans="2:6" ht="15.75" customHeight="1" x14ac:dyDescent="0.25">
      <c r="B3013" t="str">
        <v>Ketchup Finance</v>
      </c>
      <c r="C3013" t="str">
        <v>Yield</v>
      </c>
      <c r="D3013" t="str">
        <v>KETCHUP</v>
      </c>
      <c r="E3013">
        <v>44.816913279615548</v>
      </c>
      <c r="F3013">
        <v>0</v>
      </c>
    </row>
    <row r="3014" spans="2:6" ht="15.75" customHeight="1" x14ac:dyDescent="0.25">
      <c r="B3014" t="str">
        <v>KEWL EXCHANGE</v>
      </c>
      <c r="C3014" t="str">
        <v>Dexs</v>
      </c>
      <c r="D3014" t="str">
        <v>KWL</v>
      </c>
      <c r="E3014">
        <v>42881.552543812541</v>
      </c>
      <c r="F3014">
        <v>0</v>
      </c>
    </row>
    <row r="3015" spans="2:6" ht="15.75" customHeight="1" x14ac:dyDescent="0.25">
      <c r="B3015" t="str">
        <v>Key Finance</v>
      </c>
      <c r="C3015" t="str">
        <v>Yield</v>
      </c>
      <c r="D3015" t="str">
        <v>MPkey</v>
      </c>
      <c r="E3015">
        <v>11970.167754745189</v>
      </c>
      <c r="F3015">
        <v>0</v>
      </c>
    </row>
    <row r="3016" spans="2:6" ht="15.75" customHeight="1" x14ac:dyDescent="0.25">
      <c r="B3016" t="str">
        <v>Keyring</v>
      </c>
      <c r="C3016" t="str">
        <v>Risk Curators</v>
      </c>
      <c r="D3016" t="str">
        <v>-</v>
      </c>
      <c r="E3016">
        <v>6293179.8221479366</v>
      </c>
      <c r="F3016">
        <v>0</v>
      </c>
    </row>
    <row r="3017" spans="2:6" ht="15.75" customHeight="1" x14ac:dyDescent="0.25">
      <c r="B3017" t="str">
        <v>KeySea</v>
      </c>
      <c r="C3017" t="str">
        <v>SoFi</v>
      </c>
      <c r="D3017" t="str">
        <v>-</v>
      </c>
      <c r="E3017">
        <v>812.13987114095187</v>
      </c>
      <c r="F3017">
        <v>0</v>
      </c>
    </row>
    <row r="3018" spans="2:6" ht="15.75" customHeight="1" x14ac:dyDescent="0.25">
      <c r="B3018" t="str">
        <v>KGeN</v>
      </c>
      <c r="C3018" t="str">
        <v>SoFi</v>
      </c>
      <c r="D3018" t="str">
        <v>-</v>
      </c>
      <c r="E3018">
        <v>0</v>
      </c>
      <c r="F3018">
        <v>0</v>
      </c>
    </row>
    <row r="3019" spans="2:6" ht="15.75" customHeight="1" x14ac:dyDescent="0.25">
      <c r="B3019" t="str">
        <v>KibbleSwap</v>
      </c>
      <c r="C3019" t="str">
        <v>Dexs</v>
      </c>
      <c r="D3019" t="str">
        <v>KIB</v>
      </c>
      <c r="E3019">
        <v>98463.688042010515</v>
      </c>
      <c r="F3019">
        <v>0</v>
      </c>
    </row>
    <row r="3020" spans="2:6" ht="15.75" customHeight="1" x14ac:dyDescent="0.25">
      <c r="B3020" t="str">
        <v>Kickspad</v>
      </c>
      <c r="C3020" t="str">
        <v>Launchpad</v>
      </c>
      <c r="D3020" t="str">
        <v>KICKS</v>
      </c>
      <c r="E3020">
        <v>0</v>
      </c>
      <c r="F3020">
        <v>0</v>
      </c>
    </row>
    <row r="3021" spans="2:6" ht="15.75" customHeight="1" x14ac:dyDescent="0.25">
      <c r="B3021" t="str">
        <v>KillSwitch</v>
      </c>
      <c r="C3021" t="str">
        <v>Yield Aggregator</v>
      </c>
      <c r="D3021" t="str">
        <v>KSW</v>
      </c>
      <c r="E3021">
        <v>205094</v>
      </c>
      <c r="F3021">
        <v>0</v>
      </c>
    </row>
    <row r="3022" spans="2:6" ht="15.75" customHeight="1" x14ac:dyDescent="0.25">
      <c r="B3022" t="str">
        <v>KiloEx</v>
      </c>
      <c r="C3022" t="str">
        <v>Derivatives</v>
      </c>
      <c r="D3022" t="str">
        <v>KILO</v>
      </c>
      <c r="E3022">
        <v>4539462.7846549731</v>
      </c>
      <c r="F3022">
        <v>1835378.9010684523</v>
      </c>
    </row>
    <row r="3023" spans="2:6" ht="15.75" customHeight="1" x14ac:dyDescent="0.25">
      <c r="B3023" t="str">
        <v>KIM Exchange V1</v>
      </c>
      <c r="C3023" t="str">
        <v>Dexs</v>
      </c>
      <c r="D3023" t="str">
        <v>KIM</v>
      </c>
      <c r="E3023">
        <v>192.57077245122167</v>
      </c>
      <c r="F3023">
        <v>0</v>
      </c>
    </row>
    <row r="3024" spans="2:6" ht="15.75" customHeight="1" x14ac:dyDescent="0.25">
      <c r="B3024" t="str">
        <v>KIM Exchange V2</v>
      </c>
      <c r="C3024" t="str">
        <v>Dexs</v>
      </c>
      <c r="D3024" t="str">
        <v>KIM</v>
      </c>
      <c r="E3024">
        <v>124190.2065687985</v>
      </c>
      <c r="F3024">
        <v>0</v>
      </c>
    </row>
    <row r="3025" spans="2:6" ht="15.75" customHeight="1" x14ac:dyDescent="0.25">
      <c r="B3025" t="str">
        <v>KIM Exchange V3</v>
      </c>
      <c r="C3025" t="str">
        <v>Dexs</v>
      </c>
      <c r="D3025" t="str">
        <v>KIM</v>
      </c>
      <c r="E3025">
        <v>199811.53486280816</v>
      </c>
      <c r="F3025">
        <v>0</v>
      </c>
    </row>
    <row r="3026" spans="2:6" ht="15.75" customHeight="1" x14ac:dyDescent="0.25">
      <c r="B3026" t="str">
        <v>Kim Vaults</v>
      </c>
      <c r="C3026" t="str">
        <v>Yield</v>
      </c>
      <c r="D3026" t="str">
        <v>-</v>
      </c>
      <c r="E3026">
        <v>43765.177525714236</v>
      </c>
      <c r="F3026">
        <v>0</v>
      </c>
    </row>
    <row r="3027" spans="2:6" ht="15.75" customHeight="1" x14ac:dyDescent="0.25">
      <c r="B3027" t="str">
        <v>Kimberlite</v>
      </c>
      <c r="C3027" t="str">
        <v>Yield</v>
      </c>
      <c r="D3027" t="str">
        <v>KLB</v>
      </c>
      <c r="E3027">
        <v>289.7761740759691</v>
      </c>
      <c r="F3027">
        <v>0</v>
      </c>
    </row>
    <row r="3028" spans="2:6" ht="15.75" customHeight="1" x14ac:dyDescent="0.25">
      <c r="B3028" t="str">
        <v>Kimochi</v>
      </c>
      <c r="C3028" t="str">
        <v>Services</v>
      </c>
      <c r="D3028" t="str">
        <v>KIMOCHI</v>
      </c>
      <c r="E3028">
        <v>1927.3426220455367</v>
      </c>
      <c r="F3028">
        <v>0</v>
      </c>
    </row>
    <row r="3029" spans="2:6" ht="15.75" customHeight="1" x14ac:dyDescent="0.25">
      <c r="B3029" t="str">
        <v>Kine Finance</v>
      </c>
      <c r="C3029" t="str">
        <v>Yield</v>
      </c>
      <c r="D3029" t="str">
        <v>KINE</v>
      </c>
      <c r="E3029">
        <v>1284404.8960961429</v>
      </c>
      <c r="F3029">
        <v>25039.913200734271</v>
      </c>
    </row>
    <row r="3030" spans="2:6" ht="15.75" customHeight="1" x14ac:dyDescent="0.25">
      <c r="B3030" t="str">
        <v>Kinesis Labs</v>
      </c>
      <c r="C3030" t="str">
        <v>Dexs</v>
      </c>
      <c r="D3030" t="str">
        <v>-</v>
      </c>
      <c r="E3030">
        <v>13440.879075904932</v>
      </c>
      <c r="F3030">
        <v>0</v>
      </c>
    </row>
    <row r="3031" spans="2:6" ht="15.75" customHeight="1" x14ac:dyDescent="0.25">
      <c r="B3031" t="str">
        <v>Kinetic</v>
      </c>
      <c r="C3031" t="str">
        <v>Lending</v>
      </c>
      <c r="D3031" t="str">
        <v>JOULE</v>
      </c>
      <c r="E3031">
        <v>117478707.50351737</v>
      </c>
      <c r="F3031">
        <v>3886792.0259069195</v>
      </c>
    </row>
    <row r="3032" spans="2:6" ht="15.75" customHeight="1" x14ac:dyDescent="0.25">
      <c r="B3032" t="str">
        <v>Kinetiq Earn</v>
      </c>
      <c r="C3032" t="str">
        <v>Yield Aggregator</v>
      </c>
      <c r="D3032" t="str">
        <v>-</v>
      </c>
      <c r="E3032">
        <v>47161909.915305242</v>
      </c>
      <c r="F3032">
        <v>0</v>
      </c>
    </row>
    <row r="3033" spans="2:6" ht="15.75" customHeight="1" x14ac:dyDescent="0.25">
      <c r="B3033" t="str">
        <v>Kinetiq kHYPE</v>
      </c>
      <c r="C3033" t="str">
        <v>Liquid Staking</v>
      </c>
      <c r="D3033" t="str">
        <v>-</v>
      </c>
      <c r="E3033">
        <v>604399689.38945615</v>
      </c>
      <c r="F3033">
        <v>0</v>
      </c>
    </row>
    <row r="3034" spans="2:6" ht="15.75" customHeight="1" x14ac:dyDescent="0.25">
      <c r="B3034" t="str">
        <v>Kinetiq Markets</v>
      </c>
      <c r="C3034" t="str">
        <v>Derivatives</v>
      </c>
      <c r="D3034" t="str">
        <v>-</v>
      </c>
      <c r="E3034">
        <v>23041081.190903332</v>
      </c>
      <c r="F3034">
        <v>0</v>
      </c>
    </row>
    <row r="3035" spans="2:6" ht="15.75" customHeight="1" x14ac:dyDescent="0.25">
      <c r="B3035" t="str">
        <v>Kinetix AMM V2</v>
      </c>
      <c r="C3035" t="str">
        <v>Dexs</v>
      </c>
      <c r="D3035" t="str">
        <v>KAI</v>
      </c>
      <c r="E3035">
        <v>182.38076438356731</v>
      </c>
      <c r="F3035">
        <v>0</v>
      </c>
    </row>
    <row r="3036" spans="2:6" ht="15.75" customHeight="1" x14ac:dyDescent="0.25">
      <c r="B3036" t="str">
        <v>Kinetix AMM V3</v>
      </c>
      <c r="C3036" t="str">
        <v>Dexs</v>
      </c>
      <c r="D3036" t="str">
        <v>KAI</v>
      </c>
      <c r="E3036">
        <v>417001.73565744743</v>
      </c>
      <c r="F3036">
        <v>0</v>
      </c>
    </row>
    <row r="3037" spans="2:6" ht="15.75" customHeight="1" x14ac:dyDescent="0.25">
      <c r="B3037" t="str">
        <v>Kinetix Derivatives</v>
      </c>
      <c r="C3037" t="str">
        <v>Derivatives</v>
      </c>
      <c r="D3037" t="str">
        <v>KAI</v>
      </c>
      <c r="E3037">
        <v>0</v>
      </c>
      <c r="F3037">
        <v>0</v>
      </c>
    </row>
    <row r="3038" spans="2:6" ht="15.75" customHeight="1" x14ac:dyDescent="0.25">
      <c r="B3038" t="str">
        <v>Kinetix Derivatives V2</v>
      </c>
      <c r="C3038" t="str">
        <v>Derivatives</v>
      </c>
      <c r="D3038" t="str">
        <v>KAI</v>
      </c>
      <c r="E3038">
        <v>0</v>
      </c>
      <c r="F3038">
        <v>0</v>
      </c>
    </row>
    <row r="3039" spans="2:6" ht="15.75" customHeight="1" x14ac:dyDescent="0.25">
      <c r="B3039" t="str">
        <v>King Finance</v>
      </c>
      <c r="C3039" t="str">
        <v>Services</v>
      </c>
      <c r="D3039" t="str">
        <v>KING</v>
      </c>
      <c r="E3039">
        <v>0</v>
      </c>
      <c r="F3039">
        <v>591534.42583938758</v>
      </c>
    </row>
    <row r="3040" spans="2:6" ht="15.75" customHeight="1" x14ac:dyDescent="0.25">
      <c r="B3040" t="str">
        <v>King Protocol</v>
      </c>
      <c r="C3040" t="str">
        <v>Liquid Restaking</v>
      </c>
      <c r="D3040" t="str">
        <v>-</v>
      </c>
      <c r="E3040">
        <v>3677934.9253329276</v>
      </c>
      <c r="F3040">
        <v>0</v>
      </c>
    </row>
    <row r="3041" spans="2:6" ht="15.75" customHeight="1" x14ac:dyDescent="0.25">
      <c r="B3041" t="str">
        <v>KingDefi</v>
      </c>
      <c r="C3041" t="str">
        <v>Yield</v>
      </c>
      <c r="D3041" t="str">
        <v>KRW</v>
      </c>
      <c r="E3041">
        <v>1352.5814062615182</v>
      </c>
      <c r="F3041">
        <v>0</v>
      </c>
    </row>
    <row r="3042" spans="2:6" ht="15.75" customHeight="1" x14ac:dyDescent="0.25">
      <c r="B3042" t="str">
        <v>Kinto Bridge</v>
      </c>
      <c r="C3042" t="str">
        <v>Canonical Bridge</v>
      </c>
      <c r="D3042" t="str">
        <v>-</v>
      </c>
      <c r="E3042">
        <v>672216.87868407031</v>
      </c>
      <c r="F3042">
        <v>0</v>
      </c>
    </row>
    <row r="3043" spans="2:6" ht="15.75" customHeight="1" x14ac:dyDescent="0.25">
      <c r="B3043" t="str">
        <v>Kinto Hyperliquid</v>
      </c>
      <c r="C3043" t="str">
        <v>Interface</v>
      </c>
      <c r="D3043" t="str">
        <v>-</v>
      </c>
      <c r="E3043">
        <v>0</v>
      </c>
      <c r="F3043">
        <v>0</v>
      </c>
    </row>
    <row r="3044" spans="2:6" ht="15.75" customHeight="1" x14ac:dyDescent="0.25">
      <c r="B3044" t="str">
        <v>Kintsu</v>
      </c>
      <c r="C3044" t="str">
        <v>Liquid Staking</v>
      </c>
      <c r="D3044" t="str">
        <v>-</v>
      </c>
      <c r="E3044">
        <v>5623597.1161726285</v>
      </c>
      <c r="F3044">
        <v>0</v>
      </c>
    </row>
    <row r="3045" spans="2:6" ht="15.75" customHeight="1" x14ac:dyDescent="0.25">
      <c r="B3045" t="str">
        <v>Kintsugi</v>
      </c>
      <c r="C3045" t="str">
        <v>Cross Chain Bridge</v>
      </c>
      <c r="D3045" t="str">
        <v>KINT</v>
      </c>
      <c r="E3045">
        <v>29549.01413570439</v>
      </c>
      <c r="F3045">
        <v>94116.716953598807</v>
      </c>
    </row>
    <row r="3046" spans="2:6" ht="15.75" customHeight="1" x14ac:dyDescent="0.25">
      <c r="B3046" t="str">
        <v>Kinza Finance</v>
      </c>
      <c r="C3046" t="str">
        <v>Lending</v>
      </c>
      <c r="D3046" t="str">
        <v>KZA</v>
      </c>
      <c r="E3046">
        <v>7533717.4333971348</v>
      </c>
      <c r="F3046">
        <v>0</v>
      </c>
    </row>
    <row r="3047" spans="2:6" ht="15.75" customHeight="1" x14ac:dyDescent="0.25">
      <c r="B3047" t="str">
        <v>Kittenswap Algebra</v>
      </c>
      <c r="C3047" t="str">
        <v>Dexs</v>
      </c>
      <c r="D3047" t="str">
        <v>-</v>
      </c>
      <c r="E3047">
        <v>1468198.3814260841</v>
      </c>
      <c r="F3047">
        <v>0</v>
      </c>
    </row>
    <row r="3048" spans="2:6" ht="15.75" customHeight="1" x14ac:dyDescent="0.25">
      <c r="B3048" t="str">
        <v>Kittenswap AMM</v>
      </c>
      <c r="C3048" t="str">
        <v>Dexs</v>
      </c>
      <c r="D3048" t="str">
        <v>-</v>
      </c>
      <c r="E3048">
        <v>393339.66969043121</v>
      </c>
      <c r="F3048">
        <v>0</v>
      </c>
    </row>
    <row r="3049" spans="2:6" ht="15.75" customHeight="1" x14ac:dyDescent="0.25">
      <c r="B3049" t="str">
        <v>Kittenswap CL</v>
      </c>
      <c r="C3049" t="str">
        <v>Dexs</v>
      </c>
      <c r="D3049" t="str">
        <v>-</v>
      </c>
      <c r="E3049">
        <v>575966.13651184062</v>
      </c>
      <c r="F3049">
        <v>0</v>
      </c>
    </row>
    <row r="3050" spans="2:6" ht="15.75" customHeight="1" x14ac:dyDescent="0.25">
      <c r="B3050" t="str">
        <v>Kitty Finance</v>
      </c>
      <c r="C3050" t="str">
        <v>Algo-Stables</v>
      </c>
      <c r="D3050" t="str">
        <v>KITTY</v>
      </c>
      <c r="E3050">
        <v>0</v>
      </c>
      <c r="F3050">
        <v>0</v>
      </c>
    </row>
    <row r="3051" spans="2:6" ht="15.75" customHeight="1" x14ac:dyDescent="0.25">
      <c r="B3051" t="str">
        <v>KittyPunch PunchSwap</v>
      </c>
      <c r="C3051" t="str">
        <v>Dexs</v>
      </c>
      <c r="D3051" t="str">
        <v>-</v>
      </c>
      <c r="E3051">
        <v>1847607.8999637545</v>
      </c>
      <c r="F3051">
        <v>0</v>
      </c>
    </row>
    <row r="3052" spans="2:6" ht="15.75" customHeight="1" x14ac:dyDescent="0.25">
      <c r="B3052" t="str">
        <v>KittyPunch PunchSwap V3</v>
      </c>
      <c r="C3052" t="str">
        <v>Dexs</v>
      </c>
      <c r="D3052" t="str">
        <v>-</v>
      </c>
      <c r="E3052">
        <v>4101547.3208466922</v>
      </c>
      <c r="F3052">
        <v>0</v>
      </c>
    </row>
    <row r="3053" spans="2:6" ht="15.75" customHeight="1" x14ac:dyDescent="0.25">
      <c r="B3053" t="str">
        <v>KittyPunch StableKitty</v>
      </c>
      <c r="C3053" t="str">
        <v>Dexs</v>
      </c>
      <c r="D3053" t="str">
        <v>-</v>
      </c>
      <c r="E3053">
        <v>3573278.2089825938</v>
      </c>
      <c r="F3053">
        <v>0</v>
      </c>
    </row>
    <row r="3054" spans="2:6" ht="15.75" customHeight="1" x14ac:dyDescent="0.25">
      <c r="B3054" t="str">
        <v>Kivach</v>
      </c>
      <c r="C3054" t="str">
        <v>Payments</v>
      </c>
      <c r="D3054" t="str">
        <v>-</v>
      </c>
      <c r="E3054">
        <v>801.85367102202895</v>
      </c>
      <c r="F3054">
        <v>0</v>
      </c>
    </row>
    <row r="3055" spans="2:6" ht="15.75" customHeight="1" x14ac:dyDescent="0.25">
      <c r="B3055" t="str">
        <v>Klap</v>
      </c>
      <c r="C3055" t="str">
        <v>Lending</v>
      </c>
      <c r="D3055" t="str">
        <v>KLAP</v>
      </c>
      <c r="E3055">
        <v>173.1423014241787</v>
      </c>
      <c r="F3055">
        <v>0</v>
      </c>
    </row>
    <row r="3056" spans="2:6" ht="15.75" customHeight="1" x14ac:dyDescent="0.25">
      <c r="B3056" t="str">
        <v>KlayBank</v>
      </c>
      <c r="C3056" t="str">
        <v>Lending</v>
      </c>
      <c r="D3056" t="str">
        <v>KBT</v>
      </c>
      <c r="E3056">
        <v>58016.237771432148</v>
      </c>
      <c r="F3056">
        <v>0</v>
      </c>
    </row>
    <row r="3057" spans="2:6" ht="15.75" customHeight="1" x14ac:dyDescent="0.25">
      <c r="B3057" t="str">
        <v>Klaylend Finance</v>
      </c>
      <c r="C3057" t="str">
        <v>Farm</v>
      </c>
      <c r="D3057" t="str">
        <v>KLD</v>
      </c>
      <c r="E3057">
        <v>0</v>
      </c>
      <c r="F3057">
        <v>0</v>
      </c>
    </row>
    <row r="3058" spans="2:6" ht="15.75" customHeight="1" x14ac:dyDescent="0.25">
      <c r="B3058" t="str">
        <v>Klayportal</v>
      </c>
      <c r="C3058" t="str">
        <v>Staking Pool</v>
      </c>
      <c r="D3058" t="str">
        <v>-</v>
      </c>
      <c r="E3058">
        <v>1252628.546551218</v>
      </c>
      <c r="F3058">
        <v>0</v>
      </c>
    </row>
    <row r="3059" spans="2:6" ht="15.75" customHeight="1" x14ac:dyDescent="0.25">
      <c r="B3059" t="str">
        <v>KLAYstation</v>
      </c>
      <c r="C3059" t="str">
        <v>Liquid Staking</v>
      </c>
      <c r="D3059" t="str">
        <v>-</v>
      </c>
      <c r="E3059">
        <v>2372988.0220562592</v>
      </c>
      <c r="F3059">
        <v>0</v>
      </c>
    </row>
    <row r="3060" spans="2:6" ht="15.75" customHeight="1" x14ac:dyDescent="0.25">
      <c r="B3060" t="str">
        <v>KlaySwap V1</v>
      </c>
      <c r="C3060" t="str">
        <v>Dexs</v>
      </c>
      <c r="D3060" t="str">
        <v>KSP</v>
      </c>
      <c r="E3060">
        <v>4425452.5979313999</v>
      </c>
      <c r="F3060">
        <v>0</v>
      </c>
    </row>
    <row r="3061" spans="2:6" ht="15.75" customHeight="1" x14ac:dyDescent="0.25">
      <c r="B3061" t="str">
        <v>KlaySwap V3</v>
      </c>
      <c r="C3061" t="str">
        <v>Dexs</v>
      </c>
      <c r="D3061" t="str">
        <v>KSP</v>
      </c>
      <c r="E3061">
        <v>28197.584825749091</v>
      </c>
      <c r="F3061">
        <v>0</v>
      </c>
    </row>
    <row r="3062" spans="2:6" ht="15.75" customHeight="1" x14ac:dyDescent="0.25">
      <c r="B3062" t="str">
        <v>KLend</v>
      </c>
      <c r="C3062" t="str">
        <v>Lending</v>
      </c>
      <c r="D3062" t="str">
        <v>KLT</v>
      </c>
      <c r="E3062">
        <v>1447.0128382959713</v>
      </c>
      <c r="F3062">
        <v>0</v>
      </c>
    </row>
    <row r="3063" spans="2:6" ht="15.75" customHeight="1" x14ac:dyDescent="0.25">
      <c r="B3063" t="str">
        <v>Kleros</v>
      </c>
      <c r="C3063" t="str">
        <v>Services</v>
      </c>
      <c r="D3063" t="str">
        <v>PNK</v>
      </c>
      <c r="E3063">
        <v>0</v>
      </c>
      <c r="F3063">
        <v>12307328.847803842</v>
      </c>
    </row>
    <row r="3064" spans="2:6" ht="15.75" customHeight="1" x14ac:dyDescent="0.25">
      <c r="B3064" t="str">
        <v>Kleva Farm</v>
      </c>
      <c r="C3064" t="str">
        <v>Leveraged Farming</v>
      </c>
      <c r="D3064" t="str">
        <v>KLEVA</v>
      </c>
      <c r="E3064">
        <v>783812.15045014664</v>
      </c>
      <c r="F3064">
        <v>0</v>
      </c>
    </row>
    <row r="3065" spans="2:6" ht="15.75" customHeight="1" x14ac:dyDescent="0.25">
      <c r="B3065" t="str">
        <v>KLEX Finance</v>
      </c>
      <c r="C3065" t="str">
        <v>Dexs</v>
      </c>
      <c r="D3065" t="str">
        <v>-</v>
      </c>
      <c r="E3065">
        <v>276896.52029028995</v>
      </c>
      <c r="F3065">
        <v>0</v>
      </c>
    </row>
    <row r="3066" spans="2:6" ht="15.75" customHeight="1" x14ac:dyDescent="0.25">
      <c r="B3066" t="str">
        <v>KlimaDAO</v>
      </c>
      <c r="C3066" t="str">
        <v>RWA</v>
      </c>
      <c r="D3066" t="str">
        <v>KLIMA</v>
      </c>
      <c r="E3066">
        <v>1619375.4989267508</v>
      </c>
      <c r="F3066">
        <v>0</v>
      </c>
    </row>
    <row r="3067" spans="2:6" ht="15.75" customHeight="1" x14ac:dyDescent="0.25">
      <c r="B3067" t="str">
        <v>Klondike Finance</v>
      </c>
      <c r="C3067" t="str">
        <v>Synthetics</v>
      </c>
      <c r="D3067" t="str">
        <v>KLONX</v>
      </c>
      <c r="E3067">
        <v>252.65487983485625</v>
      </c>
      <c r="F3067">
        <v>345408.58090439916</v>
      </c>
    </row>
    <row r="3068" spans="2:6" ht="15.75" customHeight="1" x14ac:dyDescent="0.25">
      <c r="B3068" t="str">
        <v>KMex</v>
      </c>
      <c r="C3068" t="str">
        <v>Derivatives</v>
      </c>
      <c r="D3068" t="str">
        <v>KMX</v>
      </c>
      <c r="E3068">
        <v>0.3443731753616161</v>
      </c>
      <c r="F3068">
        <v>0</v>
      </c>
    </row>
    <row r="3069" spans="2:6" ht="15.75" customHeight="1" x14ac:dyDescent="0.25">
      <c r="B3069" t="str">
        <v>Knight DEX</v>
      </c>
      <c r="C3069" t="str">
        <v>Dexs</v>
      </c>
      <c r="D3069" t="str">
        <v>KDX</v>
      </c>
      <c r="E3069">
        <v>366.02781260855141</v>
      </c>
      <c r="F3069">
        <v>0</v>
      </c>
    </row>
    <row r="3070" spans="2:6" ht="15.75" customHeight="1" x14ac:dyDescent="0.25">
      <c r="B3070" t="str">
        <v>Knightrade</v>
      </c>
      <c r="C3070" t="str">
        <v>Onchain Capital Allocator</v>
      </c>
      <c r="D3070" t="str">
        <v>-</v>
      </c>
      <c r="E3070">
        <v>19543652.790917996</v>
      </c>
      <c r="F3070">
        <v>0</v>
      </c>
    </row>
    <row r="3071" spans="2:6" ht="15.75" customHeight="1" x14ac:dyDescent="0.25">
      <c r="B3071" t="str">
        <v>Knights of Fantom</v>
      </c>
      <c r="C3071" t="str">
        <v>Farm</v>
      </c>
      <c r="D3071" t="str">
        <v>KNIGHTS</v>
      </c>
      <c r="E3071">
        <v>148.84349455192688</v>
      </c>
      <c r="F3071">
        <v>0</v>
      </c>
    </row>
    <row r="3072" spans="2:6" ht="15.75" customHeight="1" x14ac:dyDescent="0.25">
      <c r="B3072" t="str">
        <v>KnightSwap Finance</v>
      </c>
      <c r="C3072" t="str">
        <v>Dexs</v>
      </c>
      <c r="D3072" t="str">
        <v>KNIGHT</v>
      </c>
      <c r="E3072">
        <v>892273.24052513519</v>
      </c>
      <c r="F3072">
        <v>0</v>
      </c>
    </row>
    <row r="3073" spans="2:6" ht="15.75" customHeight="1" x14ac:dyDescent="0.25">
      <c r="B3073" t="str">
        <v>KnightSwap Lending</v>
      </c>
      <c r="C3073" t="str">
        <v>Lending</v>
      </c>
      <c r="D3073" t="str">
        <v>KNIGHT</v>
      </c>
      <c r="E3073">
        <v>12100.520121443482</v>
      </c>
      <c r="F3073">
        <v>0</v>
      </c>
    </row>
    <row r="3074" spans="2:6" ht="15.75" customHeight="1" x14ac:dyDescent="0.25">
      <c r="B3074" t="str">
        <v>Knit Finance</v>
      </c>
      <c r="C3074" t="str">
        <v>Bridge</v>
      </c>
      <c r="D3074" t="str">
        <v>KFT</v>
      </c>
      <c r="E3074">
        <v>383875.6141403846</v>
      </c>
      <c r="F3074">
        <v>16978.831880698675</v>
      </c>
    </row>
    <row r="3075" spans="2:6" ht="15.75" customHeight="1" x14ac:dyDescent="0.25">
      <c r="B3075" t="str">
        <v>Know-To-Earn</v>
      </c>
      <c r="C3075" t="str">
        <v>Services</v>
      </c>
      <c r="D3075" t="str">
        <v>KNOW</v>
      </c>
      <c r="E3075">
        <v>0</v>
      </c>
      <c r="F3075">
        <v>0</v>
      </c>
    </row>
    <row r="3076" spans="2:6" ht="15.75" customHeight="1" x14ac:dyDescent="0.25">
      <c r="B3076" t="str">
        <v>ko.one</v>
      </c>
      <c r="C3076" t="str">
        <v>Dexs</v>
      </c>
      <c r="D3076" t="str">
        <v>KO</v>
      </c>
      <c r="E3076">
        <v>424.88858529703157</v>
      </c>
      <c r="F3076">
        <v>0</v>
      </c>
    </row>
    <row r="3077" spans="2:6" ht="15.75" customHeight="1" x14ac:dyDescent="0.25">
      <c r="B3077" t="str">
        <v>Koala Defi</v>
      </c>
      <c r="C3077" t="str">
        <v>Farm</v>
      </c>
      <c r="D3077" t="str">
        <v>NALIS</v>
      </c>
      <c r="E3077">
        <v>21124.805296719231</v>
      </c>
      <c r="F3077">
        <v>0</v>
      </c>
    </row>
    <row r="3078" spans="2:6" ht="15.75" customHeight="1" x14ac:dyDescent="0.25">
      <c r="B3078" t="str">
        <v>KoalaSwap</v>
      </c>
      <c r="C3078" t="str">
        <v>Dexs</v>
      </c>
      <c r="D3078" t="str">
        <v>KOALA</v>
      </c>
      <c r="E3078">
        <v>156582.96440497309</v>
      </c>
      <c r="F3078">
        <v>332020.74520267459</v>
      </c>
    </row>
    <row r="3079" spans="2:6" ht="15.75" customHeight="1" x14ac:dyDescent="0.25">
      <c r="B3079" t="str">
        <v>Kodiak Islands</v>
      </c>
      <c r="C3079" t="str">
        <v>Liquidity manager</v>
      </c>
      <c r="D3079" t="str">
        <v>-</v>
      </c>
      <c r="E3079">
        <v>133325750.07028303</v>
      </c>
      <c r="F3079">
        <v>0</v>
      </c>
    </row>
    <row r="3080" spans="2:6" ht="15.75" customHeight="1" x14ac:dyDescent="0.25">
      <c r="B3080" t="str">
        <v>Kodiak Perps</v>
      </c>
      <c r="C3080" t="str">
        <v>Interface</v>
      </c>
      <c r="D3080" t="str">
        <v>-</v>
      </c>
      <c r="E3080">
        <v>0</v>
      </c>
      <c r="F3080">
        <v>0</v>
      </c>
    </row>
    <row r="3081" spans="2:6" ht="15.75" customHeight="1" x14ac:dyDescent="0.25">
      <c r="B3081" t="str">
        <v>Kodiak V2</v>
      </c>
      <c r="C3081" t="str">
        <v>Dexs</v>
      </c>
      <c r="D3081" t="str">
        <v>-</v>
      </c>
      <c r="E3081">
        <v>221356.74212468235</v>
      </c>
      <c r="F3081">
        <v>0</v>
      </c>
    </row>
    <row r="3082" spans="2:6" ht="15.75" customHeight="1" x14ac:dyDescent="0.25">
      <c r="B3082" t="str">
        <v>Kodiak V3</v>
      </c>
      <c r="C3082" t="str">
        <v>Dexs</v>
      </c>
      <c r="D3082" t="str">
        <v>-</v>
      </c>
      <c r="E3082">
        <v>73763979.517083257</v>
      </c>
      <c r="F3082">
        <v>0</v>
      </c>
    </row>
    <row r="3083" spans="2:6" ht="15.75" customHeight="1" x14ac:dyDescent="0.25">
      <c r="B3083" t="str">
        <v>Kodo Exchange</v>
      </c>
      <c r="C3083" t="str">
        <v>Dexs</v>
      </c>
      <c r="D3083" t="str">
        <v>KODO</v>
      </c>
      <c r="E3083">
        <v>5740.7422470244619</v>
      </c>
      <c r="F3083">
        <v>0</v>
      </c>
    </row>
    <row r="3084" spans="2:6" ht="15.75" customHeight="1" x14ac:dyDescent="0.25">
      <c r="B3084" t="str">
        <v>KoffeeSwap</v>
      </c>
      <c r="C3084" t="str">
        <v>Dexs</v>
      </c>
      <c r="D3084" t="str">
        <v>-</v>
      </c>
      <c r="E3084">
        <v>383652.13322249462</v>
      </c>
      <c r="F3084">
        <v>0</v>
      </c>
    </row>
    <row r="3085" spans="2:6" ht="15.75" customHeight="1" x14ac:dyDescent="0.25">
      <c r="B3085" t="str">
        <v>Kofi Finance</v>
      </c>
      <c r="C3085" t="str">
        <v>Liquid Staking</v>
      </c>
      <c r="D3085" t="str">
        <v>-</v>
      </c>
      <c r="E3085">
        <v>12360807.916507423</v>
      </c>
      <c r="F3085">
        <v>0</v>
      </c>
    </row>
    <row r="3086" spans="2:6" ht="15.75" customHeight="1" x14ac:dyDescent="0.25">
      <c r="B3086" t="str">
        <v>Kogefarm</v>
      </c>
      <c r="C3086" t="str">
        <v>Yield</v>
      </c>
      <c r="D3086" t="str">
        <v>KOGECOIN</v>
      </c>
      <c r="E3086">
        <v>183861.22075005484</v>
      </c>
      <c r="F3086">
        <v>0</v>
      </c>
    </row>
    <row r="3087" spans="2:6" ht="15.75" customHeight="1" x14ac:dyDescent="0.25">
      <c r="B3087" t="str">
        <v>Koi Finance AMM</v>
      </c>
      <c r="C3087" t="str">
        <v>Dexs</v>
      </c>
      <c r="D3087" t="str">
        <v>KOI</v>
      </c>
      <c r="E3087">
        <v>1665500.8266507157</v>
      </c>
      <c r="F3087">
        <v>0</v>
      </c>
    </row>
    <row r="3088" spans="2:6" ht="15.75" customHeight="1" x14ac:dyDescent="0.25">
      <c r="B3088" t="str">
        <v>Koi Finance CL</v>
      </c>
      <c r="C3088" t="str">
        <v>Dexs</v>
      </c>
      <c r="D3088" t="str">
        <v>KOI</v>
      </c>
      <c r="E3088">
        <v>111759.47342993184</v>
      </c>
      <c r="F3088">
        <v>0</v>
      </c>
    </row>
    <row r="3089" spans="2:6" ht="15.75" customHeight="1" x14ac:dyDescent="0.25">
      <c r="B3089" t="str">
        <v>Kokoa Finance</v>
      </c>
      <c r="C3089" t="str">
        <v>CDP</v>
      </c>
      <c r="D3089" t="str">
        <v>KOKOA</v>
      </c>
      <c r="E3089">
        <v>109059.40354241354</v>
      </c>
      <c r="F3089">
        <v>0</v>
      </c>
    </row>
    <row r="3090" spans="2:6" ht="15.75" customHeight="1" x14ac:dyDescent="0.25">
      <c r="B3090" t="str">
        <v>Kokomo Finance</v>
      </c>
      <c r="C3090" t="str">
        <v>Lending</v>
      </c>
      <c r="D3090" t="str">
        <v>KOKO</v>
      </c>
      <c r="E3090">
        <v>1.0019999999999999E-6</v>
      </c>
      <c r="F3090">
        <v>0</v>
      </c>
    </row>
    <row r="3091" spans="2:6" ht="15.75" customHeight="1" x14ac:dyDescent="0.25">
      <c r="B3091" t="str">
        <v>KokomoSwap</v>
      </c>
      <c r="C3091" t="str">
        <v>Dexs</v>
      </c>
      <c r="D3091" t="str">
        <v>KOKOMO</v>
      </c>
      <c r="E3091">
        <v>23172.413573765625</v>
      </c>
      <c r="F3091">
        <v>0</v>
      </c>
    </row>
    <row r="3092" spans="2:6" ht="15.75" customHeight="1" x14ac:dyDescent="0.25">
      <c r="B3092" t="str">
        <v>Kokonut Swap</v>
      </c>
      <c r="C3092" t="str">
        <v>Dexs</v>
      </c>
      <c r="D3092" t="str">
        <v>KOKOS</v>
      </c>
      <c r="E3092">
        <v>146017.69263553046</v>
      </c>
      <c r="F3092">
        <v>0</v>
      </c>
    </row>
    <row r="3093" spans="2:6" ht="15.75" customHeight="1" x14ac:dyDescent="0.25">
      <c r="B3093" t="str">
        <v>Kolibri</v>
      </c>
      <c r="C3093" t="str">
        <v>CDP</v>
      </c>
      <c r="D3093" t="str">
        <v>kDAO</v>
      </c>
      <c r="E3093">
        <v>1455850.8029498076</v>
      </c>
      <c r="F3093">
        <v>0</v>
      </c>
    </row>
    <row r="3094" spans="2:6" ht="15.75" customHeight="1" x14ac:dyDescent="0.25">
      <c r="B3094" t="str">
        <v>Kommunitas</v>
      </c>
      <c r="C3094" t="str">
        <v>Launchpad</v>
      </c>
      <c r="D3094" t="str">
        <v>KOM</v>
      </c>
      <c r="E3094">
        <v>0</v>
      </c>
      <c r="F3094">
        <v>375739.52319832076</v>
      </c>
    </row>
    <row r="3095" spans="2:6" ht="15.75" customHeight="1" x14ac:dyDescent="0.25">
      <c r="B3095" t="str">
        <v>Kona Lend</v>
      </c>
      <c r="C3095" t="str">
        <v>Lending</v>
      </c>
      <c r="D3095" t="str">
        <v>-</v>
      </c>
      <c r="E3095">
        <v>46696.296805542843</v>
      </c>
      <c r="F3095">
        <v>0</v>
      </c>
    </row>
    <row r="3096" spans="2:6" ht="15.75" customHeight="1" x14ac:dyDescent="0.25">
      <c r="B3096" t="str">
        <v>Kona Stableswap</v>
      </c>
      <c r="C3096" t="str">
        <v>Dexs</v>
      </c>
      <c r="D3096" t="str">
        <v>-</v>
      </c>
      <c r="E3096">
        <v>458690.59551017749</v>
      </c>
      <c r="F3096">
        <v>0</v>
      </c>
    </row>
    <row r="3097" spans="2:6" ht="15.75" customHeight="1" x14ac:dyDescent="0.25">
      <c r="B3097" t="str">
        <v>Kona V2</v>
      </c>
      <c r="C3097" t="str">
        <v>Dexs</v>
      </c>
      <c r="D3097" t="str">
        <v>-</v>
      </c>
      <c r="E3097">
        <v>476372.40867595345</v>
      </c>
      <c r="F3097">
        <v>0</v>
      </c>
    </row>
    <row r="3098" spans="2:6" ht="15.75" customHeight="1" x14ac:dyDescent="0.25">
      <c r="B3098" t="str">
        <v>KongSwap</v>
      </c>
      <c r="C3098" t="str">
        <v>Dexs</v>
      </c>
      <c r="D3098" t="str">
        <v>KONG</v>
      </c>
      <c r="E3098">
        <v>2771436</v>
      </c>
      <c r="F3098">
        <v>0</v>
      </c>
    </row>
    <row r="3099" spans="2:6" ht="15.75" customHeight="1" x14ac:dyDescent="0.25">
      <c r="B3099" t="str">
        <v>Konverter</v>
      </c>
      <c r="C3099" t="str">
        <v>Dexs</v>
      </c>
      <c r="D3099" t="str">
        <v>-</v>
      </c>
      <c r="E3099">
        <v>0</v>
      </c>
      <c r="F3099">
        <v>0</v>
      </c>
    </row>
    <row r="3100" spans="2:6" ht="15.75" customHeight="1" x14ac:dyDescent="0.25">
      <c r="B3100" t="str">
        <v>Kopi DEX</v>
      </c>
      <c r="C3100" t="str">
        <v>Dexs</v>
      </c>
      <c r="D3100" t="str">
        <v>-</v>
      </c>
      <c r="E3100">
        <v>8.2984472778105764E-2</v>
      </c>
      <c r="F3100">
        <v>0</v>
      </c>
    </row>
    <row r="3101" spans="2:6" ht="15.75" customHeight="1" x14ac:dyDescent="0.25">
      <c r="B3101" t="str">
        <v>Koral Finance</v>
      </c>
      <c r="C3101" t="str">
        <v>Onchain Capital Allocator</v>
      </c>
      <c r="D3101" t="str">
        <v>-</v>
      </c>
      <c r="E3101">
        <v>1178.9957049914203</v>
      </c>
      <c r="F3101">
        <v>0</v>
      </c>
    </row>
    <row r="3102" spans="2:6" ht="15.75" customHeight="1" x14ac:dyDescent="0.25">
      <c r="B3102" t="str">
        <v>KordFi</v>
      </c>
      <c r="C3102" t="str">
        <v>Yield</v>
      </c>
      <c r="D3102" t="str">
        <v>-</v>
      </c>
      <c r="E3102">
        <v>174182.43734415004</v>
      </c>
      <c r="F3102">
        <v>0</v>
      </c>
    </row>
    <row r="3103" spans="2:6" ht="15.75" customHeight="1" x14ac:dyDescent="0.25">
      <c r="B3103" t="str">
        <v>Kosmos</v>
      </c>
      <c r="C3103" t="str">
        <v>Yield</v>
      </c>
      <c r="D3103" t="str">
        <v>KOS</v>
      </c>
      <c r="E3103">
        <v>0</v>
      </c>
      <c r="F3103">
        <v>0</v>
      </c>
    </row>
    <row r="3104" spans="2:6" ht="15.75" customHeight="1" x14ac:dyDescent="0.25">
      <c r="B3104" t="str">
        <v>Koyo Finance</v>
      </c>
      <c r="C3104" t="str">
        <v>Dexs</v>
      </c>
      <c r="D3104" t="str">
        <v>KYO</v>
      </c>
      <c r="E3104">
        <v>1176.1790242353984</v>
      </c>
      <c r="F3104">
        <v>0</v>
      </c>
    </row>
    <row r="3105" spans="2:6" ht="15.75" customHeight="1" x14ac:dyDescent="0.25">
      <c r="B3105" t="str">
        <v>KPerp Exchange</v>
      </c>
      <c r="C3105" t="str">
        <v>Derivatives</v>
      </c>
      <c r="D3105" t="str">
        <v>KPE</v>
      </c>
      <c r="E3105">
        <v>0</v>
      </c>
      <c r="F3105">
        <v>0</v>
      </c>
    </row>
    <row r="3106" spans="2:6" ht="15.75" customHeight="1" x14ac:dyDescent="0.25">
      <c r="B3106" t="str">
        <v>kpk</v>
      </c>
      <c r="C3106" t="str">
        <v>Risk Curators</v>
      </c>
      <c r="D3106" t="str">
        <v>KPK</v>
      </c>
      <c r="E3106">
        <v>90487998.00211677</v>
      </c>
      <c r="F3106">
        <v>0</v>
      </c>
    </row>
    <row r="3107" spans="2:6" ht="15.75" customHeight="1" x14ac:dyDescent="0.25">
      <c r="B3107" t="str">
        <v>Kraken Bitcoin</v>
      </c>
      <c r="C3107" t="str">
        <v>Bridge</v>
      </c>
      <c r="D3107" t="str">
        <v>-</v>
      </c>
      <c r="E3107">
        <v>293314072.44386613</v>
      </c>
      <c r="F3107">
        <v>0</v>
      </c>
    </row>
    <row r="3108" spans="2:6" ht="15.75" customHeight="1" x14ac:dyDescent="0.25">
      <c r="B3108" t="str">
        <v>KRAV</v>
      </c>
      <c r="C3108" t="str">
        <v>Derivatives</v>
      </c>
      <c r="D3108" t="str">
        <v>KRAV</v>
      </c>
      <c r="E3108">
        <v>47733.737714667426</v>
      </c>
      <c r="F3108">
        <v>2829456.841478196</v>
      </c>
    </row>
    <row r="3109" spans="2:6" ht="15.75" customHeight="1" x14ac:dyDescent="0.25">
      <c r="B3109" t="str">
        <v>Kriya AMM</v>
      </c>
      <c r="C3109" t="str">
        <v>Dexs</v>
      </c>
      <c r="D3109" t="str">
        <v>-</v>
      </c>
      <c r="E3109">
        <v>162289.16513747978</v>
      </c>
      <c r="F3109">
        <v>0</v>
      </c>
    </row>
    <row r="3110" spans="2:6" ht="15.75" customHeight="1" x14ac:dyDescent="0.25">
      <c r="B3110" t="str">
        <v>Kriya CLMM</v>
      </c>
      <c r="C3110" t="str">
        <v>Dexs</v>
      </c>
      <c r="D3110" t="str">
        <v>-</v>
      </c>
      <c r="E3110">
        <v>230830.24322767474</v>
      </c>
      <c r="F3110">
        <v>0</v>
      </c>
    </row>
    <row r="3111" spans="2:6" ht="15.75" customHeight="1" x14ac:dyDescent="0.25">
      <c r="B3111" t="str">
        <v>Kriya Strats</v>
      </c>
      <c r="C3111" t="str">
        <v>Yield</v>
      </c>
      <c r="D3111" t="str">
        <v>-</v>
      </c>
      <c r="E3111">
        <v>134456.41581459108</v>
      </c>
      <c r="F3111">
        <v>0</v>
      </c>
    </row>
    <row r="3112" spans="2:6" ht="15.75" customHeight="1" x14ac:dyDescent="0.25">
      <c r="B3112" t="str">
        <v>Kromatika</v>
      </c>
      <c r="C3112" t="str">
        <v>Dexs</v>
      </c>
      <c r="D3112" t="str">
        <v>KROM</v>
      </c>
      <c r="E3112">
        <v>1368884.0418225643</v>
      </c>
      <c r="F3112">
        <v>593324.77531672758</v>
      </c>
    </row>
    <row r="3113" spans="2:6" ht="15.75" customHeight="1" x14ac:dyDescent="0.25">
      <c r="B3113" t="str">
        <v>Kronos DAO</v>
      </c>
      <c r="C3113" t="str">
        <v>Reserve Currency</v>
      </c>
      <c r="D3113" t="str">
        <v>KRNO</v>
      </c>
      <c r="E3113">
        <v>0</v>
      </c>
      <c r="F3113">
        <v>0</v>
      </c>
    </row>
    <row r="3114" spans="2:6" ht="15.75" customHeight="1" x14ac:dyDescent="0.25">
      <c r="B3114" t="str">
        <v>KronosDAO</v>
      </c>
      <c r="C3114" t="str">
        <v>Reserve Currency</v>
      </c>
      <c r="D3114" t="str">
        <v>KRONOS</v>
      </c>
      <c r="E3114">
        <v>3080.8413218222531</v>
      </c>
      <c r="F3114">
        <v>0</v>
      </c>
    </row>
    <row r="3115" spans="2:6" ht="15.75" customHeight="1" x14ac:dyDescent="0.25">
      <c r="B3115" t="str">
        <v>Krunch Defi</v>
      </c>
      <c r="C3115" t="str">
        <v>Derivatives</v>
      </c>
      <c r="D3115" t="str">
        <v>-</v>
      </c>
      <c r="E3115">
        <v>0</v>
      </c>
      <c r="F3115">
        <v>0</v>
      </c>
    </row>
    <row r="3116" spans="2:6" ht="15.75" customHeight="1" x14ac:dyDescent="0.25">
      <c r="B3116" t="str">
        <v>KryptoDex</v>
      </c>
      <c r="C3116" t="str">
        <v>Dexs</v>
      </c>
      <c r="D3116" t="str">
        <v>KRX</v>
      </c>
      <c r="E3116">
        <v>870.34803290489083</v>
      </c>
      <c r="F3116">
        <v>0</v>
      </c>
    </row>
    <row r="3117" spans="2:6" ht="15.75" customHeight="1" x14ac:dyDescent="0.25">
      <c r="B3117" t="str">
        <v>Kryptonite</v>
      </c>
      <c r="C3117" t="str">
        <v>Liquid Staking</v>
      </c>
      <c r="D3117" t="str">
        <v>SEILOR</v>
      </c>
      <c r="E3117">
        <v>87916.427029982515</v>
      </c>
      <c r="F3117">
        <v>65730.910758477839</v>
      </c>
    </row>
    <row r="3118" spans="2:6" ht="15.75" customHeight="1" x14ac:dyDescent="0.25">
      <c r="B3118" t="str">
        <v>Krystal</v>
      </c>
      <c r="C3118" t="str">
        <v>Liquidity manager</v>
      </c>
      <c r="D3118" t="str">
        <v>-</v>
      </c>
      <c r="E3118">
        <v>1165839.6623797088</v>
      </c>
      <c r="F3118">
        <v>0</v>
      </c>
    </row>
    <row r="3119" spans="2:6" ht="15.75" customHeight="1" x14ac:dyDescent="0.25">
      <c r="B3119" t="str">
        <v>KSwap</v>
      </c>
      <c r="C3119" t="str">
        <v>Dexs</v>
      </c>
      <c r="D3119" t="str">
        <v>-</v>
      </c>
      <c r="E3119">
        <v>0.13221363987677778</v>
      </c>
      <c r="F3119">
        <v>0</v>
      </c>
    </row>
    <row r="3120" spans="2:6" ht="15.75" customHeight="1" x14ac:dyDescent="0.25">
      <c r="B3120" t="str">
        <v>KSwap Finance</v>
      </c>
      <c r="C3120" t="str">
        <v>Dexs</v>
      </c>
      <c r="D3120" t="str">
        <v>KST</v>
      </c>
      <c r="E3120">
        <v>407469.0019940405</v>
      </c>
      <c r="F3120">
        <v>0</v>
      </c>
    </row>
    <row r="3121" spans="2:6" ht="15.75" customHeight="1" x14ac:dyDescent="0.25">
      <c r="B3121" t="str">
        <v>KTON</v>
      </c>
      <c r="C3121" t="str">
        <v>Liquid Staking</v>
      </c>
      <c r="D3121" t="str">
        <v>-</v>
      </c>
      <c r="E3121">
        <v>2318697.2878018073</v>
      </c>
      <c r="F3121">
        <v>0</v>
      </c>
    </row>
    <row r="3122" spans="2:6" ht="15.75" customHeight="1" x14ac:dyDescent="0.25">
      <c r="B3122" t="str">
        <v>KTX Perps</v>
      </c>
      <c r="C3122" t="str">
        <v>Derivatives</v>
      </c>
      <c r="D3122" t="str">
        <v>KTC</v>
      </c>
      <c r="E3122">
        <v>46607.629700121557</v>
      </c>
      <c r="F3122">
        <v>0</v>
      </c>
    </row>
    <row r="3123" spans="2:6" ht="15.75" customHeight="1" x14ac:dyDescent="0.25">
      <c r="B3123" t="str">
        <v>KTX spot</v>
      </c>
      <c r="C3123" t="str">
        <v>Dexs</v>
      </c>
      <c r="D3123" t="str">
        <v>KTC</v>
      </c>
      <c r="E3123">
        <v>0</v>
      </c>
      <c r="F3123">
        <v>0</v>
      </c>
    </row>
    <row r="3124" spans="2:6" ht="15.75" customHeight="1" x14ac:dyDescent="0.25">
      <c r="B3124" t="str">
        <v>Kujata</v>
      </c>
      <c r="C3124" t="str">
        <v>Dexs</v>
      </c>
      <c r="D3124" t="str">
        <v>-</v>
      </c>
      <c r="E3124">
        <v>14232.590162693958</v>
      </c>
      <c r="F3124">
        <v>0</v>
      </c>
    </row>
    <row r="3125" spans="2:6" ht="15.75" customHeight="1" x14ac:dyDescent="0.25">
      <c r="B3125" t="str">
        <v>Kujira Orca</v>
      </c>
      <c r="C3125" t="str">
        <v>Liquidations</v>
      </c>
      <c r="D3125" t="str">
        <v>KUJI</v>
      </c>
      <c r="E3125">
        <v>28714.717310787895</v>
      </c>
      <c r="F3125">
        <v>0</v>
      </c>
    </row>
    <row r="3126" spans="2:6" ht="15.75" customHeight="1" x14ac:dyDescent="0.25">
      <c r="B3126" t="str">
        <v>Kuma Perpetuals DEX</v>
      </c>
      <c r="C3126" t="str">
        <v>Derivatives</v>
      </c>
      <c r="D3126" t="str">
        <v>IDEX</v>
      </c>
      <c r="E3126">
        <v>12084.167541937722</v>
      </c>
      <c r="F3126">
        <v>0</v>
      </c>
    </row>
    <row r="3127" spans="2:6" ht="15.75" customHeight="1" x14ac:dyDescent="0.25">
      <c r="B3127" t="str">
        <v>KUMA Protocol</v>
      </c>
      <c r="C3127" t="str">
        <v>RWA</v>
      </c>
      <c r="D3127" t="str">
        <v>-</v>
      </c>
      <c r="E3127">
        <v>3001968.1190273347</v>
      </c>
      <c r="F3127">
        <v>0</v>
      </c>
    </row>
    <row r="3128" spans="2:6" ht="15.75" customHeight="1" x14ac:dyDescent="0.25">
      <c r="B3128" t="str">
        <v>Kumbaya</v>
      </c>
      <c r="C3128" t="str">
        <v>Dexs</v>
      </c>
      <c r="D3128" t="str">
        <v>-</v>
      </c>
      <c r="E3128">
        <v>10360.46081994027</v>
      </c>
      <c r="F3128">
        <v>0</v>
      </c>
    </row>
    <row r="3129" spans="2:6" ht="15.75" customHeight="1" x14ac:dyDescent="0.25">
      <c r="B3129" t="str">
        <v>Kumu Finance</v>
      </c>
      <c r="C3129" t="str">
        <v>Yield</v>
      </c>
      <c r="D3129" t="str">
        <v>KUMU</v>
      </c>
      <c r="E3129">
        <v>0.32682367755817199</v>
      </c>
      <c r="F3129">
        <v>0</v>
      </c>
    </row>
    <row r="3130" spans="2:6" ht="15.75" customHeight="1" x14ac:dyDescent="0.25">
      <c r="B3130" t="str">
        <v>KungFuu</v>
      </c>
      <c r="C3130" t="str">
        <v>Yield</v>
      </c>
      <c r="D3130" t="str">
        <v>KNGFUU</v>
      </c>
      <c r="E3130">
        <v>2.6021929735797186E-4</v>
      </c>
      <c r="F3130">
        <v>0</v>
      </c>
    </row>
    <row r="3131" spans="2:6" ht="15.75" customHeight="1" x14ac:dyDescent="0.25">
      <c r="B3131" t="str">
        <v>KuraSwap CL</v>
      </c>
      <c r="C3131" t="str">
        <v>Dexs</v>
      </c>
      <c r="D3131" t="str">
        <v>KURA</v>
      </c>
      <c r="E3131">
        <v>487.49138899092725</v>
      </c>
      <c r="F3131">
        <v>0</v>
      </c>
    </row>
    <row r="3132" spans="2:6" ht="15.75" customHeight="1" x14ac:dyDescent="0.25">
      <c r="B3132" t="str">
        <v>KuraSwap Legacy</v>
      </c>
      <c r="C3132" t="str">
        <v>Dexs</v>
      </c>
      <c r="D3132" t="str">
        <v>KURA</v>
      </c>
      <c r="E3132">
        <v>17.35723025480484</v>
      </c>
      <c r="F3132">
        <v>0</v>
      </c>
    </row>
    <row r="3133" spans="2:6" ht="15.75" customHeight="1" x14ac:dyDescent="0.25">
      <c r="B3133" t="str">
        <v>Kurrency</v>
      </c>
      <c r="C3133" t="str">
        <v>CDP</v>
      </c>
      <c r="D3133" t="str">
        <v>-</v>
      </c>
      <c r="E3133">
        <v>230076.72738688561</v>
      </c>
      <c r="F3133">
        <v>0</v>
      </c>
    </row>
    <row r="3134" spans="2:6" ht="15.75" customHeight="1" x14ac:dyDescent="0.25">
      <c r="B3134" t="str">
        <v>Kuru Aggregator</v>
      </c>
      <c r="C3134" t="str">
        <v>DEX Aggregator</v>
      </c>
      <c r="D3134" t="str">
        <v>-</v>
      </c>
      <c r="E3134">
        <v>0</v>
      </c>
      <c r="F3134">
        <v>0</v>
      </c>
    </row>
    <row r="3135" spans="2:6" ht="15.75" customHeight="1" x14ac:dyDescent="0.25">
      <c r="B3135" t="str">
        <v>Kuru CLOB</v>
      </c>
      <c r="C3135" t="str">
        <v>Dexs</v>
      </c>
      <c r="D3135" t="str">
        <v>-</v>
      </c>
      <c r="E3135">
        <v>1875508.1838432699</v>
      </c>
      <c r="F3135">
        <v>0</v>
      </c>
    </row>
    <row r="3136" spans="2:6" ht="15.75" customHeight="1" x14ac:dyDescent="0.25">
      <c r="B3136" t="str">
        <v>KuSwap</v>
      </c>
      <c r="C3136" t="str">
        <v>Dexs</v>
      </c>
      <c r="D3136" t="str">
        <v>KUS</v>
      </c>
      <c r="E3136">
        <v>199411.22690878791</v>
      </c>
      <c r="F3136">
        <v>0</v>
      </c>
    </row>
    <row r="3137" spans="2:6" ht="15.75" customHeight="1" x14ac:dyDescent="0.25">
      <c r="B3137" t="str">
        <v>Kuu Finance</v>
      </c>
      <c r="C3137" t="str">
        <v>Dexs</v>
      </c>
      <c r="D3137" t="str">
        <v>-</v>
      </c>
      <c r="E3137">
        <v>11300.58012866533</v>
      </c>
      <c r="F3137">
        <v>0</v>
      </c>
    </row>
    <row r="3138" spans="2:6" ht="15.75" customHeight="1" x14ac:dyDescent="0.25">
      <c r="B3138" t="str">
        <v>Kvants</v>
      </c>
      <c r="C3138" t="str">
        <v>Onchain Capital Allocator</v>
      </c>
      <c r="D3138" t="str">
        <v>-</v>
      </c>
      <c r="E3138">
        <v>466230.87353017728</v>
      </c>
      <c r="F3138">
        <v>0</v>
      </c>
    </row>
    <row r="3139" spans="2:6" ht="15.75" customHeight="1" x14ac:dyDescent="0.25">
      <c r="B3139" t="str">
        <v>Kwenta</v>
      </c>
      <c r="C3139" t="str">
        <v>Derivatives</v>
      </c>
      <c r="D3139" t="str">
        <v>KWENTA</v>
      </c>
      <c r="E3139">
        <v>0</v>
      </c>
      <c r="F3139">
        <v>4212134.4083638601</v>
      </c>
    </row>
    <row r="3140" spans="2:6" ht="15.75" customHeight="1" x14ac:dyDescent="0.25">
      <c r="B3140" t="str">
        <v>KwikSwap</v>
      </c>
      <c r="C3140" t="str">
        <v>Dexs</v>
      </c>
      <c r="D3140" t="str">
        <v>KWIK</v>
      </c>
      <c r="E3140">
        <v>67505.128197434155</v>
      </c>
      <c r="F3140">
        <v>29996.755200481828</v>
      </c>
    </row>
    <row r="3141" spans="2:6" ht="15.75" customHeight="1" x14ac:dyDescent="0.25">
      <c r="B3141" t="str">
        <v>KyberSwap Aggregator</v>
      </c>
      <c r="C3141" t="str">
        <v>DEX Aggregator</v>
      </c>
      <c r="D3141" t="str">
        <v>KNC</v>
      </c>
      <c r="E3141">
        <v>0</v>
      </c>
      <c r="F3141">
        <v>0</v>
      </c>
    </row>
    <row r="3142" spans="2:6" ht="15.75" customHeight="1" x14ac:dyDescent="0.25">
      <c r="B3142" t="str">
        <v>KyberSwap Classic</v>
      </c>
      <c r="C3142" t="str">
        <v>Dexs</v>
      </c>
      <c r="D3142" t="str">
        <v>KNC</v>
      </c>
      <c r="E3142">
        <v>1195677.1873155842</v>
      </c>
      <c r="F3142">
        <v>0</v>
      </c>
    </row>
    <row r="3143" spans="2:6" ht="15.75" customHeight="1" x14ac:dyDescent="0.25">
      <c r="B3143" t="str">
        <v>KyberSwap Elastic</v>
      </c>
      <c r="C3143" t="str">
        <v>Dexs</v>
      </c>
      <c r="D3143" t="str">
        <v>KNC</v>
      </c>
      <c r="E3143">
        <v>144133.3432745646</v>
      </c>
      <c r="F3143">
        <v>0</v>
      </c>
    </row>
    <row r="3144" spans="2:6" ht="15.75" customHeight="1" x14ac:dyDescent="0.25">
      <c r="B3144" t="str">
        <v>KyberSwap FairFlow</v>
      </c>
      <c r="C3144" t="str">
        <v>Yield Aggregator</v>
      </c>
      <c r="D3144" t="str">
        <v>KNC</v>
      </c>
      <c r="E3144">
        <v>0</v>
      </c>
      <c r="F3144">
        <v>0</v>
      </c>
    </row>
    <row r="3145" spans="2:6" ht="15.75" customHeight="1" x14ac:dyDescent="0.25">
      <c r="B3145" t="str">
        <v>Kyborg Exchange</v>
      </c>
      <c r="C3145" t="str">
        <v>Dexs</v>
      </c>
      <c r="D3145" t="str">
        <v>-</v>
      </c>
      <c r="E3145">
        <v>0.25956478354588003</v>
      </c>
      <c r="F3145">
        <v>0</v>
      </c>
    </row>
    <row r="3146" spans="2:6" ht="15.75" customHeight="1" x14ac:dyDescent="0.25">
      <c r="B3146" t="str">
        <v>KYEX</v>
      </c>
      <c r="C3146" t="str">
        <v>Dexs</v>
      </c>
      <c r="D3146" t="str">
        <v>-</v>
      </c>
      <c r="E3146">
        <v>0</v>
      </c>
      <c r="F3146">
        <v>0</v>
      </c>
    </row>
    <row r="3147" spans="2:6" ht="15.75" customHeight="1" x14ac:dyDescent="0.25">
      <c r="B3147" t="str">
        <v>Kyo Finance</v>
      </c>
      <c r="C3147" t="str">
        <v>Dexs</v>
      </c>
      <c r="D3147" t="str">
        <v>-</v>
      </c>
      <c r="E3147">
        <v>3304211.6088153641</v>
      </c>
      <c r="F3147">
        <v>0</v>
      </c>
    </row>
    <row r="3148" spans="2:6" ht="15.75" customHeight="1" x14ac:dyDescent="0.25">
      <c r="B3148" t="str">
        <v>KyotoSwap</v>
      </c>
      <c r="C3148" t="str">
        <v>Dexs</v>
      </c>
      <c r="D3148" t="str">
        <v>KSWAP</v>
      </c>
      <c r="E3148">
        <v>62617.0915375888</v>
      </c>
      <c r="F3148">
        <v>0</v>
      </c>
    </row>
    <row r="3149" spans="2:6" ht="15.75" customHeight="1" x14ac:dyDescent="0.25">
      <c r="B3149" t="str">
        <v>Kyrios Finance</v>
      </c>
      <c r="C3149" t="str">
        <v>Yield</v>
      </c>
      <c r="D3149" t="str">
        <v>KYRIOS</v>
      </c>
      <c r="E3149">
        <v>190.22035360514204</v>
      </c>
      <c r="F3149">
        <v>0</v>
      </c>
    </row>
    <row r="3150" spans="2:6" ht="15.75" customHeight="1" x14ac:dyDescent="0.25">
      <c r="B3150" t="str">
        <v>Kyros</v>
      </c>
      <c r="C3150" t="str">
        <v>Liquid Restaking</v>
      </c>
      <c r="D3150" t="str">
        <v>-</v>
      </c>
      <c r="E3150">
        <v>10188793.615259336</v>
      </c>
      <c r="F3150">
        <v>0</v>
      </c>
    </row>
    <row r="3151" spans="2:6" ht="15.75" customHeight="1" x14ac:dyDescent="0.25">
      <c r="B3151" t="str">
        <v>L2BEAT</v>
      </c>
      <c r="C3151" t="str">
        <v>Services</v>
      </c>
      <c r="D3151" t="str">
        <v>-</v>
      </c>
      <c r="E3151">
        <v>0</v>
      </c>
      <c r="F3151">
        <v>0</v>
      </c>
    </row>
    <row r="3152" spans="2:6" ht="15.75" customHeight="1" x14ac:dyDescent="0.25">
      <c r="B3152" t="str">
        <v>L2FINANCE</v>
      </c>
      <c r="C3152" t="str">
        <v>Lending</v>
      </c>
      <c r="D3152" t="str">
        <v>-</v>
      </c>
      <c r="E3152">
        <v>460.0008376855094</v>
      </c>
      <c r="F3152">
        <v>0</v>
      </c>
    </row>
    <row r="3153" spans="2:6" ht="15.75" customHeight="1" x14ac:dyDescent="0.25">
      <c r="B3153" t="str">
        <v>L2X.pro</v>
      </c>
      <c r="C3153" t="str">
        <v>Dexs</v>
      </c>
      <c r="D3153" t="str">
        <v>-</v>
      </c>
      <c r="E3153">
        <v>1432.595910571275</v>
      </c>
      <c r="F3153">
        <v>0</v>
      </c>
    </row>
    <row r="3154" spans="2:6" ht="15.75" customHeight="1" x14ac:dyDescent="0.25">
      <c r="B3154" t="str">
        <v>Laari Finance</v>
      </c>
      <c r="C3154" t="str">
        <v>Yield Aggregator</v>
      </c>
      <c r="D3154" t="str">
        <v>Laari</v>
      </c>
      <c r="E3154">
        <v>3.6074408744787026E-2</v>
      </c>
      <c r="F3154">
        <v>0</v>
      </c>
    </row>
    <row r="3155" spans="2:6" ht="15.75" customHeight="1" x14ac:dyDescent="0.25">
      <c r="B3155" t="str">
        <v>LAB Terminal</v>
      </c>
      <c r="C3155" t="str">
        <v>Trading App</v>
      </c>
      <c r="D3155" t="str">
        <v>LAB</v>
      </c>
      <c r="E3155">
        <v>0</v>
      </c>
      <c r="F3155">
        <v>0</v>
      </c>
    </row>
    <row r="3156" spans="2:6" ht="15.75" customHeight="1" x14ac:dyDescent="0.25">
      <c r="B3156" t="str">
        <v>Lachain Yield Market</v>
      </c>
      <c r="C3156" t="str">
        <v>Yield</v>
      </c>
      <c r="D3156" t="str">
        <v>-</v>
      </c>
      <c r="E3156">
        <v>0</v>
      </c>
      <c r="F3156">
        <v>0</v>
      </c>
    </row>
    <row r="3157" spans="2:6" ht="15.75" customHeight="1" x14ac:dyDescent="0.25">
      <c r="B3157" t="str">
        <v>LaDAO Xocolatl</v>
      </c>
      <c r="C3157" t="str">
        <v>CDP</v>
      </c>
      <c r="D3157" t="str">
        <v>-</v>
      </c>
      <c r="E3157">
        <v>19324.04952991629</v>
      </c>
      <c r="F3157">
        <v>0</v>
      </c>
    </row>
    <row r="3158" spans="2:6" ht="15.75" customHeight="1" x14ac:dyDescent="0.25">
      <c r="B3158" t="str">
        <v>Ladex Exchange</v>
      </c>
      <c r="C3158" t="str">
        <v>Dexs</v>
      </c>
      <c r="D3158" t="str">
        <v>-</v>
      </c>
      <c r="E3158">
        <v>16594.941282288648</v>
      </c>
      <c r="F3158">
        <v>0</v>
      </c>
    </row>
    <row r="3159" spans="2:6" ht="15.75" customHeight="1" x14ac:dyDescent="0.25">
      <c r="B3159" t="str">
        <v>Lago Bridge</v>
      </c>
      <c r="C3159" t="str">
        <v>Bridge</v>
      </c>
      <c r="D3159" t="str">
        <v>-</v>
      </c>
      <c r="E3159">
        <v>5.0998133130789645E-5</v>
      </c>
      <c r="F3159">
        <v>0</v>
      </c>
    </row>
    <row r="3160" spans="2:6" ht="15.75" customHeight="1" x14ac:dyDescent="0.25">
      <c r="B3160" t="str">
        <v>Lagoon</v>
      </c>
      <c r="C3160" t="str">
        <v>Onchain Capital Allocator</v>
      </c>
      <c r="D3160" t="str">
        <v>-</v>
      </c>
      <c r="E3160">
        <v>149548918.9602192</v>
      </c>
      <c r="F3160">
        <v>0</v>
      </c>
    </row>
    <row r="3161" spans="2:6" ht="15.75" customHeight="1" x14ac:dyDescent="0.25">
      <c r="B3161" t="str">
        <v>Laika AI</v>
      </c>
      <c r="C3161" t="str">
        <v>AI Agents</v>
      </c>
      <c r="D3161" t="str">
        <v>LKI</v>
      </c>
      <c r="E3161">
        <v>0</v>
      </c>
      <c r="F3161">
        <v>391064.36481060757</v>
      </c>
    </row>
    <row r="3162" spans="2:6" ht="15.75" customHeight="1" x14ac:dyDescent="0.25">
      <c r="B3162" t="str">
        <v>Laine SOL</v>
      </c>
      <c r="C3162" t="str">
        <v>Liquid Staking</v>
      </c>
      <c r="D3162" t="str">
        <v>-</v>
      </c>
      <c r="E3162">
        <v>17907217.761750758</v>
      </c>
      <c r="F3162">
        <v>0</v>
      </c>
    </row>
    <row r="3163" spans="2:6" ht="15.75" customHeight="1" x14ac:dyDescent="0.25">
      <c r="B3163" t="str">
        <v>Lair Finance</v>
      </c>
      <c r="C3163" t="str">
        <v>Liquid Staking</v>
      </c>
      <c r="D3163" t="str">
        <v>-</v>
      </c>
      <c r="E3163">
        <v>8722635.4488649312</v>
      </c>
      <c r="F3163">
        <v>0</v>
      </c>
    </row>
    <row r="3164" spans="2:6" ht="15.75" customHeight="1" x14ac:dyDescent="0.25">
      <c r="B3164" t="str">
        <v>Lake Protocol</v>
      </c>
      <c r="C3164" t="str">
        <v>Yield</v>
      </c>
      <c r="D3164" t="str">
        <v>-</v>
      </c>
      <c r="E3164">
        <v>5452876.9522189805</v>
      </c>
      <c r="F3164">
        <v>0</v>
      </c>
    </row>
    <row r="3165" spans="2:6" ht="15.75" customHeight="1" x14ac:dyDescent="0.25">
      <c r="B3165" t="str">
        <v>Lama Miner</v>
      </c>
      <c r="C3165" t="str">
        <v>Ponzi</v>
      </c>
      <c r="D3165" t="str">
        <v>LAMA</v>
      </c>
      <c r="E3165">
        <v>0.50222044358517459</v>
      </c>
      <c r="F3165">
        <v>0</v>
      </c>
    </row>
    <row r="3166" spans="2:6" ht="15.75" customHeight="1" x14ac:dyDescent="0.25">
      <c r="B3166" t="str">
        <v>Laminar</v>
      </c>
      <c r="C3166" t="str">
        <v>Dexs</v>
      </c>
      <c r="D3166" t="str">
        <v>-</v>
      </c>
      <c r="E3166">
        <v>63553.809640723644</v>
      </c>
      <c r="F3166">
        <v>0</v>
      </c>
    </row>
    <row r="3167" spans="2:6" ht="15.75" customHeight="1" x14ac:dyDescent="0.25">
      <c r="B3167" t="str">
        <v>Lander</v>
      </c>
      <c r="C3167" t="str">
        <v>Lending</v>
      </c>
      <c r="D3167" t="str">
        <v>-</v>
      </c>
      <c r="E3167">
        <v>10264.533597563566</v>
      </c>
      <c r="F3167">
        <v>0</v>
      </c>
    </row>
    <row r="3168" spans="2:6" ht="15.75" customHeight="1" x14ac:dyDescent="0.25">
      <c r="B3168" t="str">
        <v>Landshare</v>
      </c>
      <c r="C3168" t="str">
        <v>RWA</v>
      </c>
      <c r="D3168" t="str">
        <v>LAND</v>
      </c>
      <c r="E3168">
        <v>620278.41</v>
      </c>
      <c r="F3168">
        <v>1758113.5390709557</v>
      </c>
    </row>
    <row r="3169" spans="2:6" ht="15.75" customHeight="1" x14ac:dyDescent="0.25">
      <c r="B3169" t="str">
        <v>LandX Finance</v>
      </c>
      <c r="C3169" t="str">
        <v>RWA</v>
      </c>
      <c r="D3169" t="str">
        <v>LNDX</v>
      </c>
      <c r="E3169">
        <v>1989626.512716902</v>
      </c>
      <c r="F3169">
        <v>319929.41194666416</v>
      </c>
    </row>
    <row r="3170" spans="2:6" ht="15.75" customHeight="1" x14ac:dyDescent="0.25">
      <c r="B3170" t="str">
        <v>LanternSwap</v>
      </c>
      <c r="C3170" t="str">
        <v>Dexs</v>
      </c>
      <c r="D3170" t="str">
        <v>-</v>
      </c>
      <c r="E3170">
        <v>0</v>
      </c>
      <c r="F3170">
        <v>0</v>
      </c>
    </row>
    <row r="3171" spans="2:6" ht="15.75" customHeight="1" x14ac:dyDescent="0.25">
      <c r="B3171" t="str">
        <v>Lara Protocol</v>
      </c>
      <c r="C3171" t="str">
        <v>Liquid Staking</v>
      </c>
      <c r="D3171" t="str">
        <v>LARA</v>
      </c>
      <c r="E3171">
        <v>27577.515298807513</v>
      </c>
      <c r="F3171">
        <v>21219.029355866562</v>
      </c>
    </row>
    <row r="3172" spans="2:6" ht="15.75" customHeight="1" x14ac:dyDescent="0.25">
      <c r="B3172" t="str">
        <v>Larix</v>
      </c>
      <c r="C3172" t="str">
        <v>Lending</v>
      </c>
      <c r="D3172" t="str">
        <v>LARIX</v>
      </c>
      <c r="E3172">
        <v>1480853.8029138674</v>
      </c>
      <c r="F3172">
        <v>0</v>
      </c>
    </row>
    <row r="3173" spans="2:6" ht="15.75" customHeight="1" x14ac:dyDescent="0.25">
      <c r="B3173" t="str">
        <v>LaserSwap</v>
      </c>
      <c r="C3173" t="str">
        <v>Dexs</v>
      </c>
      <c r="D3173" t="str">
        <v>-</v>
      </c>
      <c r="E3173">
        <v>153075.76670444958</v>
      </c>
      <c r="F3173">
        <v>0</v>
      </c>
    </row>
    <row r="3174" spans="2:6" ht="15.75" customHeight="1" x14ac:dyDescent="0.25">
      <c r="B3174" t="str">
        <v>Latch</v>
      </c>
      <c r="C3174" t="str">
        <v>Yield</v>
      </c>
      <c r="D3174" t="str">
        <v>-</v>
      </c>
      <c r="E3174">
        <v>16276748.404711468</v>
      </c>
      <c r="F3174">
        <v>0</v>
      </c>
    </row>
    <row r="3175" spans="2:6" ht="15.75" customHeight="1" x14ac:dyDescent="0.25">
      <c r="B3175" t="str">
        <v>LatteSwap</v>
      </c>
      <c r="C3175" t="str">
        <v>Dexs</v>
      </c>
      <c r="D3175" t="str">
        <v>LATTE</v>
      </c>
      <c r="E3175">
        <v>68996.026656590941</v>
      </c>
      <c r="F3175">
        <v>0</v>
      </c>
    </row>
    <row r="3176" spans="2:6" ht="15.75" customHeight="1" x14ac:dyDescent="0.25">
      <c r="B3176" t="str">
        <v>Launch Coin on Believe</v>
      </c>
      <c r="C3176" t="str">
        <v>Launchpad</v>
      </c>
      <c r="D3176" t="str">
        <v>LAUNCHCOIN</v>
      </c>
      <c r="E3176">
        <v>0</v>
      </c>
      <c r="F3176">
        <v>9603930.5083686244</v>
      </c>
    </row>
    <row r="3177" spans="2:6" ht="15.75" customHeight="1" x14ac:dyDescent="0.25">
      <c r="B3177" t="str">
        <v>LaunchLab</v>
      </c>
      <c r="C3177" t="str">
        <v>Launchpad</v>
      </c>
      <c r="D3177" t="str">
        <v>RAY</v>
      </c>
      <c r="E3177">
        <v>0</v>
      </c>
      <c r="F3177">
        <v>0</v>
      </c>
    </row>
    <row r="3178" spans="2:6" ht="15.75" customHeight="1" x14ac:dyDescent="0.25">
      <c r="B3178" t="str">
        <v>Lava</v>
      </c>
      <c r="C3178" t="str">
        <v>Lending</v>
      </c>
      <c r="D3178" t="str">
        <v>-</v>
      </c>
      <c r="E3178">
        <v>380.41050730943516</v>
      </c>
      <c r="F3178">
        <v>0</v>
      </c>
    </row>
    <row r="3179" spans="2:6" ht="15.75" customHeight="1" x14ac:dyDescent="0.25">
      <c r="B3179" t="str">
        <v>Lavafall</v>
      </c>
      <c r="C3179" t="str">
        <v>Yield</v>
      </c>
      <c r="D3179" t="str">
        <v>Lavafall</v>
      </c>
      <c r="E3179">
        <v>61.389187159170021</v>
      </c>
      <c r="F3179">
        <v>0</v>
      </c>
    </row>
    <row r="3180" spans="2:6" ht="15.75" customHeight="1" x14ac:dyDescent="0.25">
      <c r="B3180" t="str">
        <v>Lavarage</v>
      </c>
      <c r="C3180" t="str">
        <v>Derivatives</v>
      </c>
      <c r="D3180" t="str">
        <v>-</v>
      </c>
      <c r="E3180">
        <v>1145493.6149770273</v>
      </c>
      <c r="F3180">
        <v>0</v>
      </c>
    </row>
    <row r="3181" spans="2:6" ht="15.75" customHeight="1" x14ac:dyDescent="0.25">
      <c r="B3181" t="str">
        <v>Layer2 Finance</v>
      </c>
      <c r="C3181" t="str">
        <v>Yield</v>
      </c>
      <c r="D3181" t="str">
        <v>-</v>
      </c>
      <c r="E3181">
        <v>209165.69995794335</v>
      </c>
      <c r="F3181">
        <v>0</v>
      </c>
    </row>
    <row r="3182" spans="2:6" ht="15.75" customHeight="1" x14ac:dyDescent="0.25">
      <c r="B3182" t="str">
        <v>LayerAkira</v>
      </c>
      <c r="C3182" t="str">
        <v>Dexs</v>
      </c>
      <c r="D3182" t="str">
        <v>-</v>
      </c>
      <c r="E3182">
        <v>186483.83969013242</v>
      </c>
      <c r="F3182">
        <v>0</v>
      </c>
    </row>
    <row r="3183" spans="2:6" ht="15.75" customHeight="1" x14ac:dyDescent="0.25">
      <c r="B3183" t="str">
        <v>LayerBank</v>
      </c>
      <c r="C3183" t="str">
        <v>Lending</v>
      </c>
      <c r="D3183" t="str">
        <v>LAB</v>
      </c>
      <c r="E3183">
        <v>7145847.2413263544</v>
      </c>
      <c r="F3183">
        <v>0</v>
      </c>
    </row>
    <row r="3184" spans="2:6" ht="15.75" customHeight="1" x14ac:dyDescent="0.25">
      <c r="B3184" t="str">
        <v>LayerZero</v>
      </c>
      <c r="C3184" t="str">
        <v>Bridge</v>
      </c>
      <c r="D3184" t="str">
        <v>ZRO</v>
      </c>
      <c r="E3184">
        <v>0</v>
      </c>
      <c r="F3184">
        <v>286215029.88158715</v>
      </c>
    </row>
    <row r="3185" spans="2:6" ht="15.75" customHeight="1" x14ac:dyDescent="0.25">
      <c r="B3185" t="str">
        <v>Lazy Summer Protocol</v>
      </c>
      <c r="C3185" t="str">
        <v>Yield Aggregator</v>
      </c>
      <c r="D3185" t="str">
        <v>SUMR</v>
      </c>
      <c r="E3185">
        <v>89596112.37736322</v>
      </c>
      <c r="F3185">
        <v>0</v>
      </c>
    </row>
    <row r="3186" spans="2:6" ht="15.75" customHeight="1" x14ac:dyDescent="0.25">
      <c r="B3186" t="str">
        <v>LazyFi</v>
      </c>
      <c r="C3186" t="str">
        <v>Gaming</v>
      </c>
      <c r="D3186" t="str">
        <v>-</v>
      </c>
      <c r="E3186">
        <v>26.331109914698828</v>
      </c>
      <c r="F3186">
        <v>0</v>
      </c>
    </row>
    <row r="3187" spans="2:6" ht="15.75" customHeight="1" x14ac:dyDescent="0.25">
      <c r="B3187" t="str">
        <v>LazyOtter Finance</v>
      </c>
      <c r="C3187" t="str">
        <v>Yield Aggregator</v>
      </c>
      <c r="D3187" t="str">
        <v>-</v>
      </c>
      <c r="E3187">
        <v>2510.1534635582939</v>
      </c>
      <c r="F3187">
        <v>0</v>
      </c>
    </row>
    <row r="3188" spans="2:6" ht="15.75" customHeight="1" x14ac:dyDescent="0.25">
      <c r="B3188" t="str">
        <v>LeadFi leadBTC</v>
      </c>
      <c r="C3188" t="str">
        <v>Bridge</v>
      </c>
      <c r="D3188" t="str">
        <v>-</v>
      </c>
      <c r="E3188">
        <v>2837512.9821030083</v>
      </c>
      <c r="F3188">
        <v>0</v>
      </c>
    </row>
    <row r="3189" spans="2:6" ht="15.75" customHeight="1" x14ac:dyDescent="0.25">
      <c r="B3189" t="str">
        <v>LeagueDAO</v>
      </c>
      <c r="C3189" t="str">
        <v>Reserve Currency</v>
      </c>
      <c r="D3189" t="str">
        <v>LEAG</v>
      </c>
      <c r="E3189">
        <v>0</v>
      </c>
      <c r="F3189">
        <v>182374.52565916177</v>
      </c>
    </row>
    <row r="3190" spans="2:6" ht="15.75" customHeight="1" x14ac:dyDescent="0.25">
      <c r="B3190" t="str">
        <v>Leaper Finance</v>
      </c>
      <c r="C3190" t="str">
        <v>Lending</v>
      </c>
      <c r="D3190" t="str">
        <v>-</v>
      </c>
      <c r="E3190">
        <v>0.27701400000001225</v>
      </c>
      <c r="F3190">
        <v>0</v>
      </c>
    </row>
    <row r="3191" spans="2:6" ht="15.75" customHeight="1" x14ac:dyDescent="0.25">
      <c r="B3191" t="str">
        <v>Leech Protocol</v>
      </c>
      <c r="C3191" t="str">
        <v>Yield Aggregator</v>
      </c>
      <c r="D3191" t="str">
        <v>-</v>
      </c>
      <c r="E3191">
        <v>19641.182617329509</v>
      </c>
      <c r="F3191">
        <v>0</v>
      </c>
    </row>
    <row r="3192" spans="2:6" ht="15.75" customHeight="1" x14ac:dyDescent="0.25">
      <c r="B3192" t="str">
        <v>LeetSwap</v>
      </c>
      <c r="C3192" t="str">
        <v>Dexs</v>
      </c>
      <c r="D3192" t="str">
        <v>LEET</v>
      </c>
      <c r="E3192">
        <v>233108.51169205163</v>
      </c>
      <c r="F3192">
        <v>0</v>
      </c>
    </row>
    <row r="3193" spans="2:6" ht="15.75" customHeight="1" x14ac:dyDescent="0.25">
      <c r="B3193" t="str">
        <v>Legacy Canary Protocol</v>
      </c>
      <c r="C3193" t="str">
        <v>Yield Aggregator</v>
      </c>
      <c r="D3193" t="str">
        <v>-</v>
      </c>
      <c r="E3193">
        <v>8474.1909075316507</v>
      </c>
      <c r="F3193">
        <v>0</v>
      </c>
    </row>
    <row r="3194" spans="2:6" ht="15.75" customHeight="1" x14ac:dyDescent="0.25">
      <c r="B3194" t="str">
        <v>Legacy Network</v>
      </c>
      <c r="C3194" t="str">
        <v>Farm</v>
      </c>
      <c r="D3194" t="str">
        <v>LGCT</v>
      </c>
      <c r="E3194">
        <v>0</v>
      </c>
      <c r="F3194">
        <v>192538738.38910079</v>
      </c>
    </row>
    <row r="3195" spans="2:6" ht="15.75" customHeight="1" x14ac:dyDescent="0.25">
      <c r="B3195" t="str">
        <v>Legion</v>
      </c>
      <c r="C3195" t="str">
        <v>Launchpad</v>
      </c>
      <c r="D3195" t="str">
        <v>-</v>
      </c>
      <c r="E3195">
        <v>7012982.4898062432</v>
      </c>
      <c r="F3195">
        <v>0</v>
      </c>
    </row>
    <row r="3196" spans="2:6" ht="15.75" customHeight="1" x14ac:dyDescent="0.25">
      <c r="B3196" t="str">
        <v>Lemma</v>
      </c>
      <c r="C3196" t="str">
        <v>Derivatives</v>
      </c>
      <c r="D3196" t="str">
        <v>-</v>
      </c>
      <c r="E3196">
        <v>9960.958830222291</v>
      </c>
      <c r="F3196">
        <v>0</v>
      </c>
    </row>
    <row r="3197" spans="2:6" ht="15.75" customHeight="1" x14ac:dyDescent="0.25">
      <c r="B3197" t="str">
        <v>LemonBlast</v>
      </c>
      <c r="C3197" t="str">
        <v>Farm</v>
      </c>
      <c r="D3197" t="str">
        <v>LEMON</v>
      </c>
      <c r="E3197">
        <v>1.1495397892238904E-13</v>
      </c>
      <c r="F3197">
        <v>0</v>
      </c>
    </row>
    <row r="3198" spans="2:6" ht="15.75" customHeight="1" x14ac:dyDescent="0.25">
      <c r="B3198" t="str">
        <v>LemonSwap</v>
      </c>
      <c r="C3198" t="str">
        <v>Yield</v>
      </c>
      <c r="D3198" t="str">
        <v>LEMON</v>
      </c>
      <c r="E3198">
        <v>4043.3027488591351</v>
      </c>
      <c r="F3198">
        <v>0</v>
      </c>
    </row>
    <row r="3199" spans="2:6" ht="15.75" customHeight="1" x14ac:dyDescent="0.25">
      <c r="B3199" t="str">
        <v>LemonX</v>
      </c>
      <c r="C3199" t="str">
        <v>Derivatives</v>
      </c>
      <c r="D3199" t="str">
        <v>-</v>
      </c>
      <c r="E3199">
        <v>127.11801464223976</v>
      </c>
      <c r="F3199">
        <v>0</v>
      </c>
    </row>
    <row r="3200" spans="2:6" ht="15.75" customHeight="1" x14ac:dyDescent="0.25">
      <c r="B3200" t="str">
        <v>Lemuria Finance</v>
      </c>
      <c r="C3200" t="str">
        <v>Yield Aggregator</v>
      </c>
      <c r="D3200" t="str">
        <v>LEMUR</v>
      </c>
      <c r="E3200">
        <v>0</v>
      </c>
      <c r="F3200">
        <v>0</v>
      </c>
    </row>
    <row r="3201" spans="2:6" ht="15.75" customHeight="1" x14ac:dyDescent="0.25">
      <c r="B3201" t="str">
        <v>LendeXe Finance</v>
      </c>
      <c r="C3201" t="str">
        <v>Lending</v>
      </c>
      <c r="D3201" t="str">
        <v>LEXE</v>
      </c>
      <c r="E3201">
        <v>10929.205559040465</v>
      </c>
      <c r="F3201">
        <v>0</v>
      </c>
    </row>
    <row r="3202" spans="2:6" ht="15.75" customHeight="1" x14ac:dyDescent="0.25">
      <c r="B3202" t="str">
        <v>LendFlare</v>
      </c>
      <c r="C3202" t="str">
        <v>Lending</v>
      </c>
      <c r="D3202" t="str">
        <v>LFT</v>
      </c>
      <c r="E3202">
        <v>1351947.4609169126</v>
      </c>
      <c r="F3202">
        <v>0</v>
      </c>
    </row>
    <row r="3203" spans="2:6" ht="15.75" customHeight="1" x14ac:dyDescent="0.25">
      <c r="B3203" t="str">
        <v>LendHub</v>
      </c>
      <c r="C3203" t="str">
        <v>Lending</v>
      </c>
      <c r="D3203" t="str">
        <v>LHB</v>
      </c>
      <c r="E3203">
        <v>0</v>
      </c>
      <c r="F3203">
        <v>0</v>
      </c>
    </row>
    <row r="3204" spans="2:6" ht="15.75" customHeight="1" x14ac:dyDescent="0.25">
      <c r="B3204" t="str">
        <v>Lending Pond</v>
      </c>
      <c r="C3204" t="str">
        <v>Lending</v>
      </c>
      <c r="D3204" t="str">
        <v>-</v>
      </c>
      <c r="E3204">
        <v>2558.4640838456021</v>
      </c>
      <c r="F3204">
        <v>0</v>
      </c>
    </row>
    <row r="3205" spans="2:6" ht="15.75" customHeight="1" x14ac:dyDescent="0.25">
      <c r="B3205" t="str">
        <v>Lendle Earn</v>
      </c>
      <c r="C3205" t="str">
        <v>Onchain Capital Allocator</v>
      </c>
      <c r="D3205" t="str">
        <v>LEND</v>
      </c>
      <c r="E3205">
        <v>1017405.0459445913</v>
      </c>
      <c r="F3205">
        <v>0</v>
      </c>
    </row>
    <row r="3206" spans="2:6" ht="15.75" customHeight="1" x14ac:dyDescent="0.25">
      <c r="B3206" t="str">
        <v>Lendle Isolated Markets</v>
      </c>
      <c r="C3206" t="str">
        <v>Lending</v>
      </c>
      <c r="D3206" t="str">
        <v>LEND</v>
      </c>
      <c r="E3206">
        <v>1040611.5254983521</v>
      </c>
      <c r="F3206">
        <v>0</v>
      </c>
    </row>
    <row r="3207" spans="2:6" ht="15.75" customHeight="1" x14ac:dyDescent="0.25">
      <c r="B3207" t="str">
        <v>Lendle Pooled Markets</v>
      </c>
      <c r="C3207" t="str">
        <v>Lending</v>
      </c>
      <c r="D3207" t="str">
        <v>LEND</v>
      </c>
      <c r="E3207">
        <v>8318868.7097260309</v>
      </c>
      <c r="F3207">
        <v>0</v>
      </c>
    </row>
    <row r="3208" spans="2:6" ht="15.75" customHeight="1" x14ac:dyDescent="0.25">
      <c r="B3208" t="str">
        <v>Lendle Yield</v>
      </c>
      <c r="C3208" t="str">
        <v>Yield</v>
      </c>
      <c r="D3208" t="str">
        <v>LEND</v>
      </c>
      <c r="E3208">
        <v>11607.034916986817</v>
      </c>
      <c r="F3208">
        <v>0</v>
      </c>
    </row>
    <row r="3209" spans="2:6" ht="15.75" customHeight="1" x14ac:dyDescent="0.25">
      <c r="B3209" t="str">
        <v>LendLord</v>
      </c>
      <c r="C3209" t="str">
        <v>Lending</v>
      </c>
      <c r="D3209" t="str">
        <v>-</v>
      </c>
      <c r="E3209">
        <v>908.67898382310273</v>
      </c>
      <c r="F3209">
        <v>0</v>
      </c>
    </row>
    <row r="3210" spans="2:6" ht="15.75" customHeight="1" x14ac:dyDescent="0.25">
      <c r="B3210" t="str">
        <v>Lendora Protocol</v>
      </c>
      <c r="C3210" t="str">
        <v>Lending</v>
      </c>
      <c r="D3210" t="str">
        <v>LORA</v>
      </c>
      <c r="E3210">
        <v>0</v>
      </c>
      <c r="F3210">
        <v>0</v>
      </c>
    </row>
    <row r="3211" spans="2:6" ht="15.75" customHeight="1" x14ac:dyDescent="0.25">
      <c r="B3211" t="str">
        <v>lendOS</v>
      </c>
      <c r="C3211" t="str">
        <v>Lending</v>
      </c>
      <c r="D3211" t="str">
        <v>-</v>
      </c>
      <c r="E3211">
        <v>57820.708353845883</v>
      </c>
      <c r="F3211">
        <v>0</v>
      </c>
    </row>
    <row r="3212" spans="2:6" ht="15.75" customHeight="1" x14ac:dyDescent="0.25">
      <c r="B3212" t="str">
        <v>Lenen</v>
      </c>
      <c r="C3212" t="str">
        <v>Lending</v>
      </c>
      <c r="D3212" t="str">
        <v>LEN</v>
      </c>
      <c r="E3212">
        <v>641490.50554349658</v>
      </c>
      <c r="F3212">
        <v>0</v>
      </c>
    </row>
    <row r="3213" spans="2:6" ht="15.75" customHeight="1" x14ac:dyDescent="0.25">
      <c r="B3213" t="str">
        <v>Lenfi</v>
      </c>
      <c r="C3213" t="str">
        <v>Lending</v>
      </c>
      <c r="D3213" t="str">
        <v>AADA</v>
      </c>
      <c r="E3213">
        <v>1130259.6929180124</v>
      </c>
      <c r="F3213">
        <v>0</v>
      </c>
    </row>
    <row r="3214" spans="2:6" ht="15.75" customHeight="1" x14ac:dyDescent="0.25">
      <c r="B3214" t="str">
        <v>leNFT</v>
      </c>
      <c r="C3214" t="str">
        <v>NFT Marketplace</v>
      </c>
      <c r="D3214" t="str">
        <v>LE</v>
      </c>
      <c r="E3214">
        <v>939.16549205682031</v>
      </c>
      <c r="F3214">
        <v>0</v>
      </c>
    </row>
    <row r="3215" spans="2:6" ht="15.75" customHeight="1" x14ac:dyDescent="0.25">
      <c r="B3215" t="str">
        <v>Lens Chain</v>
      </c>
      <c r="C3215" t="str">
        <v>Canonical Bridge</v>
      </c>
      <c r="D3215" t="str">
        <v>-</v>
      </c>
      <c r="E3215">
        <v>1188920.825291743</v>
      </c>
      <c r="F3215">
        <v>0</v>
      </c>
    </row>
    <row r="3216" spans="2:6" ht="15.75" customHeight="1" x14ac:dyDescent="0.25">
      <c r="B3216" t="str">
        <v>Lens Protocol</v>
      </c>
      <c r="C3216" t="str">
        <v>SoFi</v>
      </c>
      <c r="D3216" t="str">
        <v>-</v>
      </c>
      <c r="E3216">
        <v>0</v>
      </c>
      <c r="F3216">
        <v>0</v>
      </c>
    </row>
    <row r="3217" spans="2:6" ht="15.75" customHeight="1" x14ac:dyDescent="0.25">
      <c r="B3217" t="str">
        <v>LeonicornSwap</v>
      </c>
      <c r="C3217" t="str">
        <v>Dexs</v>
      </c>
      <c r="D3217" t="str">
        <v>LEON</v>
      </c>
      <c r="E3217">
        <v>2745.9247043012983</v>
      </c>
      <c r="F3217">
        <v>5972612.4115187451</v>
      </c>
    </row>
    <row r="3218" spans="2:6" ht="15.75" customHeight="1" x14ac:dyDescent="0.25">
      <c r="B3218" t="str">
        <v>LessGas</v>
      </c>
      <c r="C3218" t="str">
        <v>Launchpad</v>
      </c>
      <c r="D3218" t="str">
        <v>-</v>
      </c>
      <c r="E3218">
        <v>0</v>
      </c>
      <c r="F3218">
        <v>0</v>
      </c>
    </row>
    <row r="3219" spans="2:6" ht="15.75" customHeight="1" x14ac:dyDescent="0.25">
      <c r="B3219" t="str">
        <v>Lets Get HAI</v>
      </c>
      <c r="C3219" t="str">
        <v>CDP</v>
      </c>
      <c r="D3219" t="str">
        <v>KITE</v>
      </c>
      <c r="E3219">
        <v>3273816.2336964076</v>
      </c>
      <c r="F3219">
        <v>971549.85659773368</v>
      </c>
    </row>
    <row r="3220" spans="2:6" ht="15.75" customHeight="1" x14ac:dyDescent="0.25">
      <c r="B3220" t="str">
        <v>letsBONK.fun</v>
      </c>
      <c r="C3220" t="str">
        <v>Launchpad</v>
      </c>
      <c r="D3220" t="str">
        <v>-</v>
      </c>
      <c r="E3220">
        <v>0</v>
      </c>
      <c r="F3220">
        <v>0</v>
      </c>
    </row>
    <row r="3221" spans="2:6" ht="15.75" customHeight="1" x14ac:dyDescent="0.25">
      <c r="B3221" t="str">
        <v>Levana Perps</v>
      </c>
      <c r="C3221" t="str">
        <v>Derivatives</v>
      </c>
      <c r="D3221" t="str">
        <v>LVN</v>
      </c>
      <c r="E3221">
        <v>1475191.0692704946</v>
      </c>
      <c r="F3221">
        <v>1296358.0410444606</v>
      </c>
    </row>
    <row r="3222" spans="2:6" ht="15.75" customHeight="1" x14ac:dyDescent="0.25">
      <c r="B3222" t="str">
        <v>Level</v>
      </c>
      <c r="C3222" t="str">
        <v>CDP</v>
      </c>
      <c r="D3222" t="str">
        <v>-</v>
      </c>
      <c r="E3222">
        <v>1332381.9618475421</v>
      </c>
      <c r="F3222">
        <v>0</v>
      </c>
    </row>
    <row r="3223" spans="2:6" ht="15.75" customHeight="1" x14ac:dyDescent="0.25">
      <c r="B3223" t="str">
        <v>Level AMM</v>
      </c>
      <c r="C3223" t="str">
        <v>Dexs</v>
      </c>
      <c r="D3223" t="str">
        <v>LVL</v>
      </c>
      <c r="E3223">
        <v>0</v>
      </c>
      <c r="F3223">
        <v>0</v>
      </c>
    </row>
    <row r="3224" spans="2:6" ht="15.75" customHeight="1" x14ac:dyDescent="0.25">
      <c r="B3224" t="str">
        <v>Level Perps</v>
      </c>
      <c r="C3224" t="str">
        <v>Derivatives</v>
      </c>
      <c r="D3224" t="str">
        <v>LVL</v>
      </c>
      <c r="E3224">
        <v>327572.99348559172</v>
      </c>
      <c r="F3224">
        <v>0</v>
      </c>
    </row>
    <row r="3225" spans="2:6" ht="15.75" customHeight="1" x14ac:dyDescent="0.25">
      <c r="B3225" t="str">
        <v>LeverUp</v>
      </c>
      <c r="C3225" t="str">
        <v>Derivatives</v>
      </c>
      <c r="D3225" t="str">
        <v>-</v>
      </c>
      <c r="E3225">
        <v>1154712.0842063178</v>
      </c>
      <c r="F3225">
        <v>0</v>
      </c>
    </row>
    <row r="3226" spans="2:6" ht="15.75" customHeight="1" x14ac:dyDescent="0.25">
      <c r="B3226" t="str">
        <v>Levinswap</v>
      </c>
      <c r="C3226" t="str">
        <v>Dexs</v>
      </c>
      <c r="D3226" t="str">
        <v>LEVIN</v>
      </c>
      <c r="E3226">
        <v>343595.98442993872</v>
      </c>
      <c r="F3226">
        <v>278.32935007614549</v>
      </c>
    </row>
    <row r="3227" spans="2:6" ht="15.75" customHeight="1" x14ac:dyDescent="0.25">
      <c r="B3227" t="str">
        <v>Levva</v>
      </c>
      <c r="C3227" t="str">
        <v>Liquidity manager</v>
      </c>
      <c r="D3227" t="str">
        <v>-</v>
      </c>
      <c r="E3227">
        <v>823135.99322322279</v>
      </c>
      <c r="F3227">
        <v>0</v>
      </c>
    </row>
    <row r="3228" spans="2:6" ht="15.75" customHeight="1" x14ac:dyDescent="0.25">
      <c r="B3228" t="str">
        <v>Levvy for NFTs</v>
      </c>
      <c r="C3228" t="str">
        <v>NFT Lending</v>
      </c>
      <c r="D3228" t="str">
        <v>-</v>
      </c>
      <c r="E3228">
        <v>9082.3889170193797</v>
      </c>
      <c r="F3228">
        <v>0</v>
      </c>
    </row>
    <row r="3229" spans="2:6" ht="15.75" customHeight="1" x14ac:dyDescent="0.25">
      <c r="B3229" t="str">
        <v>Levvy for Tokens</v>
      </c>
      <c r="C3229" t="str">
        <v>Lending</v>
      </c>
      <c r="D3229" t="str">
        <v>-</v>
      </c>
      <c r="E3229">
        <v>304474.58113227977</v>
      </c>
      <c r="F3229">
        <v>0</v>
      </c>
    </row>
    <row r="3230" spans="2:6" ht="15.75" customHeight="1" x14ac:dyDescent="0.25">
      <c r="B3230" t="str">
        <v>Lexer Markets</v>
      </c>
      <c r="C3230" t="str">
        <v>Derivatives</v>
      </c>
      <c r="D3230" t="str">
        <v>LEX</v>
      </c>
      <c r="E3230">
        <v>47.563244030368239</v>
      </c>
      <c r="F3230">
        <v>0</v>
      </c>
    </row>
    <row r="3231" spans="2:6" ht="15.75" customHeight="1" x14ac:dyDescent="0.25">
      <c r="B3231" t="str">
        <v>LFGSwap Arbitrum</v>
      </c>
      <c r="C3231" t="str">
        <v>Dexs</v>
      </c>
      <c r="D3231" t="str">
        <v>LFG</v>
      </c>
      <c r="E3231">
        <v>5274.4477264146853</v>
      </c>
      <c r="F3231">
        <v>0</v>
      </c>
    </row>
    <row r="3232" spans="2:6" ht="15.75" customHeight="1" x14ac:dyDescent="0.25">
      <c r="B3232" t="str">
        <v>LFGSwap Core</v>
      </c>
      <c r="C3232" t="str">
        <v>Dexs</v>
      </c>
      <c r="D3232" t="str">
        <v>LFG</v>
      </c>
      <c r="E3232">
        <v>18861.162367382374</v>
      </c>
      <c r="F3232">
        <v>0</v>
      </c>
    </row>
    <row r="3233" spans="2:6" ht="15.75" customHeight="1" x14ac:dyDescent="0.25">
      <c r="B3233" t="str">
        <v>LFGSwap EthereumPoW</v>
      </c>
      <c r="C3233" t="str">
        <v>Dexs</v>
      </c>
      <c r="D3233" t="str">
        <v>LFG</v>
      </c>
      <c r="E3233">
        <v>20673.77245000533</v>
      </c>
      <c r="F3233">
        <v>0</v>
      </c>
    </row>
    <row r="3234" spans="2:6" ht="15.75" customHeight="1" x14ac:dyDescent="0.25">
      <c r="B3234" t="str">
        <v>LFGSwap XLayer</v>
      </c>
      <c r="C3234" t="str">
        <v>Dexs</v>
      </c>
      <c r="D3234" t="str">
        <v>LFG</v>
      </c>
      <c r="E3234">
        <v>5200.4886132607844</v>
      </c>
      <c r="F3234">
        <v>0</v>
      </c>
    </row>
    <row r="3235" spans="2:6" ht="15.75" customHeight="1" x14ac:dyDescent="0.25">
      <c r="B3235" t="str">
        <v>LFJ Aggregator</v>
      </c>
      <c r="C3235" t="str">
        <v>DEX Aggregator</v>
      </c>
      <c r="D3235" t="str">
        <v>JOE</v>
      </c>
      <c r="E3235">
        <v>0</v>
      </c>
      <c r="F3235">
        <v>0</v>
      </c>
    </row>
    <row r="3236" spans="2:6" ht="15.75" customHeight="1" x14ac:dyDescent="0.25">
      <c r="B3236" t="str">
        <v>LI.FI Bridge Aggregator</v>
      </c>
      <c r="C3236" t="str">
        <v>Bridge Aggregator</v>
      </c>
      <c r="D3236" t="str">
        <v>-</v>
      </c>
      <c r="E3236">
        <v>0</v>
      </c>
      <c r="F3236">
        <v>0</v>
      </c>
    </row>
    <row r="3237" spans="2:6" ht="15.75" customHeight="1" x14ac:dyDescent="0.25">
      <c r="B3237" t="str">
        <v>LI.FI DEX Aggregator</v>
      </c>
      <c r="C3237" t="str">
        <v>DEX Aggregator</v>
      </c>
      <c r="D3237" t="str">
        <v>-</v>
      </c>
      <c r="E3237">
        <v>0</v>
      </c>
      <c r="F3237">
        <v>0</v>
      </c>
    </row>
    <row r="3238" spans="2:6" ht="15.75" customHeight="1" x14ac:dyDescent="0.25">
      <c r="B3238" t="str">
        <v>Libero Financial</v>
      </c>
      <c r="C3238" t="str">
        <v>Yield</v>
      </c>
      <c r="D3238" t="str">
        <v>LIBERO</v>
      </c>
      <c r="E3238">
        <v>0</v>
      </c>
      <c r="F3238">
        <v>0</v>
      </c>
    </row>
    <row r="3239" spans="2:6" ht="15.75" customHeight="1" x14ac:dyDescent="0.25">
      <c r="B3239" t="str">
        <v>Libre Swap</v>
      </c>
      <c r="C3239" t="str">
        <v>Dexs</v>
      </c>
      <c r="D3239" t="str">
        <v>-</v>
      </c>
      <c r="E3239">
        <v>151634.94363268802</v>
      </c>
      <c r="F3239">
        <v>0</v>
      </c>
    </row>
    <row r="3240" spans="2:6" ht="15.75" customHeight="1" x14ac:dyDescent="0.25">
      <c r="B3240" t="str">
        <v>Lido</v>
      </c>
      <c r="C3240" t="str">
        <v>Liquid Staking</v>
      </c>
      <c r="D3240" t="str">
        <v>LDO</v>
      </c>
      <c r="E3240">
        <v>27727805714.836861</v>
      </c>
      <c r="F3240">
        <v>529620904.11967641</v>
      </c>
    </row>
    <row r="3241" spans="2:6" ht="15.75" customHeight="1" x14ac:dyDescent="0.25">
      <c r="B3241" t="str">
        <v>Lido Impact Staking</v>
      </c>
      <c r="C3241" t="str">
        <v>Liquid Staking</v>
      </c>
      <c r="D3241" t="str">
        <v>-</v>
      </c>
      <c r="E3241">
        <v>422736.26680625539</v>
      </c>
      <c r="F3241">
        <v>0</v>
      </c>
    </row>
    <row r="3242" spans="2:6" ht="15.75" customHeight="1" x14ac:dyDescent="0.25">
      <c r="B3242" t="str">
        <v>Lien</v>
      </c>
      <c r="C3242" t="str">
        <v>Options</v>
      </c>
      <c r="D3242" t="str">
        <v>LIEN</v>
      </c>
      <c r="E3242">
        <v>275301.26164191531</v>
      </c>
      <c r="F3242">
        <v>18083.677602798696</v>
      </c>
    </row>
    <row r="3243" spans="2:6" ht="15.75" customHeight="1" x14ac:dyDescent="0.25">
      <c r="B3243" t="str">
        <v>Lif3 Swap</v>
      </c>
      <c r="C3243" t="str">
        <v>Dexs</v>
      </c>
      <c r="D3243" t="str">
        <v>LIF3</v>
      </c>
      <c r="E3243">
        <v>120119.63066913918</v>
      </c>
      <c r="F3243">
        <v>0</v>
      </c>
    </row>
    <row r="3244" spans="2:6" ht="15.75" customHeight="1" x14ac:dyDescent="0.25">
      <c r="B3244" t="str">
        <v>Lif3 Trade</v>
      </c>
      <c r="C3244" t="str">
        <v>Derivatives</v>
      </c>
      <c r="D3244" t="str">
        <v>LIF3</v>
      </c>
      <c r="E3244">
        <v>8.2116641308953344</v>
      </c>
      <c r="F3244">
        <v>0</v>
      </c>
    </row>
    <row r="3245" spans="2:6" ht="15.75" customHeight="1" x14ac:dyDescent="0.25">
      <c r="B3245" t="str">
        <v>LIFE</v>
      </c>
      <c r="C3245" t="str">
        <v>Farm</v>
      </c>
      <c r="D3245" t="str">
        <v>LIFE</v>
      </c>
      <c r="E3245">
        <v>246.94929503216832</v>
      </c>
      <c r="F3245">
        <v>0</v>
      </c>
    </row>
    <row r="3246" spans="2:6" ht="15.75" customHeight="1" x14ac:dyDescent="0.25">
      <c r="B3246" t="str">
        <v>Life DAO</v>
      </c>
      <c r="C3246" t="str">
        <v>Reserve Currency</v>
      </c>
      <c r="D3246" t="str">
        <v>LF</v>
      </c>
      <c r="E3246">
        <v>86.252466402654932</v>
      </c>
      <c r="F3246">
        <v>0</v>
      </c>
    </row>
    <row r="3247" spans="2:6" ht="15.75" customHeight="1" x14ac:dyDescent="0.25">
      <c r="B3247" t="str">
        <v>Lifinity V1</v>
      </c>
      <c r="C3247" t="str">
        <v>Dexs</v>
      </c>
      <c r="D3247" t="str">
        <v>LFNTY</v>
      </c>
      <c r="E3247">
        <v>80508.725206791612</v>
      </c>
      <c r="F3247">
        <v>0</v>
      </c>
    </row>
    <row r="3248" spans="2:6" ht="15.75" customHeight="1" x14ac:dyDescent="0.25">
      <c r="B3248" t="str">
        <v>Lifinity V2</v>
      </c>
      <c r="C3248" t="str">
        <v>Dexs</v>
      </c>
      <c r="D3248" t="str">
        <v>LFNTY</v>
      </c>
      <c r="E3248">
        <v>50850.701374465461</v>
      </c>
      <c r="F3248">
        <v>0</v>
      </c>
    </row>
    <row r="3249" spans="2:6" ht="15.75" customHeight="1" x14ac:dyDescent="0.25">
      <c r="B3249" t="str">
        <v>Lighter Bridge</v>
      </c>
      <c r="C3249" t="str">
        <v>Bridge</v>
      </c>
      <c r="D3249" t="str">
        <v>-</v>
      </c>
      <c r="E3249">
        <v>1240466360.0114162</v>
      </c>
      <c r="F3249">
        <v>0</v>
      </c>
    </row>
    <row r="3250" spans="2:6" ht="15.75" customHeight="1" x14ac:dyDescent="0.25">
      <c r="B3250" t="str">
        <v>Lighter Perps</v>
      </c>
      <c r="C3250" t="str">
        <v>Derivatives</v>
      </c>
      <c r="D3250" t="str">
        <v>-</v>
      </c>
      <c r="E3250">
        <v>0</v>
      </c>
      <c r="F3250">
        <v>0</v>
      </c>
    </row>
    <row r="3251" spans="2:6" ht="15.75" customHeight="1" x14ac:dyDescent="0.25">
      <c r="B3251" t="str">
        <v>Lighter Spot</v>
      </c>
      <c r="C3251" t="str">
        <v>Dexs</v>
      </c>
      <c r="D3251" t="str">
        <v>-</v>
      </c>
      <c r="E3251">
        <v>0</v>
      </c>
      <c r="F3251">
        <v>0</v>
      </c>
    </row>
    <row r="3252" spans="2:6" ht="15.75" customHeight="1" x14ac:dyDescent="0.25">
      <c r="B3252" t="str">
        <v>Lighter V1</v>
      </c>
      <c r="C3252" t="str">
        <v>Dexs</v>
      </c>
      <c r="D3252" t="str">
        <v>-</v>
      </c>
      <c r="E3252">
        <v>73.680872137475262</v>
      </c>
      <c r="F3252">
        <v>0</v>
      </c>
    </row>
    <row r="3253" spans="2:6" ht="15.75" customHeight="1" x14ac:dyDescent="0.25">
      <c r="B3253" t="str">
        <v>Lightning Network</v>
      </c>
      <c r="C3253" t="str">
        <v>Payments</v>
      </c>
      <c r="D3253" t="str">
        <v>-</v>
      </c>
      <c r="E3253">
        <v>479263285.69965899</v>
      </c>
      <c r="F3253">
        <v>0</v>
      </c>
    </row>
    <row r="3254" spans="2:6" ht="15.75" customHeight="1" x14ac:dyDescent="0.25">
      <c r="B3254" t="str">
        <v>Lila Finance</v>
      </c>
      <c r="C3254" t="str">
        <v>Lending</v>
      </c>
      <c r="D3254" t="str">
        <v>LILA</v>
      </c>
      <c r="E3254">
        <v>307.96110244753828</v>
      </c>
      <c r="F3254">
        <v>0</v>
      </c>
    </row>
    <row r="3255" spans="2:6" ht="15.75" customHeight="1" x14ac:dyDescent="0.25">
      <c r="B3255" t="str">
        <v>Liminal</v>
      </c>
      <c r="C3255" t="str">
        <v>Basis Trading</v>
      </c>
      <c r="D3255" t="str">
        <v>-</v>
      </c>
      <c r="E3255">
        <v>19499932.579374634</v>
      </c>
      <c r="F3255">
        <v>0</v>
      </c>
    </row>
    <row r="3256" spans="2:6" ht="15.75" customHeight="1" x14ac:dyDescent="0.25">
      <c r="B3256" t="str">
        <v>Liminal Perps</v>
      </c>
      <c r="C3256" t="str">
        <v>Interface</v>
      </c>
      <c r="D3256" t="str">
        <v>-</v>
      </c>
      <c r="E3256">
        <v>0</v>
      </c>
      <c r="F3256">
        <v>0</v>
      </c>
    </row>
    <row r="3257" spans="2:6" ht="15.75" customHeight="1" x14ac:dyDescent="0.25">
      <c r="B3257" t="str">
        <v>Limitless</v>
      </c>
      <c r="C3257" t="str">
        <v>Derivatives</v>
      </c>
      <c r="D3257" t="str">
        <v>-</v>
      </c>
      <c r="E3257">
        <v>2286.3871439583672</v>
      </c>
      <c r="F3257">
        <v>0</v>
      </c>
    </row>
    <row r="3258" spans="2:6" ht="15.75" customHeight="1" x14ac:dyDescent="0.25">
      <c r="B3258" t="str">
        <v>Limitless Exchange</v>
      </c>
      <c r="C3258" t="str">
        <v>Prediction Market</v>
      </c>
      <c r="D3258" t="str">
        <v>LMTS</v>
      </c>
      <c r="E3258">
        <v>383661.11611096445</v>
      </c>
      <c r="F3258">
        <v>0</v>
      </c>
    </row>
    <row r="3259" spans="2:6" ht="15.75" customHeight="1" x14ac:dyDescent="0.25">
      <c r="B3259" t="str">
        <v>LINE Token</v>
      </c>
      <c r="C3259" t="str">
        <v>CDP</v>
      </c>
      <c r="D3259" t="str">
        <v>LINE</v>
      </c>
      <c r="E3259">
        <v>6990.4928052632267</v>
      </c>
      <c r="F3259">
        <v>0</v>
      </c>
    </row>
    <row r="3260" spans="2:6" ht="15.75" customHeight="1" x14ac:dyDescent="0.25">
      <c r="B3260" t="str">
        <v>LINE Token Rewards</v>
      </c>
      <c r="C3260" t="str">
        <v>Staking Pool</v>
      </c>
      <c r="D3260" t="str">
        <v>-</v>
      </c>
      <c r="E3260">
        <v>0</v>
      </c>
      <c r="F3260">
        <v>0</v>
      </c>
    </row>
    <row r="3261" spans="2:6" ht="15.75" customHeight="1" x14ac:dyDescent="0.25">
      <c r="B3261" t="str">
        <v>Linea Bridge</v>
      </c>
      <c r="C3261" t="str">
        <v>Canonical Bridge</v>
      </c>
      <c r="D3261" t="str">
        <v>-</v>
      </c>
      <c r="E3261">
        <v>710002188.20788825</v>
      </c>
      <c r="F3261">
        <v>0</v>
      </c>
    </row>
    <row r="3262" spans="2:6" ht="15.75" customHeight="1" x14ac:dyDescent="0.25">
      <c r="B3262" t="str">
        <v>Linear Finance</v>
      </c>
      <c r="C3262" t="str">
        <v>Derivatives</v>
      </c>
      <c r="D3262" t="str">
        <v>LINA</v>
      </c>
      <c r="E3262">
        <v>6326.1157856808522</v>
      </c>
      <c r="F3262">
        <v>191156.97872209415</v>
      </c>
    </row>
    <row r="3263" spans="2:6" ht="15.75" customHeight="1" x14ac:dyDescent="0.25">
      <c r="B3263" t="str">
        <v>LiNEAR Protocol</v>
      </c>
      <c r="C3263" t="str">
        <v>Liquid Staking</v>
      </c>
      <c r="D3263" t="str">
        <v>LNR</v>
      </c>
      <c r="E3263">
        <v>48237397.344211988</v>
      </c>
      <c r="F3263">
        <v>0</v>
      </c>
    </row>
    <row r="3264" spans="2:6" ht="15.75" customHeight="1" x14ac:dyDescent="0.25">
      <c r="B3264" t="str">
        <v>LineHub Perps</v>
      </c>
      <c r="C3264" t="str">
        <v>Derivatives</v>
      </c>
      <c r="D3264" t="str">
        <v>-</v>
      </c>
      <c r="E3264">
        <v>0</v>
      </c>
      <c r="F3264">
        <v>0</v>
      </c>
    </row>
    <row r="3265" spans="2:6" ht="15.75" customHeight="1" x14ac:dyDescent="0.25">
      <c r="B3265" t="str">
        <v>LineHub V2</v>
      </c>
      <c r="C3265" t="str">
        <v>Dexs</v>
      </c>
      <c r="D3265" t="str">
        <v>-</v>
      </c>
      <c r="E3265">
        <v>352.31505066156018</v>
      </c>
      <c r="F3265">
        <v>0</v>
      </c>
    </row>
    <row r="3266" spans="2:6" ht="15.75" customHeight="1" x14ac:dyDescent="0.25">
      <c r="B3266" t="str">
        <v>LineHub V3</v>
      </c>
      <c r="C3266" t="str">
        <v>Dexs</v>
      </c>
      <c r="D3266" t="str">
        <v>-</v>
      </c>
      <c r="E3266">
        <v>1410.8987967946737</v>
      </c>
      <c r="F3266">
        <v>0</v>
      </c>
    </row>
    <row r="3267" spans="2:6" ht="15.75" customHeight="1" x14ac:dyDescent="0.25">
      <c r="B3267" t="str">
        <v>LinkDeFi</v>
      </c>
      <c r="C3267" t="str">
        <v>Yield Aggregator</v>
      </c>
      <c r="D3267" t="str">
        <v>-</v>
      </c>
      <c r="E3267">
        <v>30.199080913030432</v>
      </c>
      <c r="F3267">
        <v>0</v>
      </c>
    </row>
    <row r="3268" spans="2:6" ht="15.75" customHeight="1" x14ac:dyDescent="0.25">
      <c r="B3268" t="str">
        <v>Linkswap</v>
      </c>
      <c r="C3268" t="str">
        <v>Dexs</v>
      </c>
      <c r="D3268" t="str">
        <v>-</v>
      </c>
      <c r="E3268">
        <v>27615.828874584564</v>
      </c>
      <c r="F3268">
        <v>0</v>
      </c>
    </row>
    <row r="3269" spans="2:6" ht="15.75" customHeight="1" x14ac:dyDescent="0.25">
      <c r="B3269" t="str">
        <v>LinqAI</v>
      </c>
      <c r="C3269" t="str">
        <v>Farm</v>
      </c>
      <c r="D3269" t="str">
        <v>LNQ</v>
      </c>
      <c r="E3269">
        <v>0</v>
      </c>
      <c r="F3269">
        <v>1397106.3733191928</v>
      </c>
    </row>
    <row r="3270" spans="2:6" ht="15.75" customHeight="1" x14ac:dyDescent="0.25">
      <c r="B3270" t="str">
        <v>Lion Commerce</v>
      </c>
      <c r="C3270" t="str">
        <v>Services</v>
      </c>
      <c r="D3270" t="str">
        <v>LION</v>
      </c>
      <c r="E3270">
        <v>0</v>
      </c>
      <c r="F3270">
        <v>0</v>
      </c>
    </row>
    <row r="3271" spans="2:6" ht="15.75" customHeight="1" x14ac:dyDescent="0.25">
      <c r="B3271" t="str">
        <v>LionDEX</v>
      </c>
      <c r="C3271" t="str">
        <v>Derivatives</v>
      </c>
      <c r="D3271" t="str">
        <v>LION</v>
      </c>
      <c r="E3271">
        <v>0.38205149385007159</v>
      </c>
      <c r="F3271">
        <v>0</v>
      </c>
    </row>
    <row r="3272" spans="2:6" ht="15.75" customHeight="1" x14ac:dyDescent="0.25">
      <c r="B3272" t="str">
        <v>Liqee</v>
      </c>
      <c r="C3272" t="str">
        <v>Lending</v>
      </c>
      <c r="D3272" t="str">
        <v>LQE</v>
      </c>
      <c r="E3272">
        <v>382.20523150935117</v>
      </c>
      <c r="F3272">
        <v>0</v>
      </c>
    </row>
    <row r="3273" spans="2:6" ht="15.75" customHeight="1" x14ac:dyDescent="0.25">
      <c r="B3273" t="str">
        <v>Liqi</v>
      </c>
      <c r="C3273" t="str">
        <v>RWA</v>
      </c>
      <c r="D3273" t="str">
        <v>-</v>
      </c>
      <c r="E3273">
        <v>105441456.89555499</v>
      </c>
      <c r="F3273">
        <v>0</v>
      </c>
    </row>
    <row r="3274" spans="2:6" ht="15.75" customHeight="1" x14ac:dyDescent="0.25">
      <c r="B3274" t="str">
        <v>Liquid Agents</v>
      </c>
      <c r="C3274" t="str">
        <v>Liquid Staking</v>
      </c>
      <c r="D3274" t="str">
        <v>-</v>
      </c>
      <c r="E3274">
        <v>9746.7678915024371</v>
      </c>
      <c r="F3274">
        <v>0</v>
      </c>
    </row>
    <row r="3275" spans="2:6" ht="15.75" customHeight="1" x14ac:dyDescent="0.25">
      <c r="B3275" t="str">
        <v>Liquid Bolt</v>
      </c>
      <c r="C3275" t="str">
        <v>Yield</v>
      </c>
      <c r="D3275" t="str">
        <v>-</v>
      </c>
      <c r="E3275">
        <v>307.2787852012969</v>
      </c>
      <c r="F3275">
        <v>0</v>
      </c>
    </row>
    <row r="3276" spans="2:6" ht="15.75" customHeight="1" x14ac:dyDescent="0.25">
      <c r="B3276" t="str">
        <v>Liquid Collective</v>
      </c>
      <c r="C3276" t="str">
        <v>Liquid Staking</v>
      </c>
      <c r="D3276" t="str">
        <v>-</v>
      </c>
      <c r="E3276">
        <v>873887114.74686158</v>
      </c>
      <c r="F3276">
        <v>0</v>
      </c>
    </row>
    <row r="3277" spans="2:6" ht="15.75" customHeight="1" x14ac:dyDescent="0.25">
      <c r="B3277" t="str">
        <v>Liquid Driver</v>
      </c>
      <c r="C3277" t="str">
        <v>Yield</v>
      </c>
      <c r="D3277" t="str">
        <v>LQDR</v>
      </c>
      <c r="E3277">
        <v>239617.11194661472</v>
      </c>
      <c r="F3277">
        <v>95245.32451275835</v>
      </c>
    </row>
    <row r="3278" spans="2:6" ht="15.75" customHeight="1" x14ac:dyDescent="0.25">
      <c r="B3278" t="str">
        <v>Liquid Finance</v>
      </c>
      <c r="C3278" t="str">
        <v>Yield</v>
      </c>
      <c r="D3278" t="str">
        <v>LIQD</v>
      </c>
      <c r="E3278">
        <v>79994.242991012012</v>
      </c>
      <c r="F3278">
        <v>0</v>
      </c>
    </row>
    <row r="3279" spans="2:6" ht="15.75" customHeight="1" x14ac:dyDescent="0.25">
      <c r="B3279" t="str">
        <v>Liquid Finance Protocol</v>
      </c>
      <c r="C3279" t="str">
        <v>Liquid Staking</v>
      </c>
      <c r="D3279" t="str">
        <v>-</v>
      </c>
      <c r="E3279">
        <v>9799.033490705222</v>
      </c>
      <c r="F3279">
        <v>0</v>
      </c>
    </row>
    <row r="3280" spans="2:6" ht="15.75" customHeight="1" x14ac:dyDescent="0.25">
      <c r="B3280" t="str">
        <v>Liquid Perps</v>
      </c>
      <c r="C3280" t="str">
        <v>Interface</v>
      </c>
      <c r="D3280" t="str">
        <v>-</v>
      </c>
      <c r="E3280">
        <v>0</v>
      </c>
      <c r="F3280">
        <v>0</v>
      </c>
    </row>
    <row r="3281" spans="2:6" ht="15.75" customHeight="1" x14ac:dyDescent="0.25">
      <c r="B3281" t="str">
        <v>Liquid Ron</v>
      </c>
      <c r="C3281" t="str">
        <v>Liquid Staking</v>
      </c>
      <c r="D3281" t="str">
        <v>-</v>
      </c>
      <c r="E3281">
        <v>852663.9471597824</v>
      </c>
      <c r="F3281">
        <v>0</v>
      </c>
    </row>
    <row r="3282" spans="2:6" ht="15.75" customHeight="1" x14ac:dyDescent="0.25">
      <c r="B3282" t="str">
        <v>LiquidCore</v>
      </c>
      <c r="C3282" t="str">
        <v>Dexs</v>
      </c>
      <c r="D3282" t="str">
        <v>LIQD</v>
      </c>
      <c r="E3282">
        <v>0</v>
      </c>
      <c r="F3282">
        <v>0</v>
      </c>
    </row>
    <row r="3283" spans="2:6" ht="15.75" customHeight="1" x14ac:dyDescent="0.25">
      <c r="B3283" t="str">
        <v>Liquidity Finance</v>
      </c>
      <c r="C3283" t="str">
        <v>Dexs</v>
      </c>
      <c r="D3283" t="str">
        <v>-</v>
      </c>
      <c r="E3283">
        <v>0</v>
      </c>
      <c r="F3283">
        <v>0</v>
      </c>
    </row>
    <row r="3284" spans="2:6" ht="15.75" customHeight="1" x14ac:dyDescent="0.25">
      <c r="B3284" t="str">
        <v>Liquidity House</v>
      </c>
      <c r="C3284" t="str">
        <v>Prediction Market</v>
      </c>
      <c r="D3284" t="str">
        <v>-</v>
      </c>
      <c r="E3284">
        <v>446588.5712180573</v>
      </c>
      <c r="F3284">
        <v>0</v>
      </c>
    </row>
    <row r="3285" spans="2:6" ht="15.75" customHeight="1" x14ac:dyDescent="0.25">
      <c r="B3285" t="str">
        <v>LiquidLaunch</v>
      </c>
      <c r="C3285" t="str">
        <v>Launchpad</v>
      </c>
      <c r="D3285" t="str">
        <v>-</v>
      </c>
      <c r="E3285">
        <v>0</v>
      </c>
      <c r="F3285">
        <v>0</v>
      </c>
    </row>
    <row r="3286" spans="2:6" ht="15.75" customHeight="1" x14ac:dyDescent="0.25">
      <c r="B3286" t="str">
        <v>LiquidLoans</v>
      </c>
      <c r="C3286" t="str">
        <v>CDP</v>
      </c>
      <c r="D3286" t="str">
        <v>LOAN</v>
      </c>
      <c r="E3286">
        <v>9095127.2369257957</v>
      </c>
      <c r="F3286">
        <v>0</v>
      </c>
    </row>
    <row r="3287" spans="2:6" ht="15.75" customHeight="1" x14ac:dyDescent="0.25">
      <c r="B3287" t="str">
        <v>LiquidMesh</v>
      </c>
      <c r="C3287" t="str">
        <v>DEX Aggregator</v>
      </c>
      <c r="D3287" t="str">
        <v>-</v>
      </c>
      <c r="E3287">
        <v>0</v>
      </c>
      <c r="F3287">
        <v>0</v>
      </c>
    </row>
    <row r="3288" spans="2:6" ht="15.75" customHeight="1" x14ac:dyDescent="0.25">
      <c r="B3288" t="str">
        <v>LiquidOps</v>
      </c>
      <c r="C3288" t="str">
        <v>Lending</v>
      </c>
      <c r="D3288" t="str">
        <v>LQD</v>
      </c>
      <c r="E3288">
        <v>45614.588487484012</v>
      </c>
      <c r="F3288">
        <v>0</v>
      </c>
    </row>
    <row r="3289" spans="2:6" ht="15.75" customHeight="1" x14ac:dyDescent="0.25">
      <c r="B3289" t="str">
        <v>Liquidrium</v>
      </c>
      <c r="C3289" t="str">
        <v>Yield</v>
      </c>
      <c r="D3289" t="str">
        <v>-</v>
      </c>
      <c r="E3289">
        <v>916.93816441673243</v>
      </c>
      <c r="F3289">
        <v>0</v>
      </c>
    </row>
    <row r="3290" spans="2:6" ht="15.75" customHeight="1" x14ac:dyDescent="0.25">
      <c r="B3290" t="str">
        <v>LiquidSwap</v>
      </c>
      <c r="C3290" t="str">
        <v>Dexs</v>
      </c>
      <c r="D3290" t="str">
        <v>LSD</v>
      </c>
      <c r="E3290">
        <v>1930556.3698330275</v>
      </c>
      <c r="F3290">
        <v>0</v>
      </c>
    </row>
    <row r="3291" spans="2:6" ht="15.75" customHeight="1" x14ac:dyDescent="0.25">
      <c r="B3291" t="str">
        <v>Liquidswap HL</v>
      </c>
      <c r="C3291" t="str">
        <v>DEX Aggregator</v>
      </c>
      <c r="D3291" t="str">
        <v>LIQD</v>
      </c>
      <c r="E3291">
        <v>0</v>
      </c>
      <c r="F3291">
        <v>0</v>
      </c>
    </row>
    <row r="3292" spans="2:6" ht="15.75" customHeight="1" x14ac:dyDescent="0.25">
      <c r="B3292" t="str">
        <v>Liquify</v>
      </c>
      <c r="C3292" t="str">
        <v>Dexs</v>
      </c>
      <c r="D3292" t="str">
        <v>Liquify</v>
      </c>
      <c r="E3292">
        <v>21.138515841485262</v>
      </c>
      <c r="F3292">
        <v>0</v>
      </c>
    </row>
    <row r="3293" spans="2:6" ht="15.75" customHeight="1" x14ac:dyDescent="0.25">
      <c r="B3293" t="str">
        <v>Liquify Protocol</v>
      </c>
      <c r="C3293" t="str">
        <v>Dexs</v>
      </c>
      <c r="D3293" t="str">
        <v>-</v>
      </c>
      <c r="E3293">
        <v>2047.9424107118086</v>
      </c>
      <c r="F3293">
        <v>0</v>
      </c>
    </row>
    <row r="3294" spans="2:6" ht="15.75" customHeight="1" x14ac:dyDescent="0.25">
      <c r="B3294" t="str">
        <v>Liquis</v>
      </c>
      <c r="C3294" t="str">
        <v>Yield</v>
      </c>
      <c r="D3294" t="str">
        <v>LIQ</v>
      </c>
      <c r="E3294">
        <v>147650.62716240349</v>
      </c>
      <c r="F3294">
        <v>0</v>
      </c>
    </row>
    <row r="3295" spans="2:6" ht="15.75" customHeight="1" x14ac:dyDescent="0.25">
      <c r="B3295" t="str">
        <v>Liquity V1</v>
      </c>
      <c r="C3295" t="str">
        <v>CDP</v>
      </c>
      <c r="D3295" t="str">
        <v>LQTY</v>
      </c>
      <c r="E3295">
        <v>244084107.13689592</v>
      </c>
      <c r="F3295">
        <v>0</v>
      </c>
    </row>
    <row r="3296" spans="2:6" ht="15.75" customHeight="1" x14ac:dyDescent="0.25">
      <c r="B3296" t="str">
        <v>Liquity V2</v>
      </c>
      <c r="C3296" t="str">
        <v>CDP</v>
      </c>
      <c r="D3296" t="str">
        <v>LQTY</v>
      </c>
      <c r="E3296">
        <v>131664435.84032533</v>
      </c>
      <c r="F3296">
        <v>0</v>
      </c>
    </row>
    <row r="3297" spans="2:6" ht="15.75" customHeight="1" x14ac:dyDescent="0.25">
      <c r="B3297" t="str">
        <v>LiquiX</v>
      </c>
      <c r="C3297" t="str">
        <v>Liquidity manager</v>
      </c>
      <c r="D3297" t="str">
        <v>-</v>
      </c>
      <c r="E3297">
        <v>10461.728530053239</v>
      </c>
      <c r="F3297">
        <v>0</v>
      </c>
    </row>
    <row r="3298" spans="2:6" ht="15.75" customHeight="1" x14ac:dyDescent="0.25">
      <c r="B3298" t="str">
        <v>Liqwid</v>
      </c>
      <c r="C3298" t="str">
        <v>Lending</v>
      </c>
      <c r="D3298" t="str">
        <v>LQ</v>
      </c>
      <c r="E3298">
        <v>43226794.167891592</v>
      </c>
      <c r="F3298">
        <v>13136558.804278865</v>
      </c>
    </row>
    <row r="3299" spans="2:6" ht="15.75" customHeight="1" x14ac:dyDescent="0.25">
      <c r="B3299" t="str">
        <v>LISA</v>
      </c>
      <c r="C3299" t="str">
        <v>Liquid Staking</v>
      </c>
      <c r="D3299" t="str">
        <v>-</v>
      </c>
      <c r="E3299">
        <v>759250.51140749932</v>
      </c>
      <c r="F3299">
        <v>0</v>
      </c>
    </row>
    <row r="3300" spans="2:6" ht="15.75" customHeight="1" x14ac:dyDescent="0.25">
      <c r="B3300" t="str">
        <v>LISA BTC LST</v>
      </c>
      <c r="C3300" t="str">
        <v>Restaked BTC</v>
      </c>
      <c r="D3300" t="str">
        <v>-</v>
      </c>
      <c r="E3300">
        <v>435052.17438385199</v>
      </c>
      <c r="F3300">
        <v>0</v>
      </c>
    </row>
    <row r="3301" spans="2:6" ht="15.75" customHeight="1" x14ac:dyDescent="0.25">
      <c r="B3301" t="str">
        <v>Lisk Bridge</v>
      </c>
      <c r="C3301" t="str">
        <v>Canonical Bridge</v>
      </c>
      <c r="D3301" t="str">
        <v>LISK</v>
      </c>
      <c r="E3301">
        <v>68485643.169371143</v>
      </c>
      <c r="F3301">
        <v>47286146.443811148</v>
      </c>
    </row>
    <row r="3302" spans="2:6" ht="15.75" customHeight="1" x14ac:dyDescent="0.25">
      <c r="B3302" t="str">
        <v>Lista CDP</v>
      </c>
      <c r="C3302" t="str">
        <v>CDP</v>
      </c>
      <c r="D3302" t="str">
        <v>LISTA</v>
      </c>
      <c r="E3302">
        <v>666171735.78799558</v>
      </c>
      <c r="F3302">
        <v>0</v>
      </c>
    </row>
    <row r="3303" spans="2:6" ht="15.75" customHeight="1" x14ac:dyDescent="0.25">
      <c r="B3303" t="str">
        <v>Lista Lending</v>
      </c>
      <c r="C3303" t="str">
        <v>Lending</v>
      </c>
      <c r="D3303" t="str">
        <v>LISTA</v>
      </c>
      <c r="E3303">
        <v>762773177.35767686</v>
      </c>
      <c r="F3303">
        <v>0</v>
      </c>
    </row>
    <row r="3304" spans="2:6" ht="15.75" customHeight="1" x14ac:dyDescent="0.25">
      <c r="B3304" t="str">
        <v>Lista Liquid Staking</v>
      </c>
      <c r="C3304" t="str">
        <v>Liquid Staking</v>
      </c>
      <c r="D3304" t="str">
        <v>LISTA</v>
      </c>
      <c r="E3304">
        <v>1031127553.9634457</v>
      </c>
      <c r="F3304">
        <v>0</v>
      </c>
    </row>
    <row r="3305" spans="2:6" ht="15.75" customHeight="1" x14ac:dyDescent="0.25">
      <c r="B3305" t="str">
        <v>Lista RWA</v>
      </c>
      <c r="C3305" t="str">
        <v>RWA</v>
      </c>
      <c r="D3305" t="str">
        <v>LISTA</v>
      </c>
      <c r="E3305">
        <v>999004.47194662632</v>
      </c>
      <c r="F3305">
        <v>0</v>
      </c>
    </row>
    <row r="3306" spans="2:6" ht="15.75" customHeight="1" x14ac:dyDescent="0.25">
      <c r="B3306" t="str">
        <v>Listapie</v>
      </c>
      <c r="C3306" t="str">
        <v>Farm</v>
      </c>
      <c r="D3306" t="str">
        <v>-</v>
      </c>
      <c r="E3306">
        <v>137919.76135185425</v>
      </c>
      <c r="F3306">
        <v>0</v>
      </c>
    </row>
    <row r="3307" spans="2:6" ht="15.75" customHeight="1" x14ac:dyDescent="0.25">
      <c r="B3307" t="str">
        <v>Lit.Trade</v>
      </c>
      <c r="C3307" t="str">
        <v>Interface</v>
      </c>
      <c r="D3307" t="str">
        <v>-</v>
      </c>
      <c r="E3307">
        <v>0</v>
      </c>
      <c r="F3307">
        <v>0</v>
      </c>
    </row>
    <row r="3308" spans="2:6" ht="15.75" customHeight="1" x14ac:dyDescent="0.25">
      <c r="B3308" t="str">
        <v>Lithos</v>
      </c>
      <c r="C3308" t="str">
        <v>Dexs</v>
      </c>
      <c r="D3308" t="str">
        <v>LITH</v>
      </c>
      <c r="E3308">
        <v>2098669.9699293138</v>
      </c>
      <c r="F3308">
        <v>0</v>
      </c>
    </row>
    <row r="3309" spans="2:6" ht="15.75" customHeight="1" x14ac:dyDescent="0.25">
      <c r="B3309" t="str">
        <v>Litx</v>
      </c>
      <c r="C3309" t="str">
        <v>Dexs</v>
      </c>
      <c r="D3309" t="str">
        <v>LitX</v>
      </c>
      <c r="E3309">
        <v>1341.0531652716984</v>
      </c>
      <c r="F3309">
        <v>0</v>
      </c>
    </row>
    <row r="3310" spans="2:6" ht="15.75" customHeight="1" x14ac:dyDescent="0.25">
      <c r="B3310" t="str">
        <v>LiveArt</v>
      </c>
      <c r="C3310" t="str">
        <v>RWA</v>
      </c>
      <c r="D3310" t="str">
        <v>ART</v>
      </c>
      <c r="E3310">
        <v>93076.707387770293</v>
      </c>
      <c r="F3310">
        <v>0</v>
      </c>
    </row>
    <row r="3311" spans="2:6" ht="15.75" customHeight="1" x14ac:dyDescent="0.25">
      <c r="B3311" t="str">
        <v>Livepeer</v>
      </c>
      <c r="C3311" t="str">
        <v>Video Infrastructure</v>
      </c>
      <c r="D3311" t="str">
        <v>LPT</v>
      </c>
      <c r="E3311">
        <v>0</v>
      </c>
      <c r="F3311">
        <v>0</v>
      </c>
    </row>
    <row r="3312" spans="2:6" ht="15.75" customHeight="1" x14ac:dyDescent="0.25">
      <c r="B3312" t="str">
        <v>Lixir Finance</v>
      </c>
      <c r="C3312" t="str">
        <v>Liquidity manager</v>
      </c>
      <c r="D3312" t="str">
        <v>LIX</v>
      </c>
      <c r="E3312">
        <v>121485.23908796335</v>
      </c>
      <c r="F3312">
        <v>2.2310155611950325E-29</v>
      </c>
    </row>
    <row r="3313" spans="2:6" ht="15.75" customHeight="1" x14ac:dyDescent="0.25">
      <c r="B3313" t="str">
        <v>Lizard</v>
      </c>
      <c r="C3313" t="str">
        <v>Dexs</v>
      </c>
      <c r="D3313" t="str">
        <v>LIZ</v>
      </c>
      <c r="E3313">
        <v>876.65108561379316</v>
      </c>
      <c r="F3313">
        <v>0</v>
      </c>
    </row>
    <row r="3314" spans="2:6" ht="15.75" customHeight="1" x14ac:dyDescent="0.25">
      <c r="B3314" t="str">
        <v>Llama Airforce</v>
      </c>
      <c r="C3314" t="str">
        <v>Yield</v>
      </c>
      <c r="D3314" t="str">
        <v>-</v>
      </c>
      <c r="E3314">
        <v>5559838.4266956495</v>
      </c>
      <c r="F3314">
        <v>0</v>
      </c>
    </row>
    <row r="3315" spans="2:6" ht="15.75" customHeight="1" x14ac:dyDescent="0.25">
      <c r="B3315" t="str">
        <v>Llamalend</v>
      </c>
      <c r="C3315" t="str">
        <v>NFT Lending</v>
      </c>
      <c r="D3315" t="str">
        <v>-</v>
      </c>
      <c r="E3315">
        <v>27719.508643350611</v>
      </c>
      <c r="F3315">
        <v>0</v>
      </c>
    </row>
    <row r="3316" spans="2:6" ht="15.75" customHeight="1" x14ac:dyDescent="0.25">
      <c r="B3316" t="str">
        <v>LlamaPay</v>
      </c>
      <c r="C3316" t="str">
        <v>Payments</v>
      </c>
      <c r="D3316" t="str">
        <v>-</v>
      </c>
      <c r="E3316">
        <v>1359624.6923330622</v>
      </c>
      <c r="F3316">
        <v>0</v>
      </c>
    </row>
    <row r="3317" spans="2:6" ht="15.75" customHeight="1" x14ac:dyDescent="0.25">
      <c r="B3317" t="str">
        <v>LlamaRisk</v>
      </c>
      <c r="C3317" t="str">
        <v>Risk Curators</v>
      </c>
      <c r="D3317" t="str">
        <v>-</v>
      </c>
      <c r="E3317">
        <v>9887.1140429595616</v>
      </c>
      <c r="F3317">
        <v>0</v>
      </c>
    </row>
    <row r="3318" spans="2:6" ht="15.75" customHeight="1" x14ac:dyDescent="0.25">
      <c r="B3318" t="str">
        <v>LlamaSwap</v>
      </c>
      <c r="C3318" t="str">
        <v>DEX Aggregator</v>
      </c>
      <c r="D3318" t="str">
        <v>-</v>
      </c>
      <c r="E3318">
        <v>0</v>
      </c>
      <c r="F3318">
        <v>0</v>
      </c>
    </row>
    <row r="3319" spans="2:6" ht="15.75" customHeight="1" x14ac:dyDescent="0.25">
      <c r="B3319" t="str">
        <v>LN Exchange Perps</v>
      </c>
      <c r="C3319" t="str">
        <v>Derivatives</v>
      </c>
      <c r="D3319" t="str">
        <v>-</v>
      </c>
      <c r="E3319">
        <v>0</v>
      </c>
      <c r="F3319">
        <v>0</v>
      </c>
    </row>
    <row r="3320" spans="2:6" ht="15.75" customHeight="1" x14ac:dyDescent="0.25">
      <c r="B3320" t="str">
        <v>LN Exchange Spot</v>
      </c>
      <c r="C3320" t="str">
        <v>Dexs</v>
      </c>
      <c r="D3320" t="str">
        <v>-</v>
      </c>
      <c r="E3320">
        <v>0</v>
      </c>
      <c r="F3320">
        <v>0</v>
      </c>
    </row>
    <row r="3321" spans="2:6" ht="15.75" customHeight="1" x14ac:dyDescent="0.25">
      <c r="B3321" t="str">
        <v>LND</v>
      </c>
      <c r="C3321" t="str">
        <v>Lending</v>
      </c>
      <c r="D3321" t="str">
        <v>-</v>
      </c>
      <c r="E3321">
        <v>1.7092905981983391</v>
      </c>
      <c r="F3321">
        <v>0</v>
      </c>
    </row>
    <row r="3322" spans="2:6" ht="15.75" customHeight="1" x14ac:dyDescent="0.25">
      <c r="B3322" t="str">
        <v>LNS</v>
      </c>
      <c r="C3322" t="str">
        <v>Dexs</v>
      </c>
      <c r="D3322" t="str">
        <v>LNS</v>
      </c>
      <c r="E3322">
        <v>0</v>
      </c>
      <c r="F3322">
        <v>0</v>
      </c>
    </row>
    <row r="3323" spans="2:6" ht="15.75" customHeight="1" x14ac:dyDescent="0.25">
      <c r="B3323" t="str">
        <v>Loanshark Core</v>
      </c>
      <c r="C3323" t="str">
        <v>Lending</v>
      </c>
      <c r="D3323" t="str">
        <v>-</v>
      </c>
      <c r="E3323">
        <v>12668.130511197678</v>
      </c>
      <c r="F3323">
        <v>0</v>
      </c>
    </row>
    <row r="3324" spans="2:6" ht="15.75" customHeight="1" x14ac:dyDescent="0.25">
      <c r="B3324" t="str">
        <v>LobbyFi</v>
      </c>
      <c r="C3324" t="str">
        <v>Governance Incentives</v>
      </c>
      <c r="D3324" t="str">
        <v>-</v>
      </c>
      <c r="E3324">
        <v>0</v>
      </c>
      <c r="F3324">
        <v>0</v>
      </c>
    </row>
    <row r="3325" spans="2:6" ht="15.75" customHeight="1" x14ac:dyDescent="0.25">
      <c r="B3325" t="str">
        <v>Lobis</v>
      </c>
      <c r="C3325" t="str">
        <v>Reserve Currency</v>
      </c>
      <c r="D3325" t="str">
        <v>LOBI</v>
      </c>
      <c r="E3325">
        <v>0</v>
      </c>
      <c r="F3325">
        <v>0</v>
      </c>
    </row>
    <row r="3326" spans="2:6" ht="15.75" customHeight="1" x14ac:dyDescent="0.25">
      <c r="B3326" t="str">
        <v>Lobster Protocol</v>
      </c>
      <c r="C3326" t="str">
        <v>Yield Aggregator</v>
      </c>
      <c r="D3326" t="str">
        <v>-</v>
      </c>
      <c r="E3326">
        <v>11059.138784058332</v>
      </c>
      <c r="F3326">
        <v>0</v>
      </c>
    </row>
    <row r="3327" spans="2:6" ht="15.75" customHeight="1" x14ac:dyDescent="0.25">
      <c r="B3327" t="str">
        <v>Lockless Protocol</v>
      </c>
      <c r="C3327" t="str">
        <v>Liquid Staking</v>
      </c>
      <c r="D3327" t="str">
        <v>-ESS</v>
      </c>
      <c r="E3327">
        <v>1193.4517364059866</v>
      </c>
      <c r="F3327">
        <v>0</v>
      </c>
    </row>
    <row r="3328" spans="2:6" ht="15.75" customHeight="1" x14ac:dyDescent="0.25">
      <c r="B3328" t="str">
        <v>LOCKON</v>
      </c>
      <c r="C3328" t="str">
        <v>Indexes</v>
      </c>
      <c r="D3328" t="str">
        <v>-</v>
      </c>
      <c r="E3328">
        <v>1428163.8327451181</v>
      </c>
      <c r="F3328">
        <v>0</v>
      </c>
    </row>
    <row r="3329" spans="2:6" ht="15.75" customHeight="1" x14ac:dyDescent="0.25">
      <c r="B3329" t="str">
        <v>Locus Finance</v>
      </c>
      <c r="C3329" t="str">
        <v>Yield</v>
      </c>
      <c r="D3329" t="str">
        <v>LOCUS</v>
      </c>
      <c r="E3329">
        <v>63861.205639802385</v>
      </c>
      <c r="F3329">
        <v>0</v>
      </c>
    </row>
    <row r="3330" spans="2:6" ht="15.75" customHeight="1" x14ac:dyDescent="0.25">
      <c r="B3330" t="str">
        <v>LODE</v>
      </c>
      <c r="C3330" t="str">
        <v>Interface</v>
      </c>
      <c r="D3330" t="str">
        <v>-</v>
      </c>
      <c r="E3330">
        <v>0</v>
      </c>
      <c r="F3330">
        <v>0</v>
      </c>
    </row>
    <row r="3331" spans="2:6" ht="15.75" customHeight="1" x14ac:dyDescent="0.25">
      <c r="B3331" t="str">
        <v>Lodestar V0</v>
      </c>
      <c r="C3331" t="str">
        <v>Lending</v>
      </c>
      <c r="D3331" t="str">
        <v>LODE</v>
      </c>
      <c r="E3331">
        <v>7607.2436100075747</v>
      </c>
      <c r="F3331">
        <v>0</v>
      </c>
    </row>
    <row r="3332" spans="2:6" ht="15.75" customHeight="1" x14ac:dyDescent="0.25">
      <c r="B3332" t="str">
        <v>Lodestar V1</v>
      </c>
      <c r="C3332" t="str">
        <v>Lending</v>
      </c>
      <c r="D3332" t="str">
        <v>LODE</v>
      </c>
      <c r="E3332">
        <v>196602.44801137166</v>
      </c>
      <c r="F3332">
        <v>0</v>
      </c>
    </row>
    <row r="3333" spans="2:6" ht="15.75" customHeight="1" x14ac:dyDescent="0.25">
      <c r="B3333" t="str">
        <v>Lofty</v>
      </c>
      <c r="C3333" t="str">
        <v>RWA</v>
      </c>
      <c r="D3333" t="str">
        <v>-</v>
      </c>
      <c r="E3333">
        <v>99119281.786796629</v>
      </c>
      <c r="F3333">
        <v>0</v>
      </c>
    </row>
    <row r="3334" spans="2:6" ht="15.75" customHeight="1" x14ac:dyDescent="0.25">
      <c r="B3334" t="str">
        <v>Logium</v>
      </c>
      <c r="C3334" t="str">
        <v>Derivatives</v>
      </c>
      <c r="D3334" t="str">
        <v>-</v>
      </c>
      <c r="E3334">
        <v>6382.713318602222</v>
      </c>
      <c r="F3334">
        <v>0</v>
      </c>
    </row>
    <row r="3335" spans="2:6" ht="15.75" customHeight="1" x14ac:dyDescent="0.25">
      <c r="B3335" t="str">
        <v>LogX V1</v>
      </c>
      <c r="C3335" t="str">
        <v>Derivatives</v>
      </c>
      <c r="D3335" t="str">
        <v>LOGX</v>
      </c>
      <c r="E3335">
        <v>1241.2523389367168</v>
      </c>
      <c r="F3335">
        <v>0</v>
      </c>
    </row>
    <row r="3336" spans="2:6" ht="15.75" customHeight="1" x14ac:dyDescent="0.25">
      <c r="B3336" t="str">
        <v>LogX V2</v>
      </c>
      <c r="C3336" t="str">
        <v>Derivatives</v>
      </c>
      <c r="D3336" t="str">
        <v>LOGX</v>
      </c>
      <c r="E3336">
        <v>49.592242712245408</v>
      </c>
      <c r="F3336">
        <v>0</v>
      </c>
    </row>
    <row r="3337" spans="2:6" ht="15.75" customHeight="1" x14ac:dyDescent="0.25">
      <c r="B3337" t="str">
        <v>Lolik Liquid Staking</v>
      </c>
      <c r="C3337" t="str">
        <v>Liquid Staking</v>
      </c>
      <c r="D3337" t="str">
        <v>-</v>
      </c>
      <c r="E3337">
        <v>29278837.511634588</v>
      </c>
      <c r="F3337">
        <v>0</v>
      </c>
    </row>
    <row r="3338" spans="2:6" ht="15.75" customHeight="1" x14ac:dyDescent="0.25">
      <c r="B3338" t="str">
        <v>LolPad Finance</v>
      </c>
      <c r="C3338" t="str">
        <v>Dexs</v>
      </c>
      <c r="D3338" t="str">
        <v>-</v>
      </c>
      <c r="E3338">
        <v>3.9316876259940776</v>
      </c>
      <c r="F3338">
        <v>0</v>
      </c>
    </row>
    <row r="3339" spans="2:6" ht="15.75" customHeight="1" x14ac:dyDescent="0.25">
      <c r="B3339" t="str">
        <v>Lombard BTC.b</v>
      </c>
      <c r="C3339" t="str">
        <v>Bridge</v>
      </c>
      <c r="D3339" t="str">
        <v>-</v>
      </c>
      <c r="E3339">
        <v>362667748.45297033</v>
      </c>
      <c r="F3339">
        <v>0</v>
      </c>
    </row>
    <row r="3340" spans="2:6" ht="15.75" customHeight="1" x14ac:dyDescent="0.25">
      <c r="B3340" t="str">
        <v>Lombard LBTC</v>
      </c>
      <c r="C3340" t="str">
        <v>Restaked BTC</v>
      </c>
      <c r="D3340" t="str">
        <v>-</v>
      </c>
      <c r="E3340">
        <v>979131012.85939765</v>
      </c>
      <c r="F3340">
        <v>0</v>
      </c>
    </row>
    <row r="3341" spans="2:6" ht="15.75" customHeight="1" x14ac:dyDescent="0.25">
      <c r="B3341" t="str">
        <v>Lombard Vaults</v>
      </c>
      <c r="C3341" t="str">
        <v>Onchain Capital Allocator</v>
      </c>
      <c r="D3341" t="str">
        <v>-</v>
      </c>
      <c r="E3341">
        <v>29456451.262995142</v>
      </c>
      <c r="F3341">
        <v>0</v>
      </c>
    </row>
    <row r="3342" spans="2:6" ht="15.75" customHeight="1" x14ac:dyDescent="0.25">
      <c r="B3342" t="str">
        <v>Longdrink</v>
      </c>
      <c r="C3342" t="str">
        <v>Indexes</v>
      </c>
      <c r="D3342" t="str">
        <v>LONG</v>
      </c>
      <c r="E3342">
        <v>0</v>
      </c>
      <c r="F3342">
        <v>1738.6805190551922</v>
      </c>
    </row>
    <row r="3343" spans="2:6" ht="15.75" customHeight="1" x14ac:dyDescent="0.25">
      <c r="B3343" t="str">
        <v>LooksRare</v>
      </c>
      <c r="C3343" t="str">
        <v>NFT Marketplace</v>
      </c>
      <c r="D3343" t="str">
        <v>LOOKS</v>
      </c>
      <c r="E3343">
        <v>0</v>
      </c>
      <c r="F3343">
        <v>1197455.5310887361</v>
      </c>
    </row>
    <row r="3344" spans="2:6" ht="15.75" customHeight="1" x14ac:dyDescent="0.25">
      <c r="B3344" t="str">
        <v>Loop</v>
      </c>
      <c r="C3344" t="str">
        <v>Leveraged Farming</v>
      </c>
      <c r="D3344" t="str">
        <v>-</v>
      </c>
      <c r="E3344">
        <v>1177574.3057642351</v>
      </c>
      <c r="F3344">
        <v>0</v>
      </c>
    </row>
    <row r="3345" spans="2:6" ht="15.75" customHeight="1" x14ac:dyDescent="0.25">
      <c r="B3345" t="str">
        <v>Loop Finance</v>
      </c>
      <c r="C3345" t="str">
        <v>Dexs</v>
      </c>
      <c r="D3345" t="str">
        <v>LOOP</v>
      </c>
      <c r="E3345">
        <v>13678.985020789143</v>
      </c>
      <c r="F3345">
        <v>190850.75564445637</v>
      </c>
    </row>
    <row r="3346" spans="2:6" ht="15.75" customHeight="1" x14ac:dyDescent="0.25">
      <c r="B3346" t="str">
        <v>Looped Hype</v>
      </c>
      <c r="C3346" t="str">
        <v>Yield</v>
      </c>
      <c r="D3346" t="str">
        <v>LHYPE</v>
      </c>
      <c r="E3346">
        <v>24400572.892323155</v>
      </c>
      <c r="F3346">
        <v>24150998.977557894</v>
      </c>
    </row>
    <row r="3347" spans="2:6" ht="15.75" customHeight="1" x14ac:dyDescent="0.25">
      <c r="B3347" t="str">
        <v>Loopring</v>
      </c>
      <c r="C3347" t="str">
        <v>Dexs</v>
      </c>
      <c r="D3347" t="str">
        <v>LRC</v>
      </c>
      <c r="E3347">
        <v>17172514.558301445</v>
      </c>
      <c r="F3347">
        <v>65277861.341685548</v>
      </c>
    </row>
    <row r="3348" spans="2:6" ht="15.75" customHeight="1" x14ac:dyDescent="0.25">
      <c r="B3348" t="str">
        <v>Loopscale</v>
      </c>
      <c r="C3348" t="str">
        <v>Lending</v>
      </c>
      <c r="D3348" t="str">
        <v>-</v>
      </c>
      <c r="E3348">
        <v>98819385.970338345</v>
      </c>
      <c r="F3348">
        <v>0</v>
      </c>
    </row>
    <row r="3349" spans="2:6" ht="15.75" customHeight="1" x14ac:dyDescent="0.25">
      <c r="B3349" t="str">
        <v>Loot  DAO</v>
      </c>
      <c r="C3349" t="str">
        <v>Services</v>
      </c>
      <c r="D3349" t="str">
        <v>LOOT</v>
      </c>
      <c r="E3349">
        <v>0</v>
      </c>
      <c r="F3349">
        <v>0</v>
      </c>
    </row>
    <row r="3350" spans="2:6" ht="15.75" customHeight="1" x14ac:dyDescent="0.25">
      <c r="B3350" t="str">
        <v>Lootbase</v>
      </c>
      <c r="C3350" t="str">
        <v>Interface</v>
      </c>
      <c r="D3350" t="str">
        <v>-</v>
      </c>
      <c r="E3350">
        <v>0</v>
      </c>
      <c r="F3350">
        <v>0</v>
      </c>
    </row>
    <row r="3351" spans="2:6" ht="15.75" customHeight="1" x14ac:dyDescent="0.25">
      <c r="B3351" t="str">
        <v>Looter</v>
      </c>
      <c r="C3351" t="str">
        <v>Trading App</v>
      </c>
      <c r="D3351" t="str">
        <v>LOOTER</v>
      </c>
      <c r="E3351">
        <v>0</v>
      </c>
      <c r="F3351">
        <v>88688.751724456059</v>
      </c>
    </row>
    <row r="3352" spans="2:6" ht="15.75" customHeight="1" x14ac:dyDescent="0.25">
      <c r="B3352" t="str">
        <v>LootSwap</v>
      </c>
      <c r="C3352" t="str">
        <v>Dexs</v>
      </c>
      <c r="D3352" t="str">
        <v>LOOT</v>
      </c>
      <c r="E3352">
        <v>11207.296265052595</v>
      </c>
      <c r="F3352">
        <v>0</v>
      </c>
    </row>
    <row r="3353" spans="2:6" ht="15.75" customHeight="1" x14ac:dyDescent="0.25">
      <c r="B3353" t="str">
        <v>Lore Finance</v>
      </c>
      <c r="C3353" t="str">
        <v>Lending</v>
      </c>
      <c r="D3353" t="str">
        <v>LORE</v>
      </c>
      <c r="E3353">
        <v>7682.9587882577198</v>
      </c>
      <c r="F3353">
        <v>0</v>
      </c>
    </row>
    <row r="3354" spans="2:6" ht="15.75" customHeight="1" x14ac:dyDescent="0.25">
      <c r="B3354" t="str">
        <v>Lorenzo enzoBTC</v>
      </c>
      <c r="C3354" t="str">
        <v>Bridge</v>
      </c>
      <c r="D3354" t="str">
        <v>-</v>
      </c>
      <c r="E3354">
        <v>589826867.06631374</v>
      </c>
      <c r="F3354">
        <v>0</v>
      </c>
    </row>
    <row r="3355" spans="2:6" ht="15.75" customHeight="1" x14ac:dyDescent="0.25">
      <c r="B3355" t="str">
        <v>Lorenzo stBTC</v>
      </c>
      <c r="C3355" t="str">
        <v>Restaked BTC</v>
      </c>
      <c r="D3355" t="str">
        <v>-</v>
      </c>
      <c r="E3355">
        <v>9278517.9309115</v>
      </c>
      <c r="F3355">
        <v>0</v>
      </c>
    </row>
    <row r="3356" spans="2:6" ht="15.75" customHeight="1" x14ac:dyDescent="0.25">
      <c r="B3356" t="str">
        <v>Lorenzo sUSD1+</v>
      </c>
      <c r="C3356" t="str">
        <v>Yield</v>
      </c>
      <c r="D3356" t="str">
        <v>-</v>
      </c>
      <c r="E3356">
        <v>82359992.448381573</v>
      </c>
      <c r="F3356">
        <v>0</v>
      </c>
    </row>
    <row r="3357" spans="2:6" ht="15.75" customHeight="1" x14ac:dyDescent="0.25">
      <c r="B3357" t="str">
        <v>Loreum</v>
      </c>
      <c r="C3357" t="str">
        <v>Services</v>
      </c>
      <c r="D3357" t="str">
        <v>-</v>
      </c>
      <c r="E3357">
        <v>0</v>
      </c>
      <c r="F3357">
        <v>0</v>
      </c>
    </row>
    <row r="3358" spans="2:6" ht="15.75" customHeight="1" x14ac:dyDescent="0.25">
      <c r="B3358" t="str">
        <v>LoTerra</v>
      </c>
      <c r="C3358" t="str">
        <v>Prediction Market</v>
      </c>
      <c r="D3358" t="str">
        <v>LOTA</v>
      </c>
      <c r="E3358">
        <v>0</v>
      </c>
      <c r="F3358">
        <v>0</v>
      </c>
    </row>
    <row r="3359" spans="2:6" ht="15.75" customHeight="1" x14ac:dyDescent="0.25">
      <c r="B3359" t="str">
        <v>Lotus Finance</v>
      </c>
      <c r="C3359" t="str">
        <v>Yield</v>
      </c>
      <c r="D3359" t="str">
        <v>-</v>
      </c>
      <c r="E3359">
        <v>0</v>
      </c>
      <c r="F3359">
        <v>0</v>
      </c>
    </row>
    <row r="3360" spans="2:6" ht="15.75" customHeight="1" x14ac:dyDescent="0.25">
      <c r="B3360" t="str">
        <v>LotusDex V2</v>
      </c>
      <c r="C3360" t="str">
        <v>Dexs</v>
      </c>
      <c r="D3360" t="str">
        <v>-</v>
      </c>
      <c r="E3360">
        <v>17.295146865972956</v>
      </c>
      <c r="F3360">
        <v>0</v>
      </c>
    </row>
    <row r="3361" spans="2:6" ht="15.75" customHeight="1" x14ac:dyDescent="0.25">
      <c r="B3361" t="str">
        <v>Louverture</v>
      </c>
      <c r="C3361" t="str">
        <v>Yield</v>
      </c>
      <c r="D3361" t="str">
        <v>LVT</v>
      </c>
      <c r="E3361">
        <v>0</v>
      </c>
      <c r="F3361">
        <v>0</v>
      </c>
    </row>
    <row r="3362" spans="2:6" ht="15.75" customHeight="1" x14ac:dyDescent="0.25">
      <c r="B3362" t="str">
        <v>Love.io</v>
      </c>
      <c r="C3362" t="str">
        <v>SoFi</v>
      </c>
      <c r="D3362" t="str">
        <v>LOVE</v>
      </c>
      <c r="E3362">
        <v>0</v>
      </c>
      <c r="F3362">
        <v>0</v>
      </c>
    </row>
    <row r="3363" spans="2:6" ht="15.75" customHeight="1" x14ac:dyDescent="0.25">
      <c r="B3363" t="str">
        <v>Lovely Swap</v>
      </c>
      <c r="C3363" t="str">
        <v>Dexs</v>
      </c>
      <c r="D3363" t="str">
        <v>-</v>
      </c>
      <c r="E3363">
        <v>343.77092014946817</v>
      </c>
      <c r="F3363">
        <v>0</v>
      </c>
    </row>
    <row r="3364" spans="2:6" ht="15.75" customHeight="1" x14ac:dyDescent="0.25">
      <c r="B3364" t="str">
        <v>LowcostSwap</v>
      </c>
      <c r="C3364" t="str">
        <v>Yield</v>
      </c>
      <c r="D3364" t="str">
        <v>LOWCOST</v>
      </c>
      <c r="E3364">
        <v>2338.8426271452786</v>
      </c>
      <c r="F3364">
        <v>0</v>
      </c>
    </row>
    <row r="3365" spans="2:6" ht="15.75" customHeight="1" x14ac:dyDescent="0.25">
      <c r="B3365" t="str">
        <v>Loxodrome AMM</v>
      </c>
      <c r="C3365" t="str">
        <v>Dexs</v>
      </c>
      <c r="D3365" t="str">
        <v>-</v>
      </c>
      <c r="E3365">
        <v>89562.209616599386</v>
      </c>
      <c r="F3365">
        <v>0</v>
      </c>
    </row>
    <row r="3366" spans="2:6" ht="15.75" customHeight="1" x14ac:dyDescent="0.25">
      <c r="B3366" t="str">
        <v>Loxodrome Perp</v>
      </c>
      <c r="C3366" t="str">
        <v>Derivatives</v>
      </c>
      <c r="D3366" t="str">
        <v>-</v>
      </c>
      <c r="E3366">
        <v>1984.0182487719951</v>
      </c>
      <c r="F3366">
        <v>0</v>
      </c>
    </row>
    <row r="3367" spans="2:6" ht="15.75" customHeight="1" x14ac:dyDescent="0.25">
      <c r="B3367" t="str">
        <v>lpETH</v>
      </c>
      <c r="C3367" t="str">
        <v>Dexs</v>
      </c>
      <c r="D3367" t="str">
        <v>-</v>
      </c>
      <c r="E3367">
        <v>794064.72127878456</v>
      </c>
      <c r="F3367">
        <v>0</v>
      </c>
    </row>
    <row r="3368" spans="2:6" ht="15.75" customHeight="1" x14ac:dyDescent="0.25">
      <c r="B3368" t="str">
        <v>LSDx ETHx</v>
      </c>
      <c r="C3368" t="str">
        <v>Indexes</v>
      </c>
      <c r="D3368" t="str">
        <v>LSD</v>
      </c>
      <c r="E3368">
        <v>157046.43749424678</v>
      </c>
      <c r="F3368">
        <v>0</v>
      </c>
    </row>
    <row r="3369" spans="2:6" ht="15.75" customHeight="1" x14ac:dyDescent="0.25">
      <c r="B3369" t="str">
        <v>LSDx Farm</v>
      </c>
      <c r="C3369" t="str">
        <v>Farm</v>
      </c>
      <c r="D3369" t="str">
        <v>LSD</v>
      </c>
      <c r="E3369">
        <v>3097.9929623270891</v>
      </c>
      <c r="F3369">
        <v>0</v>
      </c>
    </row>
    <row r="3370" spans="2:6" ht="15.75" customHeight="1" x14ac:dyDescent="0.25">
      <c r="B3370" t="str">
        <v>LSP.Finance</v>
      </c>
      <c r="C3370" t="str">
        <v>Staking Pool</v>
      </c>
      <c r="D3370" t="str">
        <v>-</v>
      </c>
      <c r="E3370">
        <v>203461.02509820412</v>
      </c>
      <c r="F3370">
        <v>0</v>
      </c>
    </row>
    <row r="3371" spans="2:6" ht="15.75" customHeight="1" x14ac:dyDescent="0.25">
      <c r="B3371" t="str">
        <v>LST Optimizer</v>
      </c>
      <c r="C3371" t="str">
        <v>Liquid Staking</v>
      </c>
      <c r="D3371" t="str">
        <v>-</v>
      </c>
      <c r="E3371">
        <v>319.82326556156499</v>
      </c>
      <c r="F3371">
        <v>0</v>
      </c>
    </row>
    <row r="3372" spans="2:6" ht="15.75" customHeight="1" x14ac:dyDescent="0.25">
      <c r="B3372" t="str">
        <v>LuaSwap</v>
      </c>
      <c r="C3372" t="str">
        <v>Dexs</v>
      </c>
      <c r="D3372" t="str">
        <v>LUA</v>
      </c>
      <c r="E3372">
        <v>122424.51912383919</v>
      </c>
      <c r="F3372">
        <v>0</v>
      </c>
    </row>
    <row r="3373" spans="2:6" ht="15.75" customHeight="1" x14ac:dyDescent="0.25">
      <c r="B3373" t="str">
        <v>Luchadores</v>
      </c>
      <c r="C3373" t="str">
        <v>Gaming</v>
      </c>
      <c r="D3373" t="str">
        <v>LUCHA</v>
      </c>
      <c r="E3373">
        <v>0</v>
      </c>
      <c r="F3373">
        <v>202226.58077277945</v>
      </c>
    </row>
    <row r="3374" spans="2:6" ht="15.75" customHeight="1" x14ac:dyDescent="0.25">
      <c r="B3374" t="str">
        <v>Lucidly Finance</v>
      </c>
      <c r="C3374" t="str">
        <v>Yield</v>
      </c>
      <c r="D3374" t="str">
        <v>-</v>
      </c>
      <c r="E3374">
        <v>109550.96851442281</v>
      </c>
      <c r="F3374">
        <v>0</v>
      </c>
    </row>
    <row r="3375" spans="2:6" ht="15.75" customHeight="1" x14ac:dyDescent="0.25">
      <c r="B3375" t="str">
        <v>Lucky Peaches</v>
      </c>
      <c r="C3375" t="str">
        <v>Lending</v>
      </c>
      <c r="D3375" t="str">
        <v>-</v>
      </c>
      <c r="E3375">
        <v>150.19294040601835</v>
      </c>
      <c r="F3375">
        <v>0</v>
      </c>
    </row>
    <row r="3376" spans="2:6" ht="15.75" customHeight="1" x14ac:dyDescent="0.25">
      <c r="B3376" t="str">
        <v>LuckyChip</v>
      </c>
      <c r="C3376" t="str">
        <v>Luck Games</v>
      </c>
      <c r="D3376" t="str">
        <v>LC</v>
      </c>
      <c r="E3376">
        <v>788.13757552288905</v>
      </c>
      <c r="F3376">
        <v>0</v>
      </c>
    </row>
    <row r="3377" spans="2:6" ht="15.75" customHeight="1" x14ac:dyDescent="0.25">
      <c r="B3377" t="str">
        <v>LuckyFuture</v>
      </c>
      <c r="C3377" t="str">
        <v>Derivatives</v>
      </c>
      <c r="D3377" t="str">
        <v>-</v>
      </c>
      <c r="E3377">
        <v>3690097.8095830181</v>
      </c>
      <c r="F3377">
        <v>0</v>
      </c>
    </row>
    <row r="3378" spans="2:6" ht="15.75" customHeight="1" x14ac:dyDescent="0.25">
      <c r="B3378" t="str">
        <v>LuckyStake.app</v>
      </c>
      <c r="C3378" t="str">
        <v>Yield Lottery</v>
      </c>
      <c r="D3378" t="str">
        <v>-</v>
      </c>
      <c r="E3378">
        <v>499.88600031058326</v>
      </c>
      <c r="F3378">
        <v>0</v>
      </c>
    </row>
    <row r="3379" spans="2:6" ht="15.75" customHeight="1" x14ac:dyDescent="0.25">
      <c r="B3379" t="str">
        <v>LuigiSwap</v>
      </c>
      <c r="C3379" t="str">
        <v>Dexs</v>
      </c>
      <c r="D3379" t="str">
        <v>LUIGI</v>
      </c>
      <c r="E3379">
        <v>644834.17064938939</v>
      </c>
      <c r="F3379">
        <v>0</v>
      </c>
    </row>
    <row r="3380" spans="2:6" ht="15.75" customHeight="1" x14ac:dyDescent="0.25">
      <c r="B3380" t="str">
        <v>Lulo</v>
      </c>
      <c r="C3380" t="str">
        <v>Yield Aggregator</v>
      </c>
      <c r="D3380" t="str">
        <v>-</v>
      </c>
      <c r="E3380">
        <v>95771386.933497101</v>
      </c>
      <c r="F3380">
        <v>0</v>
      </c>
    </row>
    <row r="3381" spans="2:6" ht="15.75" customHeight="1" x14ac:dyDescent="0.25">
      <c r="B3381" t="str">
        <v>Lume Finance</v>
      </c>
      <c r="C3381" t="str">
        <v>Farm</v>
      </c>
      <c r="D3381" t="str">
        <v>LUME</v>
      </c>
      <c r="E3381">
        <v>238.32315273672401</v>
      </c>
      <c r="F3381">
        <v>0</v>
      </c>
    </row>
    <row r="3382" spans="2:6" ht="15.75" customHeight="1" x14ac:dyDescent="0.25">
      <c r="B3382" t="str">
        <v>Lumen Money</v>
      </c>
      <c r="C3382" t="str">
        <v>Lending</v>
      </c>
      <c r="D3382" t="str">
        <v>-</v>
      </c>
      <c r="E3382">
        <v>10373.077853643052</v>
      </c>
      <c r="F3382">
        <v>0</v>
      </c>
    </row>
    <row r="3383" spans="2:6" ht="15.75" customHeight="1" x14ac:dyDescent="0.25">
      <c r="B3383" t="str">
        <v>LumenSwap</v>
      </c>
      <c r="C3383" t="str">
        <v>Dexs</v>
      </c>
      <c r="D3383" t="str">
        <v>LSP</v>
      </c>
      <c r="E3383">
        <v>11821008.04618196</v>
      </c>
      <c r="F3383">
        <v>0</v>
      </c>
    </row>
    <row r="3384" spans="2:6" ht="15.75" customHeight="1" x14ac:dyDescent="0.25">
      <c r="B3384" t="str">
        <v>Lumi Finance</v>
      </c>
      <c r="C3384" t="str">
        <v>Algo-Stables</v>
      </c>
      <c r="D3384" t="str">
        <v>LUA</v>
      </c>
      <c r="E3384">
        <v>1179774.5736226998</v>
      </c>
      <c r="F3384">
        <v>0</v>
      </c>
    </row>
    <row r="3385" spans="2:6" ht="15.75" customHeight="1" x14ac:dyDescent="0.25">
      <c r="B3385" t="str">
        <v>Lumin Finance</v>
      </c>
      <c r="C3385" t="str">
        <v>Lending</v>
      </c>
      <c r="D3385" t="str">
        <v>LUMIN</v>
      </c>
      <c r="E3385">
        <v>0</v>
      </c>
      <c r="F3385">
        <v>0</v>
      </c>
    </row>
    <row r="3386" spans="2:6" ht="15.75" customHeight="1" x14ac:dyDescent="0.25">
      <c r="B3386" t="str">
        <v>Luminous Finance</v>
      </c>
      <c r="C3386" t="str">
        <v>Dexs</v>
      </c>
      <c r="D3386" t="str">
        <v>LUMI</v>
      </c>
      <c r="E3386">
        <v>0</v>
      </c>
      <c r="F3386">
        <v>0</v>
      </c>
    </row>
    <row r="3387" spans="2:6" ht="15.75" customHeight="1" x14ac:dyDescent="0.25">
      <c r="B3387" t="str">
        <v>Luna.fun</v>
      </c>
      <c r="C3387" t="str">
        <v>Launchpad</v>
      </c>
      <c r="D3387" t="str">
        <v>LUNA</v>
      </c>
      <c r="E3387">
        <v>0</v>
      </c>
      <c r="F3387">
        <v>0</v>
      </c>
    </row>
    <row r="3388" spans="2:6" ht="15.75" customHeight="1" x14ac:dyDescent="0.25">
      <c r="B3388" t="str">
        <v>LunaFi</v>
      </c>
      <c r="C3388" t="str">
        <v>Prediction Market</v>
      </c>
      <c r="D3388" t="str">
        <v>LFI</v>
      </c>
      <c r="E3388">
        <v>11.586190213612063</v>
      </c>
      <c r="F3388">
        <v>0</v>
      </c>
    </row>
    <row r="3389" spans="2:6" ht="15.75" customHeight="1" x14ac:dyDescent="0.25">
      <c r="B3389" t="str">
        <v>Lunagens</v>
      </c>
      <c r="C3389" t="str">
        <v>Dexs</v>
      </c>
      <c r="D3389" t="str">
        <v>LUNG</v>
      </c>
      <c r="E3389">
        <v>0</v>
      </c>
      <c r="F3389">
        <v>0</v>
      </c>
    </row>
    <row r="3390" spans="2:6" ht="15.75" customHeight="1" x14ac:dyDescent="0.25">
      <c r="B3390" t="str">
        <v>Lunos</v>
      </c>
      <c r="C3390" t="str">
        <v>Insurance</v>
      </c>
      <c r="D3390" t="str">
        <v>UNO</v>
      </c>
      <c r="E3390">
        <v>41581.098104727018</v>
      </c>
      <c r="F3390">
        <v>90876.009037210737</v>
      </c>
    </row>
    <row r="3391" spans="2:6" ht="15.75" customHeight="1" x14ac:dyDescent="0.25">
      <c r="B3391" t="str">
        <v>LUSD ChickenBonds</v>
      </c>
      <c r="C3391" t="str">
        <v>Yield Aggregator</v>
      </c>
      <c r="D3391" t="str">
        <v>bLUSD</v>
      </c>
      <c r="E3391">
        <v>1495182.2160967935</v>
      </c>
      <c r="F3391">
        <v>0</v>
      </c>
    </row>
    <row r="3392" spans="2:6" ht="15.75" customHeight="1" x14ac:dyDescent="0.25">
      <c r="B3392" t="str">
        <v>Luxor Money</v>
      </c>
      <c r="C3392" t="str">
        <v>Reserve Currency</v>
      </c>
      <c r="D3392" t="str">
        <v>LUX</v>
      </c>
      <c r="E3392">
        <v>0</v>
      </c>
      <c r="F3392">
        <v>13701.81460192303</v>
      </c>
    </row>
    <row r="3393" spans="2:6" ht="15.75" customHeight="1" x14ac:dyDescent="0.25">
      <c r="B3393" t="str">
        <v>LuxsFi</v>
      </c>
      <c r="C3393" t="str">
        <v>Yield Aggregator</v>
      </c>
      <c r="D3393" t="str">
        <v>-</v>
      </c>
      <c r="E3393">
        <v>340.38209558660492</v>
      </c>
      <c r="F3393">
        <v>0</v>
      </c>
    </row>
    <row r="3394" spans="2:6" ht="15.75" customHeight="1" x14ac:dyDescent="0.25">
      <c r="B3394" t="str">
        <v>Lybra V1</v>
      </c>
      <c r="C3394" t="str">
        <v>CDP</v>
      </c>
      <c r="D3394" t="str">
        <v>LBR</v>
      </c>
      <c r="E3394">
        <v>454091.93924623617</v>
      </c>
      <c r="F3394">
        <v>0</v>
      </c>
    </row>
    <row r="3395" spans="2:6" ht="15.75" customHeight="1" x14ac:dyDescent="0.25">
      <c r="B3395" t="str">
        <v>Lybra V2</v>
      </c>
      <c r="C3395" t="str">
        <v>CDP</v>
      </c>
      <c r="D3395" t="str">
        <v>LBR</v>
      </c>
      <c r="E3395">
        <v>80028.466830861638</v>
      </c>
      <c r="F3395">
        <v>0</v>
      </c>
    </row>
    <row r="3396" spans="2:6" ht="15.75" customHeight="1" x14ac:dyDescent="0.25">
      <c r="B3396" t="str">
        <v>Lydia</v>
      </c>
      <c r="C3396" t="str">
        <v>Dexs</v>
      </c>
      <c r="D3396" t="str">
        <v>LYD</v>
      </c>
      <c r="E3396">
        <v>59979.089292105462</v>
      </c>
      <c r="F3396">
        <v>0</v>
      </c>
    </row>
    <row r="3397" spans="2:6" ht="15.75" customHeight="1" x14ac:dyDescent="0.25">
      <c r="B3397" t="str">
        <v>Lympo</v>
      </c>
      <c r="C3397" t="str">
        <v>Gaming</v>
      </c>
      <c r="D3397" t="str">
        <v>SPORT</v>
      </c>
      <c r="E3397">
        <v>0</v>
      </c>
      <c r="F3397">
        <v>50597.461479667218</v>
      </c>
    </row>
    <row r="3398" spans="2:6" ht="15.75" customHeight="1" x14ac:dyDescent="0.25">
      <c r="B3398" t="str">
        <v>Lynex V1</v>
      </c>
      <c r="C3398" t="str">
        <v>Dexs</v>
      </c>
      <c r="D3398" t="str">
        <v>LYNX</v>
      </c>
      <c r="E3398">
        <v>448733.31161870563</v>
      </c>
      <c r="F3398">
        <v>0</v>
      </c>
    </row>
    <row r="3399" spans="2:6" ht="15.75" customHeight="1" x14ac:dyDescent="0.25">
      <c r="B3399" t="str">
        <v>Lynex V2</v>
      </c>
      <c r="C3399" t="str">
        <v>Dexs</v>
      </c>
      <c r="D3399" t="str">
        <v>LYNX</v>
      </c>
      <c r="E3399">
        <v>1062623.9017435824</v>
      </c>
      <c r="F3399">
        <v>0</v>
      </c>
    </row>
    <row r="3400" spans="2:6" ht="15.75" customHeight="1" x14ac:dyDescent="0.25">
      <c r="B3400" t="str">
        <v>Lynx</v>
      </c>
      <c r="C3400" t="str">
        <v>Derivatives</v>
      </c>
      <c r="D3400" t="str">
        <v>-</v>
      </c>
      <c r="E3400">
        <v>250015.31369654325</v>
      </c>
      <c r="F3400">
        <v>0</v>
      </c>
    </row>
    <row r="3401" spans="2:6" ht="15.75" customHeight="1" x14ac:dyDescent="0.25">
      <c r="B3401" t="str">
        <v>LyveFinance</v>
      </c>
      <c r="C3401" t="str">
        <v>CDP</v>
      </c>
      <c r="D3401" t="str">
        <v>LYVE</v>
      </c>
      <c r="E3401">
        <v>39913.146872409525</v>
      </c>
      <c r="F3401">
        <v>0</v>
      </c>
    </row>
    <row r="3402" spans="2:6" ht="15.75" customHeight="1" x14ac:dyDescent="0.25">
      <c r="B3402" t="str">
        <v>M0</v>
      </c>
      <c r="C3402" t="str">
        <v>Stablecoin Issuer</v>
      </c>
      <c r="D3402" t="str">
        <v>POWER</v>
      </c>
      <c r="E3402">
        <v>880199104.71718812</v>
      </c>
      <c r="F3402">
        <v>0</v>
      </c>
    </row>
    <row r="3403" spans="2:6" ht="15.75" customHeight="1" x14ac:dyDescent="0.25">
      <c r="B3403" t="str">
        <v>M11 Credit</v>
      </c>
      <c r="C3403" t="str">
        <v>Risk Curators</v>
      </c>
      <c r="D3403" t="str">
        <v>-</v>
      </c>
      <c r="E3403">
        <v>5273.2581524700072</v>
      </c>
      <c r="F3403">
        <v>0</v>
      </c>
    </row>
    <row r="3404" spans="2:6" ht="15.75" customHeight="1" x14ac:dyDescent="0.25">
      <c r="B3404" t="str">
        <v>Macaron AMM</v>
      </c>
      <c r="C3404" t="str">
        <v>Dexs</v>
      </c>
      <c r="D3404" t="str">
        <v>-</v>
      </c>
      <c r="E3404">
        <v>115715.25970446278</v>
      </c>
      <c r="F3404">
        <v>0</v>
      </c>
    </row>
    <row r="3405" spans="2:6" ht="15.75" customHeight="1" x14ac:dyDescent="0.25">
      <c r="B3405" t="str">
        <v>Macaron StableSwap</v>
      </c>
      <c r="C3405" t="str">
        <v>Dexs</v>
      </c>
      <c r="D3405" t="str">
        <v>-</v>
      </c>
      <c r="E3405">
        <v>907.98892004184165</v>
      </c>
      <c r="F3405">
        <v>0</v>
      </c>
    </row>
    <row r="3406" spans="2:6" ht="15.75" customHeight="1" x14ac:dyDescent="0.25">
      <c r="B3406" t="str">
        <v>Macaron.bid</v>
      </c>
      <c r="C3406" t="str">
        <v>Gamified Mining</v>
      </c>
      <c r="D3406" t="str">
        <v>MACARON</v>
      </c>
      <c r="E3406">
        <v>0</v>
      </c>
      <c r="F3406">
        <v>0</v>
      </c>
    </row>
    <row r="3407" spans="2:6" ht="15.75" customHeight="1" x14ac:dyDescent="0.25">
      <c r="B3407" t="str">
        <v>MacaronSwap</v>
      </c>
      <c r="C3407" t="str">
        <v>Dexs</v>
      </c>
      <c r="D3407" t="str">
        <v>MCRN</v>
      </c>
      <c r="E3407">
        <v>23510.142782354051</v>
      </c>
      <c r="F3407">
        <v>4925.9888309942326</v>
      </c>
    </row>
    <row r="3408" spans="2:6" ht="15.75" customHeight="1" x14ac:dyDescent="0.25">
      <c r="B3408" t="str">
        <v>Mach</v>
      </c>
      <c r="C3408" t="str">
        <v>DEX Aggregator</v>
      </c>
      <c r="D3408" t="str">
        <v>-</v>
      </c>
      <c r="E3408">
        <v>0</v>
      </c>
      <c r="F3408">
        <v>0</v>
      </c>
    </row>
    <row r="3409" spans="2:6" ht="15.75" customHeight="1" x14ac:dyDescent="0.25">
      <c r="B3409" t="str">
        <v>MachFi</v>
      </c>
      <c r="C3409" t="str">
        <v>Lending</v>
      </c>
      <c r="D3409" t="str">
        <v>-</v>
      </c>
      <c r="E3409">
        <v>21298.313946184953</v>
      </c>
      <c r="F3409">
        <v>0</v>
      </c>
    </row>
    <row r="3410" spans="2:6" ht="15.75" customHeight="1" x14ac:dyDescent="0.25">
      <c r="B3410" t="str">
        <v>MachineX CL</v>
      </c>
      <c r="C3410" t="str">
        <v>Dexs</v>
      </c>
      <c r="D3410" t="str">
        <v>-</v>
      </c>
      <c r="E3410">
        <v>1166488.2533509491</v>
      </c>
      <c r="F3410">
        <v>0</v>
      </c>
    </row>
    <row r="3411" spans="2:6" ht="15.75" customHeight="1" x14ac:dyDescent="0.25">
      <c r="B3411" t="str">
        <v>MachineX Legacy</v>
      </c>
      <c r="C3411" t="str">
        <v>Dexs</v>
      </c>
      <c r="D3411" t="str">
        <v>-</v>
      </c>
      <c r="E3411">
        <v>12102.999459810982</v>
      </c>
      <c r="F3411">
        <v>0</v>
      </c>
    </row>
    <row r="3412" spans="2:6" ht="15.75" customHeight="1" x14ac:dyDescent="0.25">
      <c r="B3412" t="str">
        <v>Madhouse</v>
      </c>
      <c r="C3412" t="str">
        <v>DEX Aggregator</v>
      </c>
      <c r="D3412" t="str">
        <v>-</v>
      </c>
      <c r="E3412">
        <v>0</v>
      </c>
      <c r="F3412">
        <v>0</v>
      </c>
    </row>
    <row r="3413" spans="2:6" ht="15.75" customHeight="1" x14ac:dyDescent="0.25">
      <c r="B3413" t="str">
        <v>Madmex</v>
      </c>
      <c r="C3413" t="str">
        <v>Derivatives</v>
      </c>
      <c r="D3413" t="str">
        <v>-</v>
      </c>
      <c r="E3413">
        <v>0</v>
      </c>
      <c r="F3413">
        <v>0</v>
      </c>
    </row>
    <row r="3414" spans="2:6" ht="15.75" customHeight="1" x14ac:dyDescent="0.25">
      <c r="B3414" t="str">
        <v>Madness Finance</v>
      </c>
      <c r="C3414" t="str">
        <v>Dexs</v>
      </c>
      <c r="D3414" t="str">
        <v>-</v>
      </c>
      <c r="E3414">
        <v>21564.440471493865</v>
      </c>
      <c r="F3414">
        <v>0</v>
      </c>
    </row>
    <row r="3415" spans="2:6" ht="15.75" customHeight="1" x14ac:dyDescent="0.25">
      <c r="B3415" t="str">
        <v>Maduck Club</v>
      </c>
      <c r="C3415" t="str">
        <v>Farm</v>
      </c>
      <c r="D3415" t="str">
        <v>MADUCK</v>
      </c>
      <c r="E3415">
        <v>124.28439779151812</v>
      </c>
      <c r="F3415">
        <v>0</v>
      </c>
    </row>
    <row r="3416" spans="2:6" ht="15.75" customHeight="1" x14ac:dyDescent="0.25">
      <c r="B3416" t="str">
        <v>Maestro</v>
      </c>
      <c r="C3416" t="str">
        <v>Telegram Bot</v>
      </c>
      <c r="D3416" t="str">
        <v>-</v>
      </c>
      <c r="E3416">
        <v>0</v>
      </c>
      <c r="F3416">
        <v>0</v>
      </c>
    </row>
    <row r="3417" spans="2:6" ht="15.75" customHeight="1" x14ac:dyDescent="0.25">
      <c r="B3417" t="str">
        <v>Mage Finance</v>
      </c>
      <c r="C3417" t="str">
        <v>Lending</v>
      </c>
      <c r="D3417" t="str">
        <v>-</v>
      </c>
      <c r="E3417">
        <v>35600.059810301434</v>
      </c>
      <c r="F3417">
        <v>0</v>
      </c>
    </row>
    <row r="3418" spans="2:6" ht="15.75" customHeight="1" x14ac:dyDescent="0.25">
      <c r="B3418" t="str">
        <v>Magic Eden</v>
      </c>
      <c r="C3418" t="str">
        <v>NFT Marketplace</v>
      </c>
      <c r="D3418" t="str">
        <v>ME</v>
      </c>
      <c r="E3418">
        <v>158022.13800171122</v>
      </c>
      <c r="F3418">
        <v>91544927.957271323</v>
      </c>
    </row>
    <row r="3419" spans="2:6" ht="15.75" customHeight="1" x14ac:dyDescent="0.25">
      <c r="B3419" t="str">
        <v>Magic Land</v>
      </c>
      <c r="C3419" t="str">
        <v>Yield</v>
      </c>
      <c r="D3419" t="str">
        <v>MAGIC</v>
      </c>
      <c r="E3419">
        <v>47382.203803922086</v>
      </c>
      <c r="F3419">
        <v>0</v>
      </c>
    </row>
    <row r="3420" spans="2:6" ht="15.75" customHeight="1" x14ac:dyDescent="0.25">
      <c r="B3420" t="str">
        <v>Magic Square</v>
      </c>
      <c r="C3420" t="str">
        <v>Farm</v>
      </c>
      <c r="D3420" t="str">
        <v>SQR</v>
      </c>
      <c r="E3420">
        <v>9185.2330736399617</v>
      </c>
      <c r="F3420">
        <v>247949.33138280772</v>
      </c>
    </row>
    <row r="3421" spans="2:6" ht="15.75" customHeight="1" x14ac:dyDescent="0.25">
      <c r="B3421" t="str">
        <v>MagicFox Swap</v>
      </c>
      <c r="C3421" t="str">
        <v>Dexs</v>
      </c>
      <c r="D3421" t="str">
        <v>FOX</v>
      </c>
      <c r="E3421">
        <v>757.18020059423259</v>
      </c>
      <c r="F3421">
        <v>0</v>
      </c>
    </row>
    <row r="3422" spans="2:6" ht="15.75" customHeight="1" x14ac:dyDescent="0.25">
      <c r="B3422" t="str">
        <v>MagicFox Vaults</v>
      </c>
      <c r="C3422" t="str">
        <v>Yield</v>
      </c>
      <c r="D3422" t="str">
        <v>FOX</v>
      </c>
      <c r="E3422">
        <v>4823.3390396883569</v>
      </c>
      <c r="F3422">
        <v>0</v>
      </c>
    </row>
    <row r="3423" spans="2:6" ht="15.75" customHeight="1" x14ac:dyDescent="0.25">
      <c r="B3423" t="str">
        <v>Magician MV</v>
      </c>
      <c r="C3423" t="str">
        <v>Dexs</v>
      </c>
      <c r="D3423" t="str">
        <v>MBT</v>
      </c>
      <c r="E3423">
        <v>31655.95843109017</v>
      </c>
      <c r="F3423">
        <v>0</v>
      </c>
    </row>
    <row r="3424" spans="2:6" ht="15.75" customHeight="1" x14ac:dyDescent="0.25">
      <c r="B3424" t="str">
        <v>MagicSea AMM</v>
      </c>
      <c r="C3424" t="str">
        <v>Dexs</v>
      </c>
      <c r="D3424" t="str">
        <v>-</v>
      </c>
      <c r="E3424">
        <v>697619.65227680211</v>
      </c>
      <c r="F3424">
        <v>0</v>
      </c>
    </row>
    <row r="3425" spans="2:6" ht="15.75" customHeight="1" x14ac:dyDescent="0.25">
      <c r="B3425" t="str">
        <v>MagicSea LB</v>
      </c>
      <c r="C3425" t="str">
        <v>Dexs</v>
      </c>
      <c r="D3425" t="str">
        <v>-</v>
      </c>
      <c r="E3425">
        <v>1101162.1295750986</v>
      </c>
      <c r="F3425">
        <v>0</v>
      </c>
    </row>
    <row r="3426" spans="2:6" ht="15.75" customHeight="1" x14ac:dyDescent="0.25">
      <c r="B3426" t="str">
        <v>Magik Farm</v>
      </c>
      <c r="C3426" t="str">
        <v>Yield Aggregator</v>
      </c>
      <c r="D3426" t="str">
        <v>MAGIK</v>
      </c>
      <c r="E3426">
        <v>8615.6905219242526</v>
      </c>
      <c r="F3426">
        <v>0</v>
      </c>
    </row>
    <row r="3427" spans="2:6" ht="15.75" customHeight="1" x14ac:dyDescent="0.25">
      <c r="B3427" t="str">
        <v>Magik Finance AlgoStable</v>
      </c>
      <c r="C3427" t="str">
        <v>Algo-Stables</v>
      </c>
      <c r="D3427" t="str">
        <v>MAGIK</v>
      </c>
      <c r="E3427">
        <v>0</v>
      </c>
      <c r="F3427">
        <v>0</v>
      </c>
    </row>
    <row r="3428" spans="2:6" ht="15.75" customHeight="1" x14ac:dyDescent="0.25">
      <c r="B3428" t="str">
        <v>Magma</v>
      </c>
      <c r="C3428" t="str">
        <v>Dexs</v>
      </c>
      <c r="D3428" t="str">
        <v>-</v>
      </c>
      <c r="E3428">
        <v>26905190.50427613</v>
      </c>
      <c r="F3428">
        <v>0</v>
      </c>
    </row>
    <row r="3429" spans="2:6" ht="15.75" customHeight="1" x14ac:dyDescent="0.25">
      <c r="B3429" t="str">
        <v>Magma Finance</v>
      </c>
      <c r="C3429" t="str">
        <v>CDP</v>
      </c>
      <c r="D3429" t="str">
        <v>-</v>
      </c>
      <c r="E3429">
        <v>367144.49158596632</v>
      </c>
      <c r="F3429">
        <v>0</v>
      </c>
    </row>
    <row r="3430" spans="2:6" ht="15.75" customHeight="1" x14ac:dyDescent="0.25">
      <c r="B3430" t="str">
        <v>Magma Finance ALMM</v>
      </c>
      <c r="C3430" t="str">
        <v>Dexs</v>
      </c>
      <c r="D3430" t="str">
        <v>-</v>
      </c>
      <c r="E3430">
        <v>4163.5580793636882</v>
      </c>
      <c r="F3430">
        <v>0</v>
      </c>
    </row>
    <row r="3431" spans="2:6" ht="15.75" customHeight="1" x14ac:dyDescent="0.25">
      <c r="B3431" t="str">
        <v>Magma Staking</v>
      </c>
      <c r="C3431" t="str">
        <v>Liquid Staking</v>
      </c>
      <c r="D3431" t="str">
        <v>-</v>
      </c>
      <c r="E3431">
        <v>2309981.2181065106</v>
      </c>
      <c r="F3431">
        <v>0</v>
      </c>
    </row>
    <row r="3432" spans="2:6" ht="15.75" customHeight="1" x14ac:dyDescent="0.25">
      <c r="B3432" t="str">
        <v>Magnate Finance</v>
      </c>
      <c r="C3432" t="str">
        <v>Lending</v>
      </c>
      <c r="D3432" t="str">
        <v>MAG</v>
      </c>
      <c r="E3432">
        <v>0</v>
      </c>
      <c r="F3432">
        <v>0</v>
      </c>
    </row>
    <row r="3433" spans="2:6" ht="15.75" customHeight="1" x14ac:dyDescent="0.25">
      <c r="B3433" t="str">
        <v>Magnet DAO</v>
      </c>
      <c r="C3433" t="str">
        <v>Algo-Stables</v>
      </c>
      <c r="D3433" t="str">
        <v>MAG</v>
      </c>
      <c r="E3433">
        <v>0.66448529487874208</v>
      </c>
      <c r="F3433">
        <v>2710258.8473887956</v>
      </c>
    </row>
    <row r="3434" spans="2:6" ht="15.75" customHeight="1" x14ac:dyDescent="0.25">
      <c r="B3434" t="str">
        <v>Magnify Cash</v>
      </c>
      <c r="C3434" t="str">
        <v>Lending</v>
      </c>
      <c r="D3434" t="str">
        <v>MAG</v>
      </c>
      <c r="E3434">
        <v>157.07164544458931</v>
      </c>
      <c r="F3434">
        <v>26598.72463449484</v>
      </c>
    </row>
    <row r="3435" spans="2:6" ht="15.75" customHeight="1" x14ac:dyDescent="0.25">
      <c r="B3435" t="str">
        <v>Magnum Bot</v>
      </c>
      <c r="C3435" t="str">
        <v>Trading App</v>
      </c>
      <c r="D3435" t="str">
        <v>-</v>
      </c>
      <c r="E3435">
        <v>0</v>
      </c>
      <c r="F3435">
        <v>0</v>
      </c>
    </row>
    <row r="3436" spans="2:6" ht="15.75" customHeight="1" x14ac:dyDescent="0.25">
      <c r="B3436" t="str">
        <v>Magsinio</v>
      </c>
      <c r="C3436" t="str">
        <v>Lending</v>
      </c>
      <c r="D3436" t="str">
        <v>-</v>
      </c>
      <c r="E3436">
        <v>141.10758719751828</v>
      </c>
      <c r="F3436">
        <v>0</v>
      </c>
    </row>
    <row r="3437" spans="2:6" ht="15.75" customHeight="1" x14ac:dyDescent="0.25">
      <c r="B3437" t="str">
        <v>MAHA.xyz</v>
      </c>
      <c r="C3437" t="str">
        <v>CDP</v>
      </c>
      <c r="D3437" t="str">
        <v>MAHA</v>
      </c>
      <c r="E3437">
        <v>0</v>
      </c>
      <c r="F3437">
        <v>555773.55767932208</v>
      </c>
    </row>
    <row r="3438" spans="2:6" ht="15.75" customHeight="1" x14ac:dyDescent="0.25">
      <c r="B3438" t="str">
        <v>MahaDAO Arth</v>
      </c>
      <c r="C3438" t="str">
        <v>CDP</v>
      </c>
      <c r="D3438" t="str">
        <v>MAHA</v>
      </c>
      <c r="E3438">
        <v>41569.276138255671</v>
      </c>
      <c r="F3438">
        <v>0</v>
      </c>
    </row>
    <row r="3439" spans="2:6" ht="15.75" customHeight="1" x14ac:dyDescent="0.25">
      <c r="B3439" t="str">
        <v>MahaLend</v>
      </c>
      <c r="C3439" t="str">
        <v>Lending</v>
      </c>
      <c r="D3439" t="str">
        <v>-</v>
      </c>
      <c r="E3439">
        <v>435.16513982199547</v>
      </c>
      <c r="F3439">
        <v>0</v>
      </c>
    </row>
    <row r="3440" spans="2:6" ht="15.75" customHeight="1" x14ac:dyDescent="0.25">
      <c r="B3440" t="str">
        <v>Maia DAO</v>
      </c>
      <c r="C3440" t="str">
        <v>Yield</v>
      </c>
      <c r="D3440" t="str">
        <v>MAIA</v>
      </c>
      <c r="E3440">
        <v>0</v>
      </c>
      <c r="F3440">
        <v>0</v>
      </c>
    </row>
    <row r="3441" spans="2:6" ht="15.75" customHeight="1" x14ac:dyDescent="0.25">
      <c r="B3441" t="str">
        <v>Maia V3</v>
      </c>
      <c r="C3441" t="str">
        <v>Dexs</v>
      </c>
      <c r="D3441" t="str">
        <v>MAIA</v>
      </c>
      <c r="E3441">
        <v>33539.749875261834</v>
      </c>
      <c r="F3441">
        <v>0</v>
      </c>
    </row>
    <row r="3442" spans="2:6" ht="15.75" customHeight="1" x14ac:dyDescent="0.25">
      <c r="B3442" t="str">
        <v>Mainstreet</v>
      </c>
      <c r="C3442" t="str">
        <v>Basis Trading</v>
      </c>
      <c r="D3442" t="str">
        <v>-</v>
      </c>
      <c r="E3442">
        <v>7318090.5177207589</v>
      </c>
      <c r="F3442">
        <v>0</v>
      </c>
    </row>
    <row r="3443" spans="2:6" ht="15.75" customHeight="1" x14ac:dyDescent="0.25">
      <c r="B3443" t="str">
        <v>makenow.meme</v>
      </c>
      <c r="C3443" t="str">
        <v>Launchpad</v>
      </c>
      <c r="D3443" t="str">
        <v>-</v>
      </c>
      <c r="E3443">
        <v>0</v>
      </c>
      <c r="F3443">
        <v>0</v>
      </c>
    </row>
    <row r="3444" spans="2:6" ht="15.75" customHeight="1" x14ac:dyDescent="0.25">
      <c r="B3444" t="str">
        <v>Makina</v>
      </c>
      <c r="C3444" t="str">
        <v>Onchain Capital Allocator</v>
      </c>
      <c r="D3444" t="str">
        <v>-</v>
      </c>
      <c r="E3444">
        <v>99046347.386401653</v>
      </c>
      <c r="F3444">
        <v>0</v>
      </c>
    </row>
    <row r="3445" spans="2:6" ht="15.75" customHeight="1" x14ac:dyDescent="0.25">
      <c r="B3445" t="str">
        <v>MakiSwap</v>
      </c>
      <c r="C3445" t="str">
        <v>Dexs</v>
      </c>
      <c r="D3445" t="str">
        <v>MAKI</v>
      </c>
      <c r="E3445">
        <v>13533.140811721856</v>
      </c>
      <c r="F3445">
        <v>899956.53852711327</v>
      </c>
    </row>
    <row r="3446" spans="2:6" ht="15.75" customHeight="1" x14ac:dyDescent="0.25">
      <c r="B3446" t="str">
        <v>MAMA</v>
      </c>
      <c r="C3446" t="str">
        <v>Dexs</v>
      </c>
      <c r="D3446" t="str">
        <v>-</v>
      </c>
      <c r="E3446">
        <v>65.169141998773583</v>
      </c>
      <c r="F3446">
        <v>0</v>
      </c>
    </row>
    <row r="3447" spans="2:6" ht="15.75" customHeight="1" x14ac:dyDescent="0.25">
      <c r="B3447" t="str">
        <v>Mama DAO</v>
      </c>
      <c r="C3447" t="str">
        <v>Reserve Currency</v>
      </c>
      <c r="D3447" t="str">
        <v>MAMA</v>
      </c>
      <c r="E3447">
        <v>20.164617227075585</v>
      </c>
      <c r="F3447">
        <v>0</v>
      </c>
    </row>
    <row r="3448" spans="2:6" ht="15.75" customHeight="1" x14ac:dyDescent="0.25">
      <c r="B3448" t="str">
        <v>Manarium</v>
      </c>
      <c r="C3448" t="str">
        <v>Gaming</v>
      </c>
      <c r="D3448" t="str">
        <v>ARI</v>
      </c>
      <c r="E3448">
        <v>0</v>
      </c>
      <c r="F3448">
        <v>0</v>
      </c>
    </row>
    <row r="3449" spans="2:6" ht="15.75" customHeight="1" x14ac:dyDescent="0.25">
      <c r="B3449" t="str">
        <v>ManaSwap</v>
      </c>
      <c r="C3449" t="str">
        <v>Dexs</v>
      </c>
      <c r="D3449" t="str">
        <v>-</v>
      </c>
      <c r="E3449">
        <v>15986.88475756755</v>
      </c>
      <c r="F3449">
        <v>0</v>
      </c>
    </row>
    <row r="3450" spans="2:6" ht="15.75" customHeight="1" x14ac:dyDescent="0.25">
      <c r="B3450" t="str">
        <v>Manga FI</v>
      </c>
      <c r="C3450" t="str">
        <v>Yield</v>
      </c>
      <c r="D3450" t="str">
        <v>HONO</v>
      </c>
      <c r="E3450">
        <v>10840.320135669013</v>
      </c>
      <c r="F3450">
        <v>0</v>
      </c>
    </row>
    <row r="3451" spans="2:6" ht="15.75" customHeight="1" x14ac:dyDescent="0.25">
      <c r="B3451" t="str">
        <v>Mango Markets V3</v>
      </c>
      <c r="C3451" t="str">
        <v>Derivatives</v>
      </c>
      <c r="D3451" t="str">
        <v>MNGO</v>
      </c>
      <c r="E3451">
        <v>0</v>
      </c>
      <c r="F3451">
        <v>0</v>
      </c>
    </row>
    <row r="3452" spans="2:6" ht="15.75" customHeight="1" x14ac:dyDescent="0.25">
      <c r="B3452" t="str">
        <v>Mango Markets V4 AMM</v>
      </c>
      <c r="C3452" t="str">
        <v>Dexs</v>
      </c>
      <c r="D3452" t="str">
        <v>MNGO</v>
      </c>
      <c r="E3452">
        <v>0</v>
      </c>
      <c r="F3452">
        <v>0</v>
      </c>
    </row>
    <row r="3453" spans="2:6" ht="15.75" customHeight="1" x14ac:dyDescent="0.25">
      <c r="B3453" t="str">
        <v>Mango Markets V4 Perps</v>
      </c>
      <c r="C3453" t="str">
        <v>Derivatives</v>
      </c>
      <c r="D3453" t="str">
        <v>MNGO</v>
      </c>
      <c r="E3453">
        <v>13931.748592439919</v>
      </c>
      <c r="F3453">
        <v>0</v>
      </c>
    </row>
    <row r="3454" spans="2:6" ht="15.75" customHeight="1" x14ac:dyDescent="0.25">
      <c r="B3454" t="str">
        <v>Mangrove</v>
      </c>
      <c r="C3454" t="str">
        <v>Dexs</v>
      </c>
      <c r="D3454" t="str">
        <v>-</v>
      </c>
      <c r="E3454">
        <v>4325793.1830531936</v>
      </c>
      <c r="F3454">
        <v>0</v>
      </c>
    </row>
    <row r="3455" spans="2:6" ht="15.75" customHeight="1" x14ac:dyDescent="0.25">
      <c r="B3455" t="str">
        <v>Manhattan</v>
      </c>
      <c r="C3455" t="str">
        <v>Yield</v>
      </c>
      <c r="D3455" t="str">
        <v>MHF</v>
      </c>
      <c r="E3455">
        <v>687.78099930110807</v>
      </c>
      <c r="F3455">
        <v>0</v>
      </c>
    </row>
    <row r="3456" spans="2:6" ht="15.75" customHeight="1" x14ac:dyDescent="0.25">
      <c r="B3456" t="str">
        <v>Manifest</v>
      </c>
      <c r="C3456" t="str">
        <v>Services</v>
      </c>
      <c r="D3456" t="str">
        <v>MNFST</v>
      </c>
      <c r="E3456">
        <v>0.21851496067264242</v>
      </c>
      <c r="F3456">
        <v>0</v>
      </c>
    </row>
    <row r="3457" spans="2:6" ht="15.75" customHeight="1" x14ac:dyDescent="0.25">
      <c r="B3457" t="str">
        <v>Manifest Trade</v>
      </c>
      <c r="C3457" t="str">
        <v>Dexs</v>
      </c>
      <c r="D3457" t="str">
        <v>-</v>
      </c>
      <c r="E3457">
        <v>4317309.6024019644</v>
      </c>
      <c r="F3457">
        <v>0</v>
      </c>
    </row>
    <row r="3458" spans="2:6" ht="15.75" customHeight="1" x14ac:dyDescent="0.25">
      <c r="B3458" t="str">
        <v>Manifesto</v>
      </c>
      <c r="C3458" t="str">
        <v>Reserve Currency</v>
      </c>
      <c r="D3458" t="str">
        <v>MNF</v>
      </c>
      <c r="E3458">
        <v>0</v>
      </c>
      <c r="F3458">
        <v>0</v>
      </c>
    </row>
    <row r="3459" spans="2:6" ht="15.75" customHeight="1" x14ac:dyDescent="0.25">
      <c r="B3459" t="str">
        <v>manifold.xyz</v>
      </c>
      <c r="C3459" t="str">
        <v>NFT Launchpad</v>
      </c>
      <c r="D3459" t="str">
        <v>-</v>
      </c>
      <c r="E3459">
        <v>0</v>
      </c>
      <c r="F3459">
        <v>0</v>
      </c>
    </row>
    <row r="3460" spans="2:6" ht="15.75" customHeight="1" x14ac:dyDescent="0.25">
      <c r="B3460" t="str">
        <v>Mansory</v>
      </c>
      <c r="C3460" t="str">
        <v>RWA</v>
      </c>
      <c r="D3460" t="str">
        <v>MNSRY</v>
      </c>
      <c r="E3460">
        <v>13538577.889847931</v>
      </c>
      <c r="F3460">
        <v>13504690.745796643</v>
      </c>
    </row>
    <row r="3461" spans="2:6" ht="15.75" customHeight="1" x14ac:dyDescent="0.25">
      <c r="B3461" t="str">
        <v>Manta CeDeFi</v>
      </c>
      <c r="C3461" t="str">
        <v>Basis Trading</v>
      </c>
      <c r="D3461" t="str">
        <v>-</v>
      </c>
      <c r="E3461">
        <v>43663592.039194286</v>
      </c>
      <c r="F3461">
        <v>0</v>
      </c>
    </row>
    <row r="3462" spans="2:6" ht="15.75" customHeight="1" x14ac:dyDescent="0.25">
      <c r="B3462" t="str">
        <v>Manta Pacific</v>
      </c>
      <c r="C3462" t="str">
        <v>Canonical Bridge</v>
      </c>
      <c r="D3462" t="str">
        <v>MANTA</v>
      </c>
      <c r="E3462">
        <v>38505930.453154445</v>
      </c>
      <c r="F3462">
        <v>36096382.697549932</v>
      </c>
    </row>
    <row r="3463" spans="2:6" ht="15.75" customHeight="1" x14ac:dyDescent="0.25">
      <c r="B3463" t="str">
        <v>MantaDAO</v>
      </c>
      <c r="C3463" t="str">
        <v>Services</v>
      </c>
      <c r="D3463" t="str">
        <v>MNTA</v>
      </c>
      <c r="E3463">
        <v>0</v>
      </c>
      <c r="F3463">
        <v>0</v>
      </c>
    </row>
    <row r="3464" spans="2:6" ht="15.75" customHeight="1" x14ac:dyDescent="0.25">
      <c r="B3464" t="str">
        <v>MantaDEX</v>
      </c>
      <c r="C3464" t="str">
        <v>Dexs</v>
      </c>
      <c r="D3464" t="str">
        <v>-</v>
      </c>
      <c r="E3464">
        <v>2235.2861395903483</v>
      </c>
      <c r="F3464">
        <v>0</v>
      </c>
    </row>
    <row r="3465" spans="2:6" ht="15.75" customHeight="1" x14ac:dyDescent="0.25">
      <c r="B3465" t="str">
        <v>MantaSwap</v>
      </c>
      <c r="C3465" t="str">
        <v>Dexs</v>
      </c>
      <c r="D3465" t="str">
        <v>MTS</v>
      </c>
      <c r="E3465">
        <v>1899.0139779326998</v>
      </c>
      <c r="F3465">
        <v>0</v>
      </c>
    </row>
    <row r="3466" spans="2:6" ht="15.75" customHeight="1" x14ac:dyDescent="0.25">
      <c r="B3466" t="str">
        <v>Mantis</v>
      </c>
      <c r="C3466" t="str">
        <v>Dexs</v>
      </c>
      <c r="D3466" t="str">
        <v>M</v>
      </c>
      <c r="E3466">
        <v>0</v>
      </c>
      <c r="F3466">
        <v>192918.17061375271</v>
      </c>
    </row>
    <row r="3467" spans="2:6" ht="15.75" customHeight="1" x14ac:dyDescent="0.25">
      <c r="B3467" t="str">
        <v>MantisSwap</v>
      </c>
      <c r="C3467" t="str">
        <v>Dexs</v>
      </c>
      <c r="D3467" t="str">
        <v>-</v>
      </c>
      <c r="E3467">
        <v>186198.97753361869</v>
      </c>
      <c r="F3467">
        <v>0</v>
      </c>
    </row>
    <row r="3468" spans="2:6" ht="15.75" customHeight="1" x14ac:dyDescent="0.25">
      <c r="B3468" t="str">
        <v>Mantle Bridge</v>
      </c>
      <c r="C3468" t="str">
        <v>Canonical Bridge</v>
      </c>
      <c r="D3468" t="str">
        <v>MNT</v>
      </c>
      <c r="E3468">
        <v>308811713.09219396</v>
      </c>
      <c r="F3468">
        <v>3252487042.033114</v>
      </c>
    </row>
    <row r="3469" spans="2:6" ht="15.75" customHeight="1" x14ac:dyDescent="0.25">
      <c r="B3469" t="str">
        <v>Mantle Index Four Fund</v>
      </c>
      <c r="C3469" t="str">
        <v>Indexes</v>
      </c>
      <c r="D3469" t="str">
        <v>MI4</v>
      </c>
      <c r="E3469">
        <v>170682468.14173782</v>
      </c>
      <c r="F3469">
        <v>0</v>
      </c>
    </row>
    <row r="3470" spans="2:6" ht="15.75" customHeight="1" x14ac:dyDescent="0.25">
      <c r="B3470" t="str">
        <v>Mantle Restaking</v>
      </c>
      <c r="C3470" t="str">
        <v>Liquid Restaking</v>
      </c>
      <c r="D3470" t="str">
        <v>-</v>
      </c>
      <c r="E3470">
        <v>275439754.4902637</v>
      </c>
      <c r="F3470">
        <v>0</v>
      </c>
    </row>
    <row r="3471" spans="2:6" ht="15.75" customHeight="1" x14ac:dyDescent="0.25">
      <c r="B3471" t="str">
        <v>Mantle Treasury</v>
      </c>
      <c r="C3471" t="str">
        <v>Foundation</v>
      </c>
      <c r="D3471" t="str">
        <v>MNT</v>
      </c>
      <c r="E3471">
        <v>0</v>
      </c>
      <c r="F3471">
        <v>0</v>
      </c>
    </row>
    <row r="3472" spans="2:6" ht="15.75" customHeight="1" x14ac:dyDescent="0.25">
      <c r="B3472" t="str">
        <v>MantleSwap</v>
      </c>
      <c r="C3472" t="str">
        <v>Dexs</v>
      </c>
      <c r="D3472" t="str">
        <v>MANT</v>
      </c>
      <c r="E3472">
        <v>4897.786959721021</v>
      </c>
      <c r="F3472">
        <v>0</v>
      </c>
    </row>
    <row r="3473" spans="2:6" ht="15.75" customHeight="1" x14ac:dyDescent="0.25">
      <c r="B3473" t="str">
        <v>MANTRA DAO</v>
      </c>
      <c r="C3473" t="str">
        <v>Lending</v>
      </c>
      <c r="D3473" t="str">
        <v>OM</v>
      </c>
      <c r="E3473">
        <v>9581.0034246125069</v>
      </c>
      <c r="F3473">
        <v>89666337.934797153</v>
      </c>
    </row>
    <row r="3474" spans="2:6" ht="15.75" customHeight="1" x14ac:dyDescent="0.25">
      <c r="B3474" t="str">
        <v>Mantra Protocol</v>
      </c>
      <c r="C3474" t="str">
        <v>NFT Lending</v>
      </c>
      <c r="D3474" t="str">
        <v>-</v>
      </c>
      <c r="E3474">
        <v>2518.0095661724577</v>
      </c>
      <c r="F3474">
        <v>0</v>
      </c>
    </row>
    <row r="3475" spans="2:6" ht="15.75" customHeight="1" x14ac:dyDescent="0.25">
      <c r="B3475" t="str">
        <v>MANTRA Swap</v>
      </c>
      <c r="C3475" t="str">
        <v>Dexs</v>
      </c>
      <c r="D3475" t="str">
        <v>-</v>
      </c>
      <c r="E3475">
        <v>428191.45467434148</v>
      </c>
      <c r="F3475">
        <v>0</v>
      </c>
    </row>
    <row r="3476" spans="2:6" ht="15.75" customHeight="1" x14ac:dyDescent="0.25">
      <c r="B3476" t="str">
        <v>ManXSwap</v>
      </c>
      <c r="C3476" t="str">
        <v>Dexs</v>
      </c>
      <c r="D3476" t="str">
        <v>-</v>
      </c>
      <c r="E3476">
        <v>85795.015118944604</v>
      </c>
      <c r="F3476">
        <v>0</v>
      </c>
    </row>
    <row r="3477" spans="2:6" ht="15.75" customHeight="1" x14ac:dyDescent="0.25">
      <c r="B3477" t="str">
        <v>Maple</v>
      </c>
      <c r="C3477" t="str">
        <v>Lending</v>
      </c>
      <c r="D3477" t="str">
        <v>SYRUP</v>
      </c>
      <c r="E3477">
        <v>2710641282.5051451</v>
      </c>
      <c r="F3477">
        <v>0</v>
      </c>
    </row>
    <row r="3478" spans="2:6" ht="15.75" customHeight="1" x14ac:dyDescent="0.25">
      <c r="B3478" t="str">
        <v>Maple RWA</v>
      </c>
      <c r="C3478" t="str">
        <v>RWA</v>
      </c>
      <c r="D3478" t="str">
        <v>SYRUP</v>
      </c>
      <c r="E3478">
        <v>0</v>
      </c>
      <c r="F3478">
        <v>0</v>
      </c>
    </row>
    <row r="3479" spans="2:6" ht="15.75" customHeight="1" x14ac:dyDescent="0.25">
      <c r="B3479" t="str">
        <v>MapleDeFi</v>
      </c>
      <c r="C3479" t="str">
        <v>Yield</v>
      </c>
      <c r="D3479" t="str">
        <v>MAPLE</v>
      </c>
      <c r="E3479">
        <v>205.7552961623602</v>
      </c>
      <c r="F3479">
        <v>0</v>
      </c>
    </row>
    <row r="3480" spans="2:6" ht="15.75" customHeight="1" x14ac:dyDescent="0.25">
      <c r="B3480" t="str">
        <v>Mare Finance V1</v>
      </c>
      <c r="C3480" t="str">
        <v>Lending</v>
      </c>
      <c r="D3480" t="str">
        <v>MARE</v>
      </c>
      <c r="E3480">
        <v>1.5459798370310795E-7</v>
      </c>
      <c r="F3480">
        <v>0</v>
      </c>
    </row>
    <row r="3481" spans="2:6" ht="15.75" customHeight="1" x14ac:dyDescent="0.25">
      <c r="B3481" t="str">
        <v>Mare Finance V2</v>
      </c>
      <c r="C3481" t="str">
        <v>Lending</v>
      </c>
      <c r="D3481" t="str">
        <v>MARE</v>
      </c>
      <c r="E3481">
        <v>9.3579733388433062E-2</v>
      </c>
      <c r="F3481">
        <v>0</v>
      </c>
    </row>
    <row r="3482" spans="2:6" ht="15.75" customHeight="1" x14ac:dyDescent="0.25">
      <c r="B3482" t="str">
        <v>Margin Zero</v>
      </c>
      <c r="C3482" t="str">
        <v>Options</v>
      </c>
      <c r="D3482" t="str">
        <v>-</v>
      </c>
      <c r="E3482">
        <v>64489.161649244073</v>
      </c>
      <c r="F3482">
        <v>0</v>
      </c>
    </row>
    <row r="3483" spans="2:6" ht="15.75" customHeight="1" x14ac:dyDescent="0.25">
      <c r="B3483" t="str">
        <v>Marginal</v>
      </c>
      <c r="C3483" t="str">
        <v>Leveraged Farming</v>
      </c>
      <c r="D3483" t="str">
        <v>-</v>
      </c>
      <c r="E3483">
        <v>2690.6943045575317</v>
      </c>
      <c r="F3483">
        <v>0</v>
      </c>
    </row>
    <row r="3484" spans="2:6" ht="15.75" customHeight="1" x14ac:dyDescent="0.25">
      <c r="B3484" t="str">
        <v>Margined Protocol</v>
      </c>
      <c r="C3484" t="str">
        <v>Derivatives</v>
      </c>
      <c r="D3484" t="str">
        <v>-</v>
      </c>
      <c r="E3484">
        <v>447421.6562877415</v>
      </c>
      <c r="F3484">
        <v>0</v>
      </c>
    </row>
    <row r="3485" spans="2:6" ht="15.75" customHeight="1" x14ac:dyDescent="0.25">
      <c r="B3485" t="str">
        <v>marginfi Lending</v>
      </c>
      <c r="C3485" t="str">
        <v>Lending</v>
      </c>
      <c r="D3485" t="str">
        <v>-</v>
      </c>
      <c r="E3485">
        <v>102674835.27212335</v>
      </c>
      <c r="F3485">
        <v>0</v>
      </c>
    </row>
    <row r="3486" spans="2:6" ht="15.75" customHeight="1" x14ac:dyDescent="0.25">
      <c r="B3486" t="str">
        <v>marginfi LST</v>
      </c>
      <c r="C3486" t="str">
        <v>Liquid Staking</v>
      </c>
      <c r="D3486" t="str">
        <v>-</v>
      </c>
      <c r="E3486">
        <v>16527672.962752739</v>
      </c>
      <c r="F3486">
        <v>0</v>
      </c>
    </row>
    <row r="3487" spans="2:6" ht="15.75" customHeight="1" x14ac:dyDescent="0.25">
      <c r="B3487" t="str">
        <v>Marginly</v>
      </c>
      <c r="C3487" t="str">
        <v>Derivatives</v>
      </c>
      <c r="D3487" t="str">
        <v>-</v>
      </c>
      <c r="E3487">
        <v>0</v>
      </c>
      <c r="F3487">
        <v>0</v>
      </c>
    </row>
    <row r="3488" spans="2:6" ht="15.75" customHeight="1" x14ac:dyDescent="0.25">
      <c r="B3488" t="str">
        <v>MarginSwap</v>
      </c>
      <c r="C3488" t="str">
        <v>Dexs</v>
      </c>
      <c r="D3488" t="str">
        <v>MFI</v>
      </c>
      <c r="E3488">
        <v>0</v>
      </c>
      <c r="F3488">
        <v>91498.799750911247</v>
      </c>
    </row>
    <row r="3489" spans="2:6" ht="15.75" customHeight="1" x14ac:dyDescent="0.25">
      <c r="B3489" t="str">
        <v>MarginX DEX</v>
      </c>
      <c r="C3489" t="str">
        <v>Dexs</v>
      </c>
      <c r="D3489" t="str">
        <v>-</v>
      </c>
      <c r="E3489">
        <v>4144.96006666013</v>
      </c>
      <c r="F3489">
        <v>0</v>
      </c>
    </row>
    <row r="3490" spans="2:6" ht="15.75" customHeight="1" x14ac:dyDescent="0.25">
      <c r="B3490" t="str">
        <v>MarginX Perp</v>
      </c>
      <c r="C3490" t="str">
        <v>Derivatives</v>
      </c>
      <c r="D3490" t="str">
        <v>-</v>
      </c>
      <c r="E3490">
        <v>0</v>
      </c>
      <c r="F3490">
        <v>0</v>
      </c>
    </row>
    <row r="3491" spans="2:6" ht="15.75" customHeight="1" x14ac:dyDescent="0.25">
      <c r="B3491" t="str">
        <v>Marinade Liquid Staking</v>
      </c>
      <c r="C3491" t="str">
        <v>Liquid Staking</v>
      </c>
      <c r="D3491" t="str">
        <v>MNDE</v>
      </c>
      <c r="E3491">
        <v>476500675.01052177</v>
      </c>
      <c r="F3491">
        <v>0</v>
      </c>
    </row>
    <row r="3492" spans="2:6" ht="15.75" customHeight="1" x14ac:dyDescent="0.25">
      <c r="B3492" t="str">
        <v>Marinade Native</v>
      </c>
      <c r="C3492" t="str">
        <v>Staking Pool</v>
      </c>
      <c r="D3492" t="str">
        <v>MNDE</v>
      </c>
      <c r="E3492">
        <v>435261830.56701922</v>
      </c>
      <c r="F3492">
        <v>0</v>
      </c>
    </row>
    <row r="3493" spans="2:6" ht="15.75" customHeight="1" x14ac:dyDescent="0.25">
      <c r="B3493" t="str">
        <v>Marinade Select</v>
      </c>
      <c r="C3493" t="str">
        <v>Staking Pool</v>
      </c>
      <c r="D3493" t="str">
        <v>MNDE</v>
      </c>
      <c r="E3493">
        <v>220941802.67565662</v>
      </c>
      <c r="F3493">
        <v>0</v>
      </c>
    </row>
    <row r="3494" spans="2:6" ht="15.75" customHeight="1" x14ac:dyDescent="0.25">
      <c r="B3494" t="str">
        <v>Market</v>
      </c>
      <c r="C3494" t="str">
        <v>Lending</v>
      </c>
      <c r="D3494" t="str">
        <v>-</v>
      </c>
      <c r="E3494">
        <v>-1329.4002512599313</v>
      </c>
      <c r="F3494">
        <v>0</v>
      </c>
    </row>
    <row r="3495" spans="2:6" ht="15.75" customHeight="1" x14ac:dyDescent="0.25">
      <c r="B3495" t="str">
        <v>Marlin Protocol</v>
      </c>
      <c r="C3495" t="str">
        <v>Farm</v>
      </c>
      <c r="D3495" t="str">
        <v>POND</v>
      </c>
      <c r="E3495">
        <v>0</v>
      </c>
      <c r="F3495">
        <v>32663577.600817308</v>
      </c>
    </row>
    <row r="3496" spans="2:6" ht="15.75" customHeight="1" x14ac:dyDescent="0.25">
      <c r="B3496" t="str">
        <v>Marquee</v>
      </c>
      <c r="C3496" t="str">
        <v>Insurance</v>
      </c>
      <c r="D3496" t="str">
        <v>-</v>
      </c>
      <c r="E3496">
        <v>38703.913874554142</v>
      </c>
      <c r="F3496">
        <v>0</v>
      </c>
    </row>
    <row r="3497" spans="2:6" ht="15.75" customHeight="1" x14ac:dyDescent="0.25">
      <c r="B3497" t="str">
        <v>Mars Ecosystem</v>
      </c>
      <c r="C3497" t="str">
        <v>CDP</v>
      </c>
      <c r="D3497" t="str">
        <v>XMS</v>
      </c>
      <c r="E3497">
        <v>283091.74027793488</v>
      </c>
      <c r="F3497">
        <v>234324.74761616535</v>
      </c>
    </row>
    <row r="3498" spans="2:6" ht="15.75" customHeight="1" x14ac:dyDescent="0.25">
      <c r="B3498" t="str">
        <v>Mars Lend</v>
      </c>
      <c r="C3498" t="str">
        <v>Lending</v>
      </c>
      <c r="D3498" t="str">
        <v>MARS</v>
      </c>
      <c r="E3498">
        <v>7556572.8967182087</v>
      </c>
      <c r="F3498">
        <v>0</v>
      </c>
    </row>
    <row r="3499" spans="2:6" ht="15.75" customHeight="1" x14ac:dyDescent="0.25">
      <c r="B3499" t="str">
        <v>Mars Perps</v>
      </c>
      <c r="C3499" t="str">
        <v>Derivatives</v>
      </c>
      <c r="D3499" t="str">
        <v>MARS</v>
      </c>
      <c r="E3499">
        <v>8427.5961404340305</v>
      </c>
      <c r="F3499">
        <v>0</v>
      </c>
    </row>
    <row r="3500" spans="2:6" ht="15.75" customHeight="1" x14ac:dyDescent="0.25">
      <c r="B3500" t="str">
        <v>Mars Poolin</v>
      </c>
      <c r="C3500" t="str">
        <v>Yield</v>
      </c>
      <c r="D3500" t="str">
        <v>MARS</v>
      </c>
      <c r="E3500">
        <v>131727.17507915039</v>
      </c>
      <c r="F3500">
        <v>43816.645948324178</v>
      </c>
    </row>
    <row r="3501" spans="2:6" ht="15.75" customHeight="1" x14ac:dyDescent="0.25">
      <c r="B3501" t="str">
        <v>MarshmallowDeFi</v>
      </c>
      <c r="C3501" t="str">
        <v>Yield</v>
      </c>
      <c r="D3501" t="str">
        <v>MASH</v>
      </c>
      <c r="E3501">
        <v>16021.949239418402</v>
      </c>
      <c r="F3501">
        <v>0</v>
      </c>
    </row>
    <row r="3502" spans="2:6" ht="15.75" customHeight="1" x14ac:dyDescent="0.25">
      <c r="B3502" t="str">
        <v>MARSWAP</v>
      </c>
      <c r="C3502" t="str">
        <v>Dexs</v>
      </c>
      <c r="D3502" t="str">
        <v>MSWAP</v>
      </c>
      <c r="E3502">
        <v>14598.945010343592</v>
      </c>
      <c r="F3502">
        <v>0</v>
      </c>
    </row>
    <row r="3503" spans="2:6" ht="15.75" customHeight="1" x14ac:dyDescent="0.25">
      <c r="B3503" t="str">
        <v>Mass</v>
      </c>
      <c r="C3503" t="str">
        <v>Interface</v>
      </c>
      <c r="D3503" t="str">
        <v>-</v>
      </c>
      <c r="E3503">
        <v>0</v>
      </c>
      <c r="F3503">
        <v>0</v>
      </c>
    </row>
    <row r="3504" spans="2:6" ht="15.75" customHeight="1" x14ac:dyDescent="0.25">
      <c r="B3504" t="str">
        <v>Match Finance</v>
      </c>
      <c r="C3504" t="str">
        <v>Yield Aggregator</v>
      </c>
      <c r="D3504" t="str">
        <v>-</v>
      </c>
      <c r="E3504">
        <v>6173.5704429408406</v>
      </c>
      <c r="F3504">
        <v>0</v>
      </c>
    </row>
    <row r="3505" spans="2:6" ht="15.75" customHeight="1" x14ac:dyDescent="0.25">
      <c r="B3505" t="str">
        <v>MateSwap</v>
      </c>
      <c r="C3505" t="str">
        <v>Dexs</v>
      </c>
      <c r="D3505" t="str">
        <v>-</v>
      </c>
      <c r="E3505">
        <v>1.9644881952530554E-3</v>
      </c>
      <c r="F3505">
        <v>0</v>
      </c>
    </row>
    <row r="3506" spans="2:6" ht="15.75" customHeight="1" x14ac:dyDescent="0.25">
      <c r="B3506" t="str">
        <v>Matrix Farm</v>
      </c>
      <c r="C3506" t="str">
        <v>Yield Aggregator</v>
      </c>
      <c r="D3506" t="str">
        <v>-</v>
      </c>
      <c r="E3506">
        <v>8775.5324139996501</v>
      </c>
      <c r="F3506">
        <v>0</v>
      </c>
    </row>
    <row r="3507" spans="2:6" ht="15.75" customHeight="1" x14ac:dyDescent="0.25">
      <c r="B3507" t="str">
        <v>MatrixAI</v>
      </c>
      <c r="C3507" t="str">
        <v>Algo-Stables</v>
      </c>
      <c r="D3507" t="str">
        <v>MATRIX</v>
      </c>
      <c r="E3507">
        <v>0.19555678599974491</v>
      </c>
      <c r="F3507">
        <v>0</v>
      </c>
    </row>
    <row r="3508" spans="2:6" ht="15.75" customHeight="1" x14ac:dyDescent="0.25">
      <c r="B3508" t="str">
        <v>MatrixDock STBT</v>
      </c>
      <c r="C3508" t="str">
        <v>RWA</v>
      </c>
      <c r="D3508" t="str">
        <v>-</v>
      </c>
      <c r="E3508">
        <v>8968619.4849729892</v>
      </c>
      <c r="F3508">
        <v>0</v>
      </c>
    </row>
    <row r="3509" spans="2:6" ht="15.75" customHeight="1" x14ac:dyDescent="0.25">
      <c r="B3509" t="str">
        <v>MatrixDock XAUM</v>
      </c>
      <c r="C3509" t="str">
        <v>RWA</v>
      </c>
      <c r="D3509" t="str">
        <v>-</v>
      </c>
      <c r="E3509">
        <v>66985272.268388182</v>
      </c>
      <c r="F3509">
        <v>0</v>
      </c>
    </row>
    <row r="3510" spans="2:6" ht="15.75" customHeight="1" x14ac:dyDescent="0.25">
      <c r="B3510" t="str">
        <v>MatStake</v>
      </c>
      <c r="C3510" t="str">
        <v>Staking Pool</v>
      </c>
      <c r="D3510" t="str">
        <v>-</v>
      </c>
      <c r="E3510">
        <v>0</v>
      </c>
      <c r="F3510">
        <v>0</v>
      </c>
    </row>
    <row r="3511" spans="2:6" ht="15.75" customHeight="1" x14ac:dyDescent="0.25">
      <c r="B3511" t="str">
        <v>Matter Defi</v>
      </c>
      <c r="C3511" t="str">
        <v>Yield</v>
      </c>
      <c r="D3511" t="str">
        <v>MTTR</v>
      </c>
      <c r="E3511">
        <v>36180.777452674956</v>
      </c>
      <c r="F3511">
        <v>0</v>
      </c>
    </row>
    <row r="3512" spans="2:6" ht="15.75" customHeight="1" x14ac:dyDescent="0.25">
      <c r="B3512" t="str">
        <v>Mauve</v>
      </c>
      <c r="C3512" t="str">
        <v>Dexs</v>
      </c>
      <c r="D3512" t="str">
        <v>-</v>
      </c>
      <c r="E3512">
        <v>974.69348466090662</v>
      </c>
      <c r="F3512">
        <v>0</v>
      </c>
    </row>
    <row r="3513" spans="2:6" ht="15.75" customHeight="1" x14ac:dyDescent="0.25">
      <c r="B3513" t="str">
        <v>Maverick V1</v>
      </c>
      <c r="C3513" t="str">
        <v>Dexs</v>
      </c>
      <c r="D3513" t="str">
        <v>MAV</v>
      </c>
      <c r="E3513">
        <v>1342174.6827825732</v>
      </c>
      <c r="F3513">
        <v>0</v>
      </c>
    </row>
    <row r="3514" spans="2:6" ht="15.75" customHeight="1" x14ac:dyDescent="0.25">
      <c r="B3514" t="str">
        <v>Maverick V2</v>
      </c>
      <c r="C3514" t="str">
        <v>Dexs</v>
      </c>
      <c r="D3514" t="str">
        <v>MAV</v>
      </c>
      <c r="E3514">
        <v>3986481.5443564518</v>
      </c>
      <c r="F3514">
        <v>0</v>
      </c>
    </row>
    <row r="3515" spans="2:6" ht="15.75" customHeight="1" x14ac:dyDescent="0.25">
      <c r="B3515" t="str">
        <v>maxAPY</v>
      </c>
      <c r="C3515" t="str">
        <v>Yield Aggregator</v>
      </c>
      <c r="D3515" t="str">
        <v>-</v>
      </c>
      <c r="E3515">
        <v>95557.092458767336</v>
      </c>
      <c r="F3515">
        <v>0</v>
      </c>
    </row>
    <row r="3516" spans="2:6" ht="15.75" customHeight="1" x14ac:dyDescent="0.25">
      <c r="B3516" t="str">
        <v>Maximizer</v>
      </c>
      <c r="C3516" t="str">
        <v>Reserve Currency</v>
      </c>
      <c r="D3516" t="str">
        <v>MAXI</v>
      </c>
      <c r="E3516">
        <v>0.45727932500696494</v>
      </c>
      <c r="F3516">
        <v>1737942.8119718947</v>
      </c>
    </row>
    <row r="3517" spans="2:6" ht="15.75" customHeight="1" x14ac:dyDescent="0.25">
      <c r="B3517" t="str">
        <v>Maximus</v>
      </c>
      <c r="C3517" t="str">
        <v>Dexs</v>
      </c>
      <c r="D3517" t="str">
        <v>-</v>
      </c>
      <c r="E3517">
        <v>0</v>
      </c>
      <c r="F3517">
        <v>0</v>
      </c>
    </row>
    <row r="3518" spans="2:6" ht="15.75" customHeight="1" x14ac:dyDescent="0.25">
      <c r="B3518" t="str">
        <v>MaxShot</v>
      </c>
      <c r="C3518" t="str">
        <v>Onchain Capital Allocator</v>
      </c>
      <c r="D3518" t="str">
        <v>-</v>
      </c>
      <c r="E3518">
        <v>5825882.9941209033</v>
      </c>
      <c r="F3518">
        <v>0</v>
      </c>
    </row>
    <row r="3519" spans="2:6" ht="15.75" customHeight="1" x14ac:dyDescent="0.25">
      <c r="B3519" t="str">
        <v>Maya Protocol</v>
      </c>
      <c r="C3519" t="str">
        <v>Cross Chain Bridge</v>
      </c>
      <c r="D3519" t="str">
        <v>CACAO</v>
      </c>
      <c r="E3519">
        <v>13496223.600012468</v>
      </c>
      <c r="F3519">
        <v>13453913.189672541</v>
      </c>
    </row>
    <row r="3520" spans="2:6" ht="15.75" customHeight="1" x14ac:dyDescent="0.25">
      <c r="B3520" t="str">
        <v>Mayan</v>
      </c>
      <c r="C3520" t="str">
        <v>DEX Aggregator</v>
      </c>
      <c r="D3520" t="str">
        <v>-</v>
      </c>
      <c r="E3520">
        <v>0</v>
      </c>
      <c r="F3520">
        <v>0</v>
      </c>
    </row>
    <row r="3521" spans="2:6" ht="15.75" customHeight="1" x14ac:dyDescent="0.25">
      <c r="B3521" t="str">
        <v>Mayfair Fund</v>
      </c>
      <c r="C3521" t="str">
        <v>Farm</v>
      </c>
      <c r="D3521" t="str">
        <v>MAY</v>
      </c>
      <c r="E3521">
        <v>124.52346446310671</v>
      </c>
      <c r="F3521">
        <v>0</v>
      </c>
    </row>
    <row r="3522" spans="2:6" ht="15.75" customHeight="1" x14ac:dyDescent="0.25">
      <c r="B3522" t="str">
        <v>MAYZ Protocol</v>
      </c>
      <c r="C3522" t="str">
        <v>Indexes</v>
      </c>
      <c r="D3522" t="str">
        <v>MAYZ</v>
      </c>
      <c r="E3522">
        <v>27.957243752201407</v>
      </c>
      <c r="F3522">
        <v>0</v>
      </c>
    </row>
    <row r="3523" spans="2:6" ht="15.75" customHeight="1" x14ac:dyDescent="0.25">
      <c r="B3523" t="str">
        <v>MCDEX</v>
      </c>
      <c r="C3523" t="str">
        <v>Dexs</v>
      </c>
      <c r="D3523" t="str">
        <v>MCB</v>
      </c>
      <c r="E3523">
        <v>1758636.2739815931</v>
      </c>
      <c r="F3523">
        <v>0</v>
      </c>
    </row>
    <row r="3524" spans="2:6" ht="15.75" customHeight="1" x14ac:dyDescent="0.25">
      <c r="B3524" t="str">
        <v>MDEX</v>
      </c>
      <c r="C3524" t="str">
        <v>Dexs</v>
      </c>
      <c r="D3524" t="str">
        <v>MDX</v>
      </c>
      <c r="E3524">
        <v>1639097.8064627575</v>
      </c>
      <c r="F3524">
        <v>0</v>
      </c>
    </row>
    <row r="3525" spans="2:6" ht="15.75" customHeight="1" x14ac:dyDescent="0.25">
      <c r="B3525" t="str">
        <v>Meeds Finance</v>
      </c>
      <c r="C3525" t="str">
        <v>Farm</v>
      </c>
      <c r="D3525" t="str">
        <v>MEED</v>
      </c>
      <c r="E3525">
        <v>0</v>
      </c>
      <c r="F3525">
        <v>14175706.213800739</v>
      </c>
    </row>
    <row r="3526" spans="2:6" ht="15.75" customHeight="1" x14ac:dyDescent="0.25">
      <c r="B3526" t="str">
        <v>MegaETH Bridge</v>
      </c>
      <c r="C3526" t="str">
        <v>Canonical Bridge</v>
      </c>
      <c r="D3526" t="str">
        <v>-</v>
      </c>
      <c r="E3526">
        <v>1054110.2680817149</v>
      </c>
      <c r="F3526">
        <v>0</v>
      </c>
    </row>
    <row r="3527" spans="2:6" ht="15.75" customHeight="1" x14ac:dyDescent="0.25">
      <c r="B3527" t="str">
        <v>Megalon</v>
      </c>
      <c r="C3527" t="str">
        <v>Dexs</v>
      </c>
      <c r="D3527" t="str">
        <v>-</v>
      </c>
      <c r="E3527">
        <v>3191.2238797717509</v>
      </c>
      <c r="F3527">
        <v>0</v>
      </c>
    </row>
    <row r="3528" spans="2:6" ht="15.75" customHeight="1" x14ac:dyDescent="0.25">
      <c r="B3528" t="str">
        <v>MegaMoon</v>
      </c>
      <c r="C3528" t="str">
        <v>Luck Games</v>
      </c>
      <c r="D3528" t="str">
        <v>-</v>
      </c>
      <c r="E3528">
        <v>39606.20483844429</v>
      </c>
      <c r="F3528">
        <v>0</v>
      </c>
    </row>
    <row r="3529" spans="2:6" ht="15.75" customHeight="1" x14ac:dyDescent="0.25">
      <c r="B3529" t="str">
        <v>Megaton Finance</v>
      </c>
      <c r="C3529" t="str">
        <v>Dexs</v>
      </c>
      <c r="D3529" t="str">
        <v>MEGA</v>
      </c>
      <c r="E3529">
        <v>1348780.4221024457</v>
      </c>
      <c r="F3529">
        <v>0</v>
      </c>
    </row>
    <row r="3530" spans="2:6" ht="15.75" customHeight="1" x14ac:dyDescent="0.25">
      <c r="B3530" t="str">
        <v>Melania Meme</v>
      </c>
      <c r="C3530" t="str">
        <v>Meme</v>
      </c>
      <c r="D3530" t="str">
        <v>MELANIA</v>
      </c>
      <c r="E3530">
        <v>0</v>
      </c>
      <c r="F3530">
        <v>139603956.45397848</v>
      </c>
    </row>
    <row r="3531" spans="2:6" ht="15.75" customHeight="1" x14ac:dyDescent="0.25">
      <c r="B3531" t="str">
        <v>Meld</v>
      </c>
      <c r="C3531" t="str">
        <v>Lending</v>
      </c>
      <c r="D3531" t="str">
        <v>MELD</v>
      </c>
      <c r="E3531">
        <v>0</v>
      </c>
      <c r="F3531">
        <v>39319.985763928744</v>
      </c>
    </row>
    <row r="3532" spans="2:6" ht="15.75" customHeight="1" x14ac:dyDescent="0.25">
      <c r="B3532" t="str">
        <v>Meld Gold</v>
      </c>
      <c r="C3532" t="str">
        <v>RWA</v>
      </c>
      <c r="D3532" t="str">
        <v>-</v>
      </c>
      <c r="E3532">
        <v>11044327.919552859</v>
      </c>
      <c r="F3532">
        <v>0</v>
      </c>
    </row>
    <row r="3533" spans="2:6" ht="15.75" customHeight="1" x14ac:dyDescent="0.25">
      <c r="B3533" t="str">
        <v>Melegaswap</v>
      </c>
      <c r="C3533" t="str">
        <v>Dexs</v>
      </c>
      <c r="D3533" t="str">
        <v>-</v>
      </c>
      <c r="E3533">
        <v>1040457.9844600196</v>
      </c>
      <c r="F3533">
        <v>0</v>
      </c>
    </row>
    <row r="3534" spans="2:6" ht="15.75" customHeight="1" x14ac:dyDescent="0.25">
      <c r="B3534" t="str">
        <v>Mellow</v>
      </c>
      <c r="C3534" t="str">
        <v>SoFi</v>
      </c>
      <c r="D3534" t="str">
        <v>-</v>
      </c>
      <c r="E3534">
        <v>4573.7834002117052</v>
      </c>
      <c r="F3534">
        <v>0</v>
      </c>
    </row>
    <row r="3535" spans="2:6" ht="15.75" customHeight="1" x14ac:dyDescent="0.25">
      <c r="B3535" t="str">
        <v>Mellow LRT</v>
      </c>
      <c r="C3535" t="str">
        <v>Liquid Restaking</v>
      </c>
      <c r="D3535" t="str">
        <v>-</v>
      </c>
      <c r="E3535">
        <v>286033802.30275714</v>
      </c>
      <c r="F3535">
        <v>0</v>
      </c>
    </row>
    <row r="3536" spans="2:6" ht="15.75" customHeight="1" x14ac:dyDescent="0.25">
      <c r="B3536" t="str">
        <v>Mellow Yield</v>
      </c>
      <c r="C3536" t="str">
        <v>Yield Aggregator</v>
      </c>
      <c r="D3536" t="str">
        <v>-</v>
      </c>
      <c r="E3536">
        <v>128810.00694316914</v>
      </c>
      <c r="F3536">
        <v>0</v>
      </c>
    </row>
    <row r="3537" spans="2:6" ht="15.75" customHeight="1" x14ac:dyDescent="0.25">
      <c r="B3537" t="str">
        <v>Meme Cooking</v>
      </c>
      <c r="C3537" t="str">
        <v>Launchpad</v>
      </c>
      <c r="D3537" t="str">
        <v>-</v>
      </c>
      <c r="E3537">
        <v>1619.7607700220231</v>
      </c>
      <c r="F3537">
        <v>0</v>
      </c>
    </row>
    <row r="3538" spans="2:6" ht="15.75" customHeight="1" x14ac:dyDescent="0.25">
      <c r="B3538" t="str">
        <v>Meme Dollar</v>
      </c>
      <c r="C3538" t="str">
        <v>Algo-Stables</v>
      </c>
      <c r="D3538" t="str">
        <v>PINA</v>
      </c>
      <c r="E3538">
        <v>0</v>
      </c>
      <c r="F3538">
        <v>0</v>
      </c>
    </row>
    <row r="3539" spans="2:6" ht="15.75" customHeight="1" x14ac:dyDescent="0.25">
      <c r="B3539" t="str">
        <v>Meme Wallet</v>
      </c>
      <c r="C3539" t="str">
        <v>Launchpad</v>
      </c>
      <c r="D3539" t="str">
        <v>-</v>
      </c>
      <c r="E3539">
        <v>5165.5399297473878</v>
      </c>
      <c r="F3539">
        <v>0</v>
      </c>
    </row>
    <row r="3540" spans="2:6" ht="15.75" customHeight="1" x14ac:dyDescent="0.25">
      <c r="B3540" t="str">
        <v>Memebox</v>
      </c>
      <c r="C3540" t="str">
        <v>Dexs</v>
      </c>
      <c r="D3540" t="str">
        <v>-</v>
      </c>
      <c r="E3540">
        <v>5552.8935328167991</v>
      </c>
      <c r="F3540">
        <v>0</v>
      </c>
    </row>
    <row r="3541" spans="2:6" ht="15.75" customHeight="1" x14ac:dyDescent="0.25">
      <c r="B3541" t="str">
        <v>MEMECAST.AI</v>
      </c>
      <c r="C3541" t="str">
        <v>Prediction Market</v>
      </c>
      <c r="D3541" t="str">
        <v>MCAI</v>
      </c>
      <c r="E3541">
        <v>0</v>
      </c>
      <c r="F3541">
        <v>5122.3565080534518</v>
      </c>
    </row>
    <row r="3542" spans="2:6" ht="15.75" customHeight="1" x14ac:dyDescent="0.25">
      <c r="B3542" t="str">
        <v>Memecoin</v>
      </c>
      <c r="C3542" t="str">
        <v>Farm</v>
      </c>
      <c r="D3542" t="str">
        <v>MEME</v>
      </c>
      <c r="E3542">
        <v>0</v>
      </c>
      <c r="F3542">
        <v>69595689.488898546</v>
      </c>
    </row>
    <row r="3543" spans="2:6" ht="15.75" customHeight="1" x14ac:dyDescent="0.25">
      <c r="B3543" t="str">
        <v>MemeDex</v>
      </c>
      <c r="C3543" t="str">
        <v>Dexs</v>
      </c>
      <c r="D3543" t="str">
        <v>MEME</v>
      </c>
      <c r="E3543">
        <v>64471.471871137401</v>
      </c>
      <c r="F3543">
        <v>0</v>
      </c>
    </row>
    <row r="3544" spans="2:6" ht="15.75" customHeight="1" x14ac:dyDescent="0.25">
      <c r="B3544" t="str">
        <v>MemeJob</v>
      </c>
      <c r="C3544" t="str">
        <v>Launchpad</v>
      </c>
      <c r="D3544" t="str">
        <v>-</v>
      </c>
      <c r="E3544">
        <v>71708.100847308437</v>
      </c>
      <c r="F3544">
        <v>0</v>
      </c>
    </row>
    <row r="3545" spans="2:6" ht="15.75" customHeight="1" x14ac:dyDescent="0.25">
      <c r="B3545" t="str">
        <v>Memeswap</v>
      </c>
      <c r="C3545" t="str">
        <v>Dexs</v>
      </c>
      <c r="D3545" t="str">
        <v>-</v>
      </c>
      <c r="E3545">
        <v>2922.1069267193097</v>
      </c>
      <c r="F3545">
        <v>0</v>
      </c>
    </row>
    <row r="3546" spans="2:6" ht="15.75" customHeight="1" x14ac:dyDescent="0.25">
      <c r="B3546" t="str">
        <v>Memeta</v>
      </c>
      <c r="C3546" t="str">
        <v>Launchpad</v>
      </c>
      <c r="D3546" t="str">
        <v>-</v>
      </c>
      <c r="E3546">
        <v>2341.6432207056287</v>
      </c>
      <c r="F3546">
        <v>0</v>
      </c>
    </row>
    <row r="3547" spans="2:6" ht="15.75" customHeight="1" x14ac:dyDescent="0.25">
      <c r="B3547" t="str">
        <v>MemeWe.Club</v>
      </c>
      <c r="C3547" t="str">
        <v>Launchpad</v>
      </c>
      <c r="D3547" t="str">
        <v>-</v>
      </c>
      <c r="E3547">
        <v>0</v>
      </c>
      <c r="F3547">
        <v>0</v>
      </c>
    </row>
    <row r="3548" spans="2:6" ht="15.75" customHeight="1" x14ac:dyDescent="0.25">
      <c r="B3548" t="str">
        <v>Mendi Finance</v>
      </c>
      <c r="C3548" t="str">
        <v>Lending</v>
      </c>
      <c r="D3548" t="str">
        <v>MENDI</v>
      </c>
      <c r="E3548">
        <v>3642852.9660373367</v>
      </c>
      <c r="F3548">
        <v>317734.24523407582</v>
      </c>
    </row>
    <row r="3549" spans="2:6" ht="15.75" customHeight="1" x14ac:dyDescent="0.25">
      <c r="B3549" t="str">
        <v>Mensa Protocol</v>
      </c>
      <c r="C3549" t="str">
        <v>Lending</v>
      </c>
      <c r="D3549" t="str">
        <v>MSA</v>
      </c>
      <c r="E3549">
        <v>0</v>
      </c>
      <c r="F3549">
        <v>0</v>
      </c>
    </row>
    <row r="3550" spans="2:6" ht="15.75" customHeight="1" x14ac:dyDescent="0.25">
      <c r="B3550" t="str">
        <v>Mento</v>
      </c>
      <c r="C3550" t="str">
        <v>Algo-Stables</v>
      </c>
      <c r="D3550" t="str">
        <v>MENTO</v>
      </c>
      <c r="E3550">
        <v>21398928.271304246</v>
      </c>
      <c r="F3550">
        <v>0</v>
      </c>
    </row>
    <row r="3551" spans="2:6" ht="15.75" customHeight="1" x14ac:dyDescent="0.25">
      <c r="B3551" t="str">
        <v>Meow Miner</v>
      </c>
      <c r="C3551" t="str">
        <v>Ponzi</v>
      </c>
      <c r="D3551" t="str">
        <v>-</v>
      </c>
      <c r="E3551">
        <v>6.2016558493042724E-2</v>
      </c>
      <c r="F3551">
        <v>0</v>
      </c>
    </row>
    <row r="3552" spans="2:6" ht="15.75" customHeight="1" x14ac:dyDescent="0.25">
      <c r="B3552" t="str">
        <v>Meow Protocol</v>
      </c>
      <c r="C3552" t="str">
        <v>Lending</v>
      </c>
      <c r="D3552" t="str">
        <v>-</v>
      </c>
      <c r="E3552">
        <v>37.835576038975489</v>
      </c>
      <c r="F3552">
        <v>0</v>
      </c>
    </row>
    <row r="3553" spans="2:6" ht="15.75" customHeight="1" x14ac:dyDescent="0.25">
      <c r="B3553" t="str">
        <v>Meowl</v>
      </c>
      <c r="C3553" t="str">
        <v>Services</v>
      </c>
      <c r="D3553" t="str">
        <v>MEOWL</v>
      </c>
      <c r="E3553">
        <v>0</v>
      </c>
      <c r="F3553">
        <v>4732.2196713993599</v>
      </c>
    </row>
    <row r="3554" spans="2:6" ht="15.75" customHeight="1" x14ac:dyDescent="0.25">
      <c r="B3554" t="str">
        <v>Meowswap</v>
      </c>
      <c r="C3554" t="str">
        <v>Yield</v>
      </c>
      <c r="D3554" t="str">
        <v>MEOW</v>
      </c>
      <c r="E3554">
        <v>2173.0410387873694</v>
      </c>
      <c r="F3554">
        <v>0</v>
      </c>
    </row>
    <row r="3555" spans="2:6" ht="15.75" customHeight="1" x14ac:dyDescent="0.25">
      <c r="B3555" t="str">
        <v>MeowSwapFi</v>
      </c>
      <c r="C3555" t="str">
        <v>Dexs</v>
      </c>
      <c r="D3555" t="str">
        <v>MEOW</v>
      </c>
      <c r="E3555">
        <v>0</v>
      </c>
      <c r="F3555">
        <v>0</v>
      </c>
    </row>
    <row r="3556" spans="2:6" ht="15.75" customHeight="1" x14ac:dyDescent="0.25">
      <c r="B3556" t="str">
        <v>Mercatus</v>
      </c>
      <c r="C3556" t="str">
        <v>Dexs</v>
      </c>
      <c r="D3556" t="str">
        <v>KDX</v>
      </c>
      <c r="E3556">
        <v>0</v>
      </c>
      <c r="F3556">
        <v>0</v>
      </c>
    </row>
    <row r="3557" spans="2:6" ht="15.75" customHeight="1" x14ac:dyDescent="0.25">
      <c r="B3557" t="str">
        <v>Merchant Finance</v>
      </c>
      <c r="C3557" t="str">
        <v>Lending</v>
      </c>
      <c r="D3557" t="str">
        <v/>
      </c>
      <c r="E3557">
        <v>5.04E-6</v>
      </c>
      <c r="F3557">
        <v>0</v>
      </c>
    </row>
    <row r="3558" spans="2:6" ht="15.75" customHeight="1" x14ac:dyDescent="0.25">
      <c r="B3558" t="str">
        <v>Merchant Moe DEX</v>
      </c>
      <c r="C3558" t="str">
        <v>Dexs</v>
      </c>
      <c r="D3558" t="str">
        <v>MOE</v>
      </c>
      <c r="E3558">
        <v>643482.16932824603</v>
      </c>
      <c r="F3558">
        <v>0</v>
      </c>
    </row>
    <row r="3559" spans="2:6" ht="15.75" customHeight="1" x14ac:dyDescent="0.25">
      <c r="B3559" t="str">
        <v>Merchant Moe Liquidity Book</v>
      </c>
      <c r="C3559" t="str">
        <v>Dexs</v>
      </c>
      <c r="D3559" t="str">
        <v>MOE</v>
      </c>
      <c r="E3559">
        <v>60222773.094292819</v>
      </c>
      <c r="F3559">
        <v>0</v>
      </c>
    </row>
    <row r="3560" spans="2:6" ht="15.75" customHeight="1" x14ac:dyDescent="0.25">
      <c r="B3560" t="str">
        <v>Mercurity</v>
      </c>
      <c r="C3560" t="str">
        <v>Dexs</v>
      </c>
      <c r="D3560" t="str">
        <v>MEE</v>
      </c>
      <c r="E3560">
        <v>14010.905335158248</v>
      </c>
      <c r="F3560">
        <v>0</v>
      </c>
    </row>
    <row r="3561" spans="2:6" ht="15.75" customHeight="1" x14ac:dyDescent="0.25">
      <c r="B3561" t="str">
        <v>Meridian AMM</v>
      </c>
      <c r="C3561" t="str">
        <v>Dexs</v>
      </c>
      <c r="D3561" t="str">
        <v>-</v>
      </c>
      <c r="E3561">
        <v>9502382.4336598273</v>
      </c>
      <c r="F3561">
        <v>0</v>
      </c>
    </row>
    <row r="3562" spans="2:6" ht="15.75" customHeight="1" x14ac:dyDescent="0.25">
      <c r="B3562" t="str">
        <v>Meridian Finance</v>
      </c>
      <c r="C3562" t="str">
        <v>CDP</v>
      </c>
      <c r="D3562" t="str">
        <v>MST</v>
      </c>
      <c r="E3562">
        <v>82789.252539940164</v>
      </c>
      <c r="F3562">
        <v>0</v>
      </c>
    </row>
    <row r="3563" spans="2:6" ht="15.75" customHeight="1" x14ac:dyDescent="0.25">
      <c r="B3563" t="str">
        <v>Meridian Lend</v>
      </c>
      <c r="C3563" t="str">
        <v>Lending</v>
      </c>
      <c r="D3563" t="str">
        <v>-</v>
      </c>
      <c r="E3563">
        <v>70663.222758810705</v>
      </c>
      <c r="F3563">
        <v>0</v>
      </c>
    </row>
    <row r="3564" spans="2:6" ht="15.75" customHeight="1" x14ac:dyDescent="0.25">
      <c r="B3564" t="str">
        <v>Meridian Swap</v>
      </c>
      <c r="C3564" t="str">
        <v>Dexs</v>
      </c>
      <c r="D3564" t="str">
        <v>MST</v>
      </c>
      <c r="E3564">
        <v>12250.512400571584</v>
      </c>
      <c r="F3564">
        <v>0</v>
      </c>
    </row>
    <row r="3565" spans="2:6" ht="15.75" customHeight="1" x14ac:dyDescent="0.25">
      <c r="B3565" t="str">
        <v>Meridian Trade</v>
      </c>
      <c r="C3565" t="str">
        <v>Derivatives</v>
      </c>
      <c r="D3565" t="str">
        <v>MST</v>
      </c>
      <c r="E3565">
        <v>356.86259800482986</v>
      </c>
      <c r="F3565">
        <v>0</v>
      </c>
    </row>
    <row r="3566" spans="2:6" ht="15.75" customHeight="1" x14ac:dyDescent="0.25">
      <c r="B3566" t="str">
        <v>Merit Circle</v>
      </c>
      <c r="C3566" t="str">
        <v>Launchpad</v>
      </c>
      <c r="D3566" t="str">
        <v>MC</v>
      </c>
      <c r="E3566">
        <v>0</v>
      </c>
      <c r="F3566">
        <v>556642.11985672067</v>
      </c>
    </row>
    <row r="3567" spans="2:6" ht="15.75" customHeight="1" x14ac:dyDescent="0.25">
      <c r="B3567" t="str">
        <v>Merkl</v>
      </c>
      <c r="C3567" t="str">
        <v>Yield</v>
      </c>
      <c r="D3567" t="str">
        <v>ANGLE</v>
      </c>
      <c r="E3567">
        <v>0</v>
      </c>
      <c r="F3567">
        <v>0</v>
      </c>
    </row>
    <row r="3568" spans="2:6" ht="15.75" customHeight="1" x14ac:dyDescent="0.25">
      <c r="B3568" t="str">
        <v>Merkle Trade</v>
      </c>
      <c r="C3568" t="str">
        <v>Derivatives</v>
      </c>
      <c r="D3568" t="str">
        <v>MKL</v>
      </c>
      <c r="E3568">
        <v>5020082.6483960636</v>
      </c>
      <c r="F3568">
        <v>2452921.7904869253</v>
      </c>
    </row>
    <row r="3569" spans="2:6" ht="15.75" customHeight="1" x14ac:dyDescent="0.25">
      <c r="B3569" t="str">
        <v>Merlin</v>
      </c>
      <c r="C3569" t="str">
        <v>Yield</v>
      </c>
      <c r="D3569" t="str">
        <v>MERL</v>
      </c>
      <c r="E3569">
        <v>0</v>
      </c>
      <c r="F3569">
        <v>0</v>
      </c>
    </row>
    <row r="3570" spans="2:6" ht="15.75" customHeight="1" x14ac:dyDescent="0.25">
      <c r="B3570" t="str">
        <v>MERLIN DEX</v>
      </c>
      <c r="C3570" t="str">
        <v>Dexs</v>
      </c>
      <c r="D3570" t="str">
        <v>MAGE</v>
      </c>
      <c r="E3570">
        <v>0</v>
      </c>
      <c r="F3570">
        <v>0</v>
      </c>
    </row>
    <row r="3571" spans="2:6" ht="15.75" customHeight="1" x14ac:dyDescent="0.25">
      <c r="B3571" t="str">
        <v>Merlins Seal</v>
      </c>
      <c r="C3571" t="str">
        <v>Bridge</v>
      </c>
      <c r="D3571" t="str">
        <v>-</v>
      </c>
      <c r="E3571">
        <v>570245873.37054324</v>
      </c>
      <c r="F3571">
        <v>0</v>
      </c>
    </row>
    <row r="3572" spans="2:6" ht="15.75" customHeight="1" x14ac:dyDescent="0.25">
      <c r="B3572" t="str">
        <v>MerlinSwap</v>
      </c>
      <c r="C3572" t="str">
        <v>Dexs</v>
      </c>
      <c r="D3572" t="str">
        <v>MP</v>
      </c>
      <c r="E3572">
        <v>21542823.072974198</v>
      </c>
      <c r="F3572">
        <v>671101.66813536</v>
      </c>
    </row>
    <row r="3573" spans="2:6" ht="15.75" customHeight="1" x14ac:dyDescent="0.25">
      <c r="B3573" t="str">
        <v>Mero</v>
      </c>
      <c r="C3573" t="str">
        <v>Yield</v>
      </c>
      <c r="D3573" t="str">
        <v>-</v>
      </c>
      <c r="E3573">
        <v>95173.926447865597</v>
      </c>
      <c r="F3573">
        <v>0</v>
      </c>
    </row>
    <row r="3574" spans="2:6" ht="15.75" customHeight="1" x14ac:dyDescent="0.25">
      <c r="B3574" t="str">
        <v>Mesher</v>
      </c>
      <c r="C3574" t="str">
        <v>Lending</v>
      </c>
      <c r="D3574" t="str">
        <v>DON</v>
      </c>
      <c r="E3574">
        <v>411777.05432483886</v>
      </c>
      <c r="F3574">
        <v>0</v>
      </c>
    </row>
    <row r="3575" spans="2:6" ht="15.75" customHeight="1" x14ac:dyDescent="0.25">
      <c r="B3575" t="str">
        <v>Meshswap</v>
      </c>
      <c r="C3575" t="str">
        <v>Dexs</v>
      </c>
      <c r="D3575" t="str">
        <v>MESH</v>
      </c>
      <c r="E3575">
        <v>421935.32118944242</v>
      </c>
      <c r="F3575">
        <v>0</v>
      </c>
    </row>
    <row r="3576" spans="2:6" ht="15.75" customHeight="1" x14ac:dyDescent="0.25">
      <c r="B3576" t="str">
        <v>Meso Finance</v>
      </c>
      <c r="C3576" t="str">
        <v>Lending</v>
      </c>
      <c r="D3576" t="str">
        <v>MESO</v>
      </c>
      <c r="E3576">
        <v>1006009.7669117443</v>
      </c>
      <c r="F3576">
        <v>2293378.6674321508</v>
      </c>
    </row>
    <row r="3577" spans="2:6" ht="15.75" customHeight="1" x14ac:dyDescent="0.25">
      <c r="B3577" t="str">
        <v>Meso Finance Fantom Farm</v>
      </c>
      <c r="C3577" t="str">
        <v>Yield</v>
      </c>
      <c r="D3577" t="str">
        <v>fMESO</v>
      </c>
      <c r="E3577">
        <v>45.647294123060327</v>
      </c>
      <c r="F3577">
        <v>0</v>
      </c>
    </row>
    <row r="3578" spans="2:6" ht="15.75" customHeight="1" x14ac:dyDescent="0.25">
      <c r="B3578" t="str">
        <v>Meson</v>
      </c>
      <c r="C3578" t="str">
        <v>Cross Chain Bridge</v>
      </c>
      <c r="D3578" t="str">
        <v>-</v>
      </c>
      <c r="E3578">
        <v>1877445.19133016</v>
      </c>
      <c r="F3578">
        <v>0</v>
      </c>
    </row>
    <row r="3579" spans="2:6" ht="15.75" customHeight="1" x14ac:dyDescent="0.25">
      <c r="B3579" t="str">
        <v>Messina Bridge</v>
      </c>
      <c r="C3579" t="str">
        <v>Cross Chain Bridge</v>
      </c>
      <c r="D3579" t="str">
        <v>-</v>
      </c>
      <c r="E3579">
        <v>2642315.6807428556</v>
      </c>
      <c r="F3579">
        <v>0</v>
      </c>
    </row>
    <row r="3580" spans="2:6" ht="15.75" customHeight="1" x14ac:dyDescent="0.25">
      <c r="B3580" t="str">
        <v>Messina Liquid Staking</v>
      </c>
      <c r="C3580" t="str">
        <v>Liquid Staking</v>
      </c>
      <c r="D3580" t="str">
        <v>-</v>
      </c>
      <c r="E3580">
        <v>1628606.9236341706</v>
      </c>
      <c r="F3580">
        <v>0</v>
      </c>
    </row>
    <row r="3581" spans="2:6" ht="15.75" customHeight="1" x14ac:dyDescent="0.25">
      <c r="B3581" t="str">
        <v>Meta Pool ETH</v>
      </c>
      <c r="C3581" t="str">
        <v>Liquid Staking</v>
      </c>
      <c r="D3581" t="str">
        <v>MPDAO</v>
      </c>
      <c r="E3581">
        <v>32817480.980655227</v>
      </c>
      <c r="F3581">
        <v>0</v>
      </c>
    </row>
    <row r="3582" spans="2:6" ht="15.75" customHeight="1" x14ac:dyDescent="0.25">
      <c r="B3582" t="str">
        <v>Meta Pool mpSOL</v>
      </c>
      <c r="C3582" t="str">
        <v>Liquid Restaking</v>
      </c>
      <c r="D3582" t="str">
        <v>-</v>
      </c>
      <c r="E3582">
        <v>267706.39453525789</v>
      </c>
      <c r="F3582">
        <v>0</v>
      </c>
    </row>
    <row r="3583" spans="2:6" ht="15.75" customHeight="1" x14ac:dyDescent="0.25">
      <c r="B3583" t="str">
        <v>Meta Pool Near</v>
      </c>
      <c r="C3583" t="str">
        <v>Liquid Staking</v>
      </c>
      <c r="D3583" t="str">
        <v>MPDAO</v>
      </c>
      <c r="E3583">
        <v>58086716.104220703</v>
      </c>
      <c r="F3583">
        <v>0</v>
      </c>
    </row>
    <row r="3584" spans="2:6" ht="15.75" customHeight="1" x14ac:dyDescent="0.25">
      <c r="B3584" t="str">
        <v>Meta Pool stIP</v>
      </c>
      <c r="C3584" t="str">
        <v>Liquid Staking</v>
      </c>
      <c r="D3584" t="str">
        <v>-</v>
      </c>
      <c r="E3584">
        <v>2850375.5890119579</v>
      </c>
      <c r="F3584">
        <v>0</v>
      </c>
    </row>
    <row r="3585" spans="2:6" ht="15.75" customHeight="1" x14ac:dyDescent="0.25">
      <c r="B3585" t="str">
        <v>MetaCoin Swap</v>
      </c>
      <c r="C3585" t="str">
        <v>Dexs</v>
      </c>
      <c r="D3585" t="str">
        <v>-</v>
      </c>
      <c r="E3585">
        <v>1025920.0481164748</v>
      </c>
      <c r="F3585">
        <v>0</v>
      </c>
    </row>
    <row r="3586" spans="2:6" ht="15.75" customHeight="1" x14ac:dyDescent="0.25">
      <c r="B3586" t="str">
        <v>MetaCrono</v>
      </c>
      <c r="C3586" t="str">
        <v>Yield Aggregator</v>
      </c>
      <c r="D3586" t="str">
        <v>METACRONO</v>
      </c>
      <c r="E3586">
        <v>127.81750519939325</v>
      </c>
      <c r="F3586">
        <v>0</v>
      </c>
    </row>
    <row r="3587" spans="2:6" ht="15.75" customHeight="1" x14ac:dyDescent="0.25">
      <c r="B3587" t="str">
        <v>MetaDAO</v>
      </c>
      <c r="C3587" t="str">
        <v>Dexs</v>
      </c>
      <c r="D3587" t="str">
        <v>META</v>
      </c>
      <c r="E3587">
        <v>0</v>
      </c>
      <c r="F3587">
        <v>163699834.13618955</v>
      </c>
    </row>
    <row r="3588" spans="2:6" ht="15.75" customHeight="1" x14ac:dyDescent="0.25">
      <c r="B3588" t="str">
        <v>MetaHub Finance</v>
      </c>
      <c r="C3588" t="str">
        <v>Farm</v>
      </c>
      <c r="D3588" t="str">
        <v>MEN</v>
      </c>
      <c r="E3588">
        <v>1.8982485685610726E-5</v>
      </c>
      <c r="F3588">
        <v>0</v>
      </c>
    </row>
    <row r="3589" spans="2:6" ht="15.75" customHeight="1" x14ac:dyDescent="0.25">
      <c r="B3589" t="str">
        <v>MetaID</v>
      </c>
      <c r="C3589" t="str">
        <v>Staking Pool</v>
      </c>
      <c r="D3589" t="str">
        <v>-</v>
      </c>
      <c r="E3589">
        <v>0.13507353855621973</v>
      </c>
      <c r="F3589">
        <v>0</v>
      </c>
    </row>
    <row r="3590" spans="2:6" ht="15.75" customHeight="1" x14ac:dyDescent="0.25">
      <c r="B3590" t="str">
        <v>Metal X</v>
      </c>
      <c r="C3590" t="str">
        <v>Gaming</v>
      </c>
      <c r="D3590" t="str">
        <v>-</v>
      </c>
      <c r="E3590">
        <v>0</v>
      </c>
      <c r="F3590">
        <v>0</v>
      </c>
    </row>
    <row r="3591" spans="2:6" ht="15.75" customHeight="1" x14ac:dyDescent="0.25">
      <c r="B3591" t="str">
        <v>MetaLend</v>
      </c>
      <c r="C3591" t="str">
        <v>Lending</v>
      </c>
      <c r="D3591" t="str">
        <v>-</v>
      </c>
      <c r="E3591">
        <v>18136.002684865154</v>
      </c>
      <c r="F3591">
        <v>0</v>
      </c>
    </row>
    <row r="3592" spans="2:6" ht="15.75" customHeight="1" x14ac:dyDescent="0.25">
      <c r="B3592" t="str">
        <v>MetalSwap</v>
      </c>
      <c r="C3592" t="str">
        <v>Derivatives</v>
      </c>
      <c r="D3592" t="str">
        <v>XMT</v>
      </c>
      <c r="E3592">
        <v>214904.50822611764</v>
      </c>
      <c r="F3592">
        <v>0</v>
      </c>
    </row>
    <row r="3593" spans="2:6" ht="15.75" customHeight="1" x14ac:dyDescent="0.25">
      <c r="B3593" t="str">
        <v>MetalX Dex</v>
      </c>
      <c r="C3593" t="str">
        <v>Dexs</v>
      </c>
      <c r="D3593" t="str">
        <v>-</v>
      </c>
      <c r="E3593">
        <v>5094700.2886058595</v>
      </c>
      <c r="F3593">
        <v>0</v>
      </c>
    </row>
    <row r="3594" spans="2:6" ht="15.75" customHeight="1" x14ac:dyDescent="0.25">
      <c r="B3594" t="str">
        <v>MetalX Lending</v>
      </c>
      <c r="C3594" t="str">
        <v>Lending</v>
      </c>
      <c r="D3594" t="str">
        <v>LOAN</v>
      </c>
      <c r="E3594">
        <v>42554452.617532089</v>
      </c>
      <c r="F3594">
        <v>15666525.901240943</v>
      </c>
    </row>
    <row r="3595" spans="2:6" ht="15.75" customHeight="1" x14ac:dyDescent="0.25">
      <c r="B3595" t="str">
        <v>MetalX Swap</v>
      </c>
      <c r="C3595" t="str">
        <v>Dexs</v>
      </c>
      <c r="D3595" t="str">
        <v>-</v>
      </c>
      <c r="E3595">
        <v>10541885.546189627</v>
      </c>
      <c r="F3595">
        <v>0</v>
      </c>
    </row>
    <row r="3596" spans="2:6" ht="15.75" customHeight="1" x14ac:dyDescent="0.25">
      <c r="B3596" t="str">
        <v>MetaMask Perps</v>
      </c>
      <c r="C3596" t="str">
        <v>Interface</v>
      </c>
      <c r="D3596" t="str">
        <v>-</v>
      </c>
      <c r="E3596">
        <v>0</v>
      </c>
      <c r="F3596">
        <v>0</v>
      </c>
    </row>
    <row r="3597" spans="2:6" ht="15.75" customHeight="1" x14ac:dyDescent="0.25">
      <c r="B3597" t="str">
        <v>MetaMask USD</v>
      </c>
      <c r="C3597" t="str">
        <v>Stablecoin Issuer</v>
      </c>
      <c r="D3597" t="str">
        <v>-</v>
      </c>
      <c r="E3597">
        <v>0</v>
      </c>
      <c r="F3597">
        <v>0</v>
      </c>
    </row>
    <row r="3598" spans="2:6" ht="15.75" customHeight="1" x14ac:dyDescent="0.25">
      <c r="B3598" t="str">
        <v>MetaMask Wallet</v>
      </c>
      <c r="C3598" t="str">
        <v>Wallets</v>
      </c>
      <c r="D3598" t="str">
        <v>-</v>
      </c>
      <c r="E3598">
        <v>0</v>
      </c>
      <c r="F3598">
        <v>0</v>
      </c>
    </row>
    <row r="3599" spans="2:6" ht="15.75" customHeight="1" x14ac:dyDescent="0.25">
      <c r="B3599" t="str">
        <v>Metaplex</v>
      </c>
      <c r="C3599" t="str">
        <v>Launchpad</v>
      </c>
      <c r="D3599" t="str">
        <v>MPLX</v>
      </c>
      <c r="E3599">
        <v>0</v>
      </c>
      <c r="F3599">
        <v>30027159.757337149</v>
      </c>
    </row>
    <row r="3600" spans="2:6" ht="15.75" customHeight="1" x14ac:dyDescent="0.25">
      <c r="B3600" t="str">
        <v>Metapoly</v>
      </c>
      <c r="C3600" t="str">
        <v>Lending</v>
      </c>
      <c r="D3600" t="str">
        <v>-</v>
      </c>
      <c r="E3600">
        <v>620.69795062887999</v>
      </c>
      <c r="F3600">
        <v>0</v>
      </c>
    </row>
    <row r="3601" spans="2:6" ht="15.75" customHeight="1" x14ac:dyDescent="0.25">
      <c r="B3601" t="str">
        <v>MetaReserve</v>
      </c>
      <c r="C3601" t="str">
        <v>Reserve Currency</v>
      </c>
      <c r="D3601" t="str">
        <v>POWER</v>
      </c>
      <c r="E3601">
        <v>0</v>
      </c>
      <c r="F3601">
        <v>0</v>
      </c>
    </row>
    <row r="3602" spans="2:6" ht="15.75" customHeight="1" x14ac:dyDescent="0.25">
      <c r="B3602" t="str">
        <v>Metars GO</v>
      </c>
      <c r="C3602" t="str">
        <v>NFT Marketplace</v>
      </c>
      <c r="D3602" t="str">
        <v>MRS</v>
      </c>
      <c r="E3602">
        <v>0</v>
      </c>
      <c r="F3602">
        <v>0</v>
      </c>
    </row>
    <row r="3603" spans="2:6" ht="15.75" customHeight="1" x14ac:dyDescent="0.25">
      <c r="B3603" t="str">
        <v>Metastable</v>
      </c>
      <c r="C3603" t="str">
        <v>CDP</v>
      </c>
      <c r="D3603" t="str">
        <v>-</v>
      </c>
      <c r="E3603">
        <v>7637486.7956934236</v>
      </c>
      <c r="F3603">
        <v>0</v>
      </c>
    </row>
    <row r="3604" spans="2:6" ht="15.75" customHeight="1" x14ac:dyDescent="0.25">
      <c r="B3604" t="str">
        <v>Metastrike</v>
      </c>
      <c r="C3604" t="str">
        <v>Gaming</v>
      </c>
      <c r="D3604" t="str">
        <v>MTS</v>
      </c>
      <c r="E3604">
        <v>0</v>
      </c>
      <c r="F3604">
        <v>12681.141603014306</v>
      </c>
    </row>
    <row r="3605" spans="2:6" ht="15.75" customHeight="1" x14ac:dyDescent="0.25">
      <c r="B3605" t="str">
        <v>MetaSwap</v>
      </c>
      <c r="C3605" t="str">
        <v>Dexs</v>
      </c>
      <c r="D3605" t="str">
        <v>-</v>
      </c>
      <c r="E3605">
        <v>440.3473304768799</v>
      </c>
      <c r="F3605">
        <v>0</v>
      </c>
    </row>
    <row r="3606" spans="2:6" ht="15.75" customHeight="1" x14ac:dyDescent="0.25">
      <c r="B3606" t="str">
        <v>MetaTdex</v>
      </c>
      <c r="C3606" t="str">
        <v>Dexs</v>
      </c>
      <c r="D3606" t="str">
        <v>TT</v>
      </c>
      <c r="E3606">
        <v>7339.0953971299587</v>
      </c>
      <c r="F3606">
        <v>0</v>
      </c>
    </row>
    <row r="3607" spans="2:6" ht="15.75" customHeight="1" x14ac:dyDescent="0.25">
      <c r="B3607" t="str">
        <v>Metavault AMM</v>
      </c>
      <c r="C3607" t="str">
        <v>Dexs</v>
      </c>
      <c r="D3607" t="str">
        <v>MVX</v>
      </c>
      <c r="E3607">
        <v>0</v>
      </c>
      <c r="F3607">
        <v>0</v>
      </c>
    </row>
    <row r="3608" spans="2:6" ht="15.75" customHeight="1" x14ac:dyDescent="0.25">
      <c r="B3608" t="str">
        <v>Metavault AMM V2</v>
      </c>
      <c r="C3608" t="str">
        <v>Dexs</v>
      </c>
      <c r="D3608" t="str">
        <v>MVX</v>
      </c>
      <c r="E3608">
        <v>888.34917447930786</v>
      </c>
      <c r="F3608">
        <v>0</v>
      </c>
    </row>
    <row r="3609" spans="2:6" ht="15.75" customHeight="1" x14ac:dyDescent="0.25">
      <c r="B3609" t="str">
        <v>Metavault Binary Options</v>
      </c>
      <c r="C3609" t="str">
        <v>Options</v>
      </c>
      <c r="D3609" t="str">
        <v>-</v>
      </c>
      <c r="E3609">
        <v>10.112984041020246</v>
      </c>
      <c r="F3609">
        <v>0</v>
      </c>
    </row>
    <row r="3610" spans="2:6" ht="15.75" customHeight="1" x14ac:dyDescent="0.25">
      <c r="B3610" t="str">
        <v>Metavault DAO</v>
      </c>
      <c r="C3610" t="str">
        <v>Services</v>
      </c>
      <c r="D3610" t="str">
        <v>MVD</v>
      </c>
      <c r="E3610">
        <v>0</v>
      </c>
      <c r="F3610">
        <v>437017.11659055488</v>
      </c>
    </row>
    <row r="3611" spans="2:6" ht="15.75" customHeight="1" x14ac:dyDescent="0.25">
      <c r="B3611" t="str">
        <v>Metavault Derivatives V2</v>
      </c>
      <c r="C3611" t="str">
        <v>Derivatives</v>
      </c>
      <c r="D3611" t="str">
        <v>MVX</v>
      </c>
      <c r="E3611">
        <v>0</v>
      </c>
      <c r="F3611">
        <v>0</v>
      </c>
    </row>
    <row r="3612" spans="2:6" ht="15.75" customHeight="1" x14ac:dyDescent="0.25">
      <c r="B3612" t="str">
        <v>Metavault V3</v>
      </c>
      <c r="C3612" t="str">
        <v>Dexs</v>
      </c>
      <c r="D3612" t="str">
        <v>MVX</v>
      </c>
      <c r="E3612">
        <v>10920.393160561813</v>
      </c>
      <c r="F3612">
        <v>0</v>
      </c>
    </row>
    <row r="3613" spans="2:6" ht="15.75" customHeight="1" x14ac:dyDescent="0.25">
      <c r="B3613" t="str">
        <v>Metavault.Trade</v>
      </c>
      <c r="C3613" t="str">
        <v>Derivatives</v>
      </c>
      <c r="D3613" t="str">
        <v>MVX</v>
      </c>
      <c r="E3613">
        <v>7.4281996407226138E-3</v>
      </c>
      <c r="F3613">
        <v>98654.154749834066</v>
      </c>
    </row>
    <row r="3614" spans="2:6" ht="15.75" customHeight="1" x14ac:dyDescent="0.25">
      <c r="B3614" t="str">
        <v>Metaversepro</v>
      </c>
      <c r="C3614" t="str">
        <v>Reserve Currency</v>
      </c>
      <c r="D3614" t="str">
        <v>META</v>
      </c>
      <c r="E3614">
        <v>0</v>
      </c>
      <c r="F3614">
        <v>69679.406050183068</v>
      </c>
    </row>
    <row r="3615" spans="2:6" ht="15.75" customHeight="1" x14ac:dyDescent="0.25">
      <c r="B3615" t="str">
        <v>Metavisor</v>
      </c>
      <c r="C3615" t="str">
        <v>Liquidity manager</v>
      </c>
      <c r="D3615" t="str">
        <v>-</v>
      </c>
      <c r="E3615">
        <v>3588.0145622113159</v>
      </c>
      <c r="F3615">
        <v>0</v>
      </c>
    </row>
    <row r="3616" spans="2:6" ht="15.75" customHeight="1" x14ac:dyDescent="0.25">
      <c r="B3616" t="str">
        <v>Meteora DAMM V1</v>
      </c>
      <c r="C3616" t="str">
        <v>Dexs</v>
      </c>
      <c r="D3616" t="str">
        <v>MET</v>
      </c>
      <c r="E3616">
        <v>36038659.826502681</v>
      </c>
      <c r="F3616">
        <v>0</v>
      </c>
    </row>
    <row r="3617" spans="2:6" ht="15.75" customHeight="1" x14ac:dyDescent="0.25">
      <c r="B3617" t="str">
        <v>Meteora DAMM V2</v>
      </c>
      <c r="C3617" t="str">
        <v>Dexs</v>
      </c>
      <c r="D3617" t="str">
        <v>MET</v>
      </c>
      <c r="E3617">
        <v>0</v>
      </c>
      <c r="F3617">
        <v>0</v>
      </c>
    </row>
    <row r="3618" spans="2:6" ht="15.75" customHeight="1" x14ac:dyDescent="0.25">
      <c r="B3618" t="str">
        <v>Meteora DLMM</v>
      </c>
      <c r="C3618" t="str">
        <v>Dexs</v>
      </c>
      <c r="D3618" t="str">
        <v>MET</v>
      </c>
      <c r="E3618">
        <v>464264094.73257124</v>
      </c>
      <c r="F3618">
        <v>0</v>
      </c>
    </row>
    <row r="3619" spans="2:6" ht="15.75" customHeight="1" x14ac:dyDescent="0.25">
      <c r="B3619" t="str">
        <v>Meteora Dynamic Bonding Curve</v>
      </c>
      <c r="C3619" t="str">
        <v>Launchpad</v>
      </c>
      <c r="D3619" t="str">
        <v>MET</v>
      </c>
      <c r="E3619">
        <v>27889.751242045277</v>
      </c>
      <c r="F3619">
        <v>0</v>
      </c>
    </row>
    <row r="3620" spans="2:6" ht="15.75" customHeight="1" x14ac:dyDescent="0.25">
      <c r="B3620" t="str">
        <v>Meteora vaults</v>
      </c>
      <c r="C3620" t="str">
        <v>Yield Aggregator</v>
      </c>
      <c r="D3620" t="str">
        <v>MET</v>
      </c>
      <c r="E3620">
        <v>74421575.394299656</v>
      </c>
      <c r="F3620">
        <v>0</v>
      </c>
    </row>
    <row r="3621" spans="2:6" ht="15.75" customHeight="1" x14ac:dyDescent="0.25">
      <c r="B3621" t="str">
        <v>Meter Liquid Staking</v>
      </c>
      <c r="C3621" t="str">
        <v>Liquid Staking</v>
      </c>
      <c r="D3621" t="str">
        <v>-</v>
      </c>
      <c r="E3621">
        <v>194188.18178454196</v>
      </c>
      <c r="F3621">
        <v>0</v>
      </c>
    </row>
    <row r="3622" spans="2:6" ht="15.75" customHeight="1" x14ac:dyDescent="0.25">
      <c r="B3622" t="str">
        <v>Meter Passport</v>
      </c>
      <c r="C3622" t="str">
        <v>Bridge</v>
      </c>
      <c r="D3622" t="str">
        <v>-</v>
      </c>
      <c r="E3622">
        <v>967460.14227437577</v>
      </c>
      <c r="F3622">
        <v>0</v>
      </c>
    </row>
    <row r="3623" spans="2:6" ht="15.75" customHeight="1" x14ac:dyDescent="0.25">
      <c r="B3623" t="str">
        <v>Metera Protocol</v>
      </c>
      <c r="C3623" t="str">
        <v>Indexes</v>
      </c>
      <c r="D3623" t="str">
        <v>METERA</v>
      </c>
      <c r="E3623">
        <v>42375.761570902505</v>
      </c>
      <c r="F3623">
        <v>115115.13259114878</v>
      </c>
    </row>
    <row r="3624" spans="2:6" ht="15.75" customHeight="1" x14ac:dyDescent="0.25">
      <c r="B3624" t="str">
        <v>METF Finance</v>
      </c>
      <c r="C3624" t="str">
        <v>Yield</v>
      </c>
      <c r="D3624" t="str">
        <v>METF</v>
      </c>
      <c r="E3624">
        <v>0</v>
      </c>
      <c r="F3624">
        <v>0</v>
      </c>
    </row>
    <row r="3625" spans="2:6" ht="15.75" customHeight="1" x14ac:dyDescent="0.25">
      <c r="B3625" t="str">
        <v>mETH Protocol</v>
      </c>
      <c r="C3625" t="str">
        <v>Liquid Staking</v>
      </c>
      <c r="D3625" t="str">
        <v>COOK</v>
      </c>
      <c r="E3625">
        <v>796699584.12047374</v>
      </c>
      <c r="F3625">
        <v>3671913.511135031</v>
      </c>
    </row>
    <row r="3626" spans="2:6" ht="15.75" customHeight="1" x14ac:dyDescent="0.25">
      <c r="B3626" t="str">
        <v>MethLab</v>
      </c>
      <c r="C3626" t="str">
        <v>Lending</v>
      </c>
      <c r="D3626" t="str">
        <v>-</v>
      </c>
      <c r="E3626">
        <v>10770.175213957298</v>
      </c>
      <c r="F3626">
        <v>0</v>
      </c>
    </row>
    <row r="3627" spans="2:6" ht="15.75" customHeight="1" x14ac:dyDescent="0.25">
      <c r="B3627" t="str">
        <v>Metis</v>
      </c>
      <c r="C3627" t="str">
        <v>Canonical Bridge</v>
      </c>
      <c r="D3627" t="str">
        <v>METIS</v>
      </c>
      <c r="E3627">
        <v>0</v>
      </c>
      <c r="F3627">
        <v>37008669.081961058</v>
      </c>
    </row>
    <row r="3628" spans="2:6" ht="15.75" customHeight="1" x14ac:dyDescent="0.25">
      <c r="B3628" t="str">
        <v>Metis Bridge</v>
      </c>
      <c r="C3628" t="str">
        <v>Canonical Bridge</v>
      </c>
      <c r="D3628" t="str">
        <v>METIS</v>
      </c>
      <c r="E3628">
        <v>56825861.128722638</v>
      </c>
      <c r="F3628">
        <v>0</v>
      </c>
    </row>
    <row r="3629" spans="2:6" ht="15.75" customHeight="1" x14ac:dyDescent="0.25">
      <c r="B3629" t="str">
        <v>Metrom</v>
      </c>
      <c r="C3629" t="str">
        <v>Farm</v>
      </c>
      <c r="D3629" t="str">
        <v>-</v>
      </c>
      <c r="E3629">
        <v>0</v>
      </c>
      <c r="F3629">
        <v>0</v>
      </c>
    </row>
    <row r="3630" spans="2:6" ht="15.75" customHeight="1" x14ac:dyDescent="0.25">
      <c r="B3630" t="str">
        <v>Metronome Synth</v>
      </c>
      <c r="C3630" t="str">
        <v>Synthetics</v>
      </c>
      <c r="D3630" t="str">
        <v>MET</v>
      </c>
      <c r="E3630">
        <v>23929569.456229337</v>
      </c>
      <c r="F3630">
        <v>0</v>
      </c>
    </row>
    <row r="3631" spans="2:6" ht="15.75" customHeight="1" x14ac:dyDescent="0.25">
      <c r="B3631" t="str">
        <v>Metronome V1</v>
      </c>
      <c r="C3631" t="str">
        <v>Yield</v>
      </c>
      <c r="D3631" t="str">
        <v>MET</v>
      </c>
      <c r="E3631">
        <v>398885.02468698984</v>
      </c>
      <c r="F3631">
        <v>4332600.6149067162</v>
      </c>
    </row>
    <row r="3632" spans="2:6" ht="15.75" customHeight="1" x14ac:dyDescent="0.25">
      <c r="B3632" t="str">
        <v>Metropolis AMM</v>
      </c>
      <c r="C3632" t="str">
        <v>Dexs</v>
      </c>
      <c r="D3632" t="str">
        <v>-</v>
      </c>
      <c r="E3632">
        <v>98177.67792072313</v>
      </c>
      <c r="F3632">
        <v>0</v>
      </c>
    </row>
    <row r="3633" spans="2:6" ht="15.75" customHeight="1" x14ac:dyDescent="0.25">
      <c r="B3633" t="str">
        <v>Metropolis DLMM</v>
      </c>
      <c r="C3633" t="str">
        <v>Dexs</v>
      </c>
      <c r="D3633" t="str">
        <v>-</v>
      </c>
      <c r="E3633">
        <v>226824.01950879706</v>
      </c>
      <c r="F3633">
        <v>0</v>
      </c>
    </row>
    <row r="3634" spans="2:6" ht="15.75" customHeight="1" x14ac:dyDescent="0.25">
      <c r="B3634" t="str">
        <v>MEV Capital</v>
      </c>
      <c r="C3634" t="str">
        <v>Risk Curators</v>
      </c>
      <c r="D3634" t="str">
        <v>-</v>
      </c>
      <c r="E3634">
        <v>233273758.91541928</v>
      </c>
      <c r="F3634">
        <v>0</v>
      </c>
    </row>
    <row r="3635" spans="2:6" ht="15.75" customHeight="1" x14ac:dyDescent="0.25">
      <c r="B3635" t="str">
        <v>MEV Protocol</v>
      </c>
      <c r="C3635" t="str">
        <v>Liquid Staking</v>
      </c>
      <c r="D3635" t="str">
        <v>-</v>
      </c>
      <c r="E3635">
        <v>135600.59344798783</v>
      </c>
      <c r="F3635">
        <v>0</v>
      </c>
    </row>
    <row r="3636" spans="2:6" ht="15.75" customHeight="1" x14ac:dyDescent="0.25">
      <c r="B3636" t="str">
        <v>MEVX</v>
      </c>
      <c r="C3636" t="str">
        <v>Telegram Bot</v>
      </c>
      <c r="D3636" t="str">
        <v>-</v>
      </c>
      <c r="E3636">
        <v>0</v>
      </c>
      <c r="F3636">
        <v>0</v>
      </c>
    </row>
    <row r="3637" spans="2:6" ht="15.75" customHeight="1" x14ac:dyDescent="0.25">
      <c r="B3637" t="str">
        <v>MewFi</v>
      </c>
      <c r="C3637" t="str">
        <v>Dexs</v>
      </c>
      <c r="D3637" t="str">
        <v>MEW</v>
      </c>
      <c r="E3637">
        <v>0</v>
      </c>
      <c r="F3637">
        <v>0</v>
      </c>
    </row>
    <row r="3638" spans="2:6" ht="15.75" customHeight="1" x14ac:dyDescent="0.25">
      <c r="B3638" t="str">
        <v>Mezo Network</v>
      </c>
      <c r="C3638" t="str">
        <v>Bridge</v>
      </c>
      <c r="D3638" t="str">
        <v>-</v>
      </c>
      <c r="E3638">
        <v>79645406.403932557</v>
      </c>
      <c r="F3638">
        <v>0</v>
      </c>
    </row>
    <row r="3639" spans="2:6" ht="15.75" customHeight="1" x14ac:dyDescent="0.25">
      <c r="B3639" t="str">
        <v>MFIL Protocol</v>
      </c>
      <c r="C3639" t="str">
        <v>Liquid Staking</v>
      </c>
      <c r="D3639" t="str">
        <v>-</v>
      </c>
      <c r="E3639">
        <v>653.79896344548661</v>
      </c>
      <c r="F3639">
        <v>0</v>
      </c>
    </row>
    <row r="3640" spans="2:6" ht="15.75" customHeight="1" x14ac:dyDescent="0.25">
      <c r="B3640" t="str">
        <v>MFinance</v>
      </c>
      <c r="C3640" t="str">
        <v>Yield</v>
      </c>
      <c r="D3640" t="str">
        <v>MG</v>
      </c>
      <c r="E3640">
        <v>16471.79511039412</v>
      </c>
      <c r="F3640">
        <v>0</v>
      </c>
    </row>
    <row r="3641" spans="2:6" ht="15.75" customHeight="1" x14ac:dyDescent="0.25">
      <c r="B3641" t="str">
        <v>MiaSwap</v>
      </c>
      <c r="C3641" t="str">
        <v>Dexs</v>
      </c>
      <c r="D3641" t="str">
        <v>MIA</v>
      </c>
      <c r="E3641">
        <v>0</v>
      </c>
      <c r="F3641">
        <v>0</v>
      </c>
    </row>
    <row r="3642" spans="2:6" ht="15.75" customHeight="1" x14ac:dyDescent="0.25">
      <c r="B3642" t="str">
        <v>Micro Credit Project</v>
      </c>
      <c r="C3642" t="str">
        <v>Uncollateralized Lending</v>
      </c>
      <c r="D3642" t="str">
        <v>-</v>
      </c>
      <c r="E3642">
        <v>10.997689523049718</v>
      </c>
      <c r="F3642">
        <v>0</v>
      </c>
    </row>
    <row r="3643" spans="2:6" ht="15.75" customHeight="1" x14ac:dyDescent="0.25">
      <c r="B3643" t="str">
        <v>Microchain</v>
      </c>
      <c r="C3643" t="str">
        <v>Dexs</v>
      </c>
      <c r="D3643" t="str">
        <v>-</v>
      </c>
      <c r="E3643">
        <v>1909014.0006354314</v>
      </c>
      <c r="F3643">
        <v>0</v>
      </c>
    </row>
    <row r="3644" spans="2:6" ht="15.75" customHeight="1" x14ac:dyDescent="0.25">
      <c r="B3644" t="str">
        <v>MicroSwap</v>
      </c>
      <c r="C3644" t="str">
        <v>Yield</v>
      </c>
      <c r="D3644" t="str">
        <v>-</v>
      </c>
      <c r="E3644">
        <v>3019.9991288995161</v>
      </c>
      <c r="F3644">
        <v>0</v>
      </c>
    </row>
    <row r="3645" spans="2:6" ht="15.75" customHeight="1" x14ac:dyDescent="0.25">
      <c r="B3645" t="str">
        <v>Midas Capital</v>
      </c>
      <c r="C3645" t="str">
        <v>Lending</v>
      </c>
      <c r="D3645" t="str">
        <v>-</v>
      </c>
      <c r="E3645">
        <v>420752.78447112726</v>
      </c>
      <c r="F3645">
        <v>0</v>
      </c>
    </row>
    <row r="3646" spans="2:6" ht="15.75" customHeight="1" x14ac:dyDescent="0.25">
      <c r="B3646" t="str">
        <v>Midas RWA</v>
      </c>
      <c r="C3646" t="str">
        <v>RWA</v>
      </c>
      <c r="D3646" t="str">
        <v>-</v>
      </c>
      <c r="E3646">
        <v>274643394.85776031</v>
      </c>
      <c r="F3646">
        <v>0</v>
      </c>
    </row>
    <row r="3647" spans="2:6" ht="15.75" customHeight="1" x14ac:dyDescent="0.25">
      <c r="B3647" t="str">
        <v>MidasDAO</v>
      </c>
      <c r="C3647" t="str">
        <v>Reserve Currency</v>
      </c>
      <c r="D3647" t="str">
        <v>CROWN</v>
      </c>
      <c r="E3647">
        <v>0</v>
      </c>
      <c r="F3647">
        <v>0</v>
      </c>
    </row>
    <row r="3648" spans="2:6" ht="15.75" customHeight="1" x14ac:dyDescent="0.25">
      <c r="B3648" t="str">
        <v>Migrate.Fun</v>
      </c>
      <c r="C3648" t="str">
        <v>Interface</v>
      </c>
      <c r="D3648" t="str">
        <v>-</v>
      </c>
      <c r="E3648">
        <v>0</v>
      </c>
      <c r="F3648">
        <v>0</v>
      </c>
    </row>
    <row r="3649" spans="2:6" ht="15.75" customHeight="1" x14ac:dyDescent="0.25">
      <c r="B3649" t="str">
        <v>Milko Farm</v>
      </c>
      <c r="C3649" t="str">
        <v>Farm</v>
      </c>
      <c r="D3649" t="str">
        <v>MLK</v>
      </c>
      <c r="E3649">
        <v>0</v>
      </c>
      <c r="F3649">
        <v>0</v>
      </c>
    </row>
    <row r="3650" spans="2:6" ht="15.75" customHeight="1" x14ac:dyDescent="0.25">
      <c r="B3650" t="str">
        <v>Milkomeda MACC</v>
      </c>
      <c r="C3650" t="str">
        <v>CDP</v>
      </c>
      <c r="D3650" t="str">
        <v>-</v>
      </c>
      <c r="E3650">
        <v>0</v>
      </c>
      <c r="F3650">
        <v>0</v>
      </c>
    </row>
    <row r="3651" spans="2:6" ht="15.75" customHeight="1" x14ac:dyDescent="0.25">
      <c r="B3651" t="str">
        <v>Milkomeda-C1 Djed</v>
      </c>
      <c r="C3651" t="str">
        <v>Dual-Token Stablecoin</v>
      </c>
      <c r="D3651" t="str">
        <v>-</v>
      </c>
      <c r="E3651">
        <v>0</v>
      </c>
      <c r="F3651">
        <v>0</v>
      </c>
    </row>
    <row r="3652" spans="2:6" ht="15.75" customHeight="1" x14ac:dyDescent="0.25">
      <c r="B3652" t="str">
        <v>Milky Cow</v>
      </c>
      <c r="C3652" t="str">
        <v>Algo-Stables</v>
      </c>
      <c r="D3652" t="str">
        <v>COW</v>
      </c>
      <c r="E3652">
        <v>0</v>
      </c>
      <c r="F3652">
        <v>0</v>
      </c>
    </row>
    <row r="3653" spans="2:6" ht="15.75" customHeight="1" x14ac:dyDescent="0.25">
      <c r="B3653" t="str">
        <v>Milkydex</v>
      </c>
      <c r="C3653" t="str">
        <v>Dexs</v>
      </c>
      <c r="D3653" t="str">
        <v>MID</v>
      </c>
      <c r="E3653">
        <v>0</v>
      </c>
      <c r="F3653">
        <v>0</v>
      </c>
    </row>
    <row r="3654" spans="2:6" ht="15.75" customHeight="1" x14ac:dyDescent="0.25">
      <c r="B3654" t="str">
        <v>MilkySwap</v>
      </c>
      <c r="C3654" t="str">
        <v>Dexs</v>
      </c>
      <c r="D3654" t="str">
        <v>MILKY</v>
      </c>
      <c r="E3654">
        <v>0</v>
      </c>
      <c r="F3654">
        <v>0</v>
      </c>
    </row>
    <row r="3655" spans="2:6" ht="15.75" customHeight="1" x14ac:dyDescent="0.25">
      <c r="B3655" t="str">
        <v>MilkyWay Liquid Staking</v>
      </c>
      <c r="C3655" t="str">
        <v>Liquid Staking</v>
      </c>
      <c r="D3655" t="str">
        <v>MILK</v>
      </c>
      <c r="E3655">
        <v>2418375.4861942609</v>
      </c>
      <c r="F3655">
        <v>0</v>
      </c>
    </row>
    <row r="3656" spans="2:6" ht="15.75" customHeight="1" x14ac:dyDescent="0.25">
      <c r="B3656" t="str">
        <v>MilkyWay Protocol Milkomeda</v>
      </c>
      <c r="C3656" t="str">
        <v>Lending</v>
      </c>
      <c r="D3656" t="str">
        <v>mWAY</v>
      </c>
      <c r="E3656">
        <v>2.1422088058586679E-2</v>
      </c>
      <c r="F3656">
        <v>0</v>
      </c>
    </row>
    <row r="3657" spans="2:6" ht="15.75" customHeight="1" x14ac:dyDescent="0.25">
      <c r="B3657" t="str">
        <v>Milkyway Restaking</v>
      </c>
      <c r="C3657" t="str">
        <v>Restaking</v>
      </c>
      <c r="D3657" t="str">
        <v>-</v>
      </c>
      <c r="E3657">
        <v>232940.56743507806</v>
      </c>
      <c r="F3657">
        <v>0</v>
      </c>
    </row>
    <row r="3658" spans="2:6" ht="15.75" customHeight="1" x14ac:dyDescent="0.25">
      <c r="B3658" t="str">
        <v>Milkyway Rollup Bridge</v>
      </c>
      <c r="C3658" t="str">
        <v>Canonical Bridge</v>
      </c>
      <c r="D3658" t="str">
        <v>-</v>
      </c>
      <c r="E3658">
        <v>9854.2848486535913</v>
      </c>
      <c r="F3658">
        <v>0</v>
      </c>
    </row>
    <row r="3659" spans="2:6" ht="15.75" customHeight="1" x14ac:dyDescent="0.25">
      <c r="B3659" t="str">
        <v>MIM Swap</v>
      </c>
      <c r="C3659" t="str">
        <v>Dexs</v>
      </c>
      <c r="D3659" t="str">
        <v>-</v>
      </c>
      <c r="E3659">
        <v>11256912.275555992</v>
      </c>
      <c r="F3659">
        <v>0</v>
      </c>
    </row>
    <row r="3660" spans="2:6" ht="15.75" customHeight="1" x14ac:dyDescent="0.25">
      <c r="B3660" t="str">
        <v>Mimas Finance</v>
      </c>
      <c r="C3660" t="str">
        <v>Lending</v>
      </c>
      <c r="D3660" t="str">
        <v>MIMAS</v>
      </c>
      <c r="E3660">
        <v>34359.432481183976</v>
      </c>
      <c r="F3660">
        <v>1823836.1511984207</v>
      </c>
    </row>
    <row r="3661" spans="2:6" ht="15.75" customHeight="1" x14ac:dyDescent="0.25">
      <c r="B3661" t="str">
        <v>Mimboku Aggregator</v>
      </c>
      <c r="C3661" t="str">
        <v>DEX Aggregator</v>
      </c>
      <c r="D3661" t="str">
        <v>-</v>
      </c>
      <c r="E3661">
        <v>0</v>
      </c>
      <c r="F3661">
        <v>0</v>
      </c>
    </row>
    <row r="3662" spans="2:6" ht="15.75" customHeight="1" x14ac:dyDescent="0.25">
      <c r="B3662" t="str">
        <v>Mimo V2</v>
      </c>
      <c r="C3662" t="str">
        <v>Dexs</v>
      </c>
      <c r="D3662" t="str">
        <v>-</v>
      </c>
      <c r="E3662">
        <v>3569778.6687232698</v>
      </c>
      <c r="F3662">
        <v>0</v>
      </c>
    </row>
    <row r="3663" spans="2:6" ht="15.75" customHeight="1" x14ac:dyDescent="0.25">
      <c r="B3663" t="str">
        <v>Mimo V3</v>
      </c>
      <c r="C3663" t="str">
        <v>Dexs</v>
      </c>
      <c r="D3663" t="str">
        <v>-</v>
      </c>
      <c r="E3663">
        <v>112007.55808318047</v>
      </c>
      <c r="F3663">
        <v>0</v>
      </c>
    </row>
    <row r="3664" spans="2:6" ht="15.75" customHeight="1" x14ac:dyDescent="0.25">
      <c r="B3664" t="str">
        <v>MIND Games</v>
      </c>
      <c r="C3664" t="str">
        <v>Dexs</v>
      </c>
      <c r="D3664" t="str">
        <v>CRX</v>
      </c>
      <c r="E3664">
        <v>18174.291253426338</v>
      </c>
      <c r="F3664">
        <v>0</v>
      </c>
    </row>
    <row r="3665" spans="2:6" ht="15.75" customHeight="1" x14ac:dyDescent="0.25">
      <c r="B3665" t="str">
        <v>Mind Network</v>
      </c>
      <c r="C3665" t="str">
        <v>AI Agents</v>
      </c>
      <c r="D3665" t="str">
        <v>FHE</v>
      </c>
      <c r="E3665">
        <v>132497.65440337828</v>
      </c>
      <c r="F3665">
        <v>10293317.690504119</v>
      </c>
    </row>
    <row r="3666" spans="2:6" ht="15.75" customHeight="1" x14ac:dyDescent="0.25">
      <c r="B3666" t="str">
        <v>MineFi</v>
      </c>
      <c r="C3666" t="str">
        <v>Liquid Staking</v>
      </c>
      <c r="D3666" t="str">
        <v>-</v>
      </c>
      <c r="E3666">
        <v>2096053.6438734543</v>
      </c>
      <c r="F3666">
        <v>0</v>
      </c>
    </row>
    <row r="3667" spans="2:6" ht="15.75" customHeight="1" x14ac:dyDescent="0.25">
      <c r="B3667" t="str">
        <v>Miner ERCX</v>
      </c>
      <c r="C3667" t="str">
        <v>Farm</v>
      </c>
      <c r="D3667" t="str">
        <v>MINER</v>
      </c>
      <c r="E3667">
        <v>12.220377072671017</v>
      </c>
      <c r="F3667">
        <v>0</v>
      </c>
    </row>
    <row r="3668" spans="2:6" ht="15.75" customHeight="1" x14ac:dyDescent="0.25">
      <c r="B3668" t="str">
        <v>Miner PEPE</v>
      </c>
      <c r="C3668" t="str">
        <v>Ponzi</v>
      </c>
      <c r="D3668" t="str">
        <v>mPEPE</v>
      </c>
      <c r="E3668">
        <v>1.5310662707638869</v>
      </c>
      <c r="F3668">
        <v>0</v>
      </c>
    </row>
    <row r="3669" spans="2:6" ht="15.75" customHeight="1" x14ac:dyDescent="0.25">
      <c r="B3669" t="str">
        <v>Mineral Vault</v>
      </c>
      <c r="C3669" t="str">
        <v>RWA</v>
      </c>
      <c r="D3669" t="str">
        <v>-</v>
      </c>
      <c r="E3669">
        <v>1662278.325391632</v>
      </c>
      <c r="F3669">
        <v>0</v>
      </c>
    </row>
    <row r="3670" spans="2:6" ht="15.75" customHeight="1" x14ac:dyDescent="0.25">
      <c r="B3670" t="str">
        <v>MinerSwap</v>
      </c>
      <c r="C3670" t="str">
        <v>Dexs</v>
      </c>
      <c r="D3670" t="str">
        <v>MSP</v>
      </c>
      <c r="E3670">
        <v>0.12549401759075413</v>
      </c>
      <c r="F3670">
        <v>0</v>
      </c>
    </row>
    <row r="3671" spans="2:6" ht="15.75" customHeight="1" x14ac:dyDescent="0.25">
      <c r="B3671" t="str">
        <v>Minerva</v>
      </c>
      <c r="C3671" t="str">
        <v>Derivatives</v>
      </c>
      <c r="D3671" t="str">
        <v>MINE</v>
      </c>
      <c r="E3671">
        <v>12618.469836428174</v>
      </c>
      <c r="F3671">
        <v>0</v>
      </c>
    </row>
    <row r="3672" spans="2:6" ht="15.75" customHeight="1" x14ac:dyDescent="0.25">
      <c r="B3672" t="str">
        <v>Minimax</v>
      </c>
      <c r="C3672" t="str">
        <v>Yield Aggregator</v>
      </c>
      <c r="D3672" t="str">
        <v>-</v>
      </c>
      <c r="E3672">
        <v>0</v>
      </c>
      <c r="F3672">
        <v>0</v>
      </c>
    </row>
    <row r="3673" spans="2:6" ht="15.75" customHeight="1" x14ac:dyDescent="0.25">
      <c r="B3673" t="str">
        <v>Mining Tycoon</v>
      </c>
      <c r="C3673" t="str">
        <v>Ponzi</v>
      </c>
      <c r="D3673" t="str">
        <v>-</v>
      </c>
      <c r="E3673">
        <v>24.881332495674506</v>
      </c>
      <c r="F3673">
        <v>0</v>
      </c>
    </row>
    <row r="3674" spans="2:6" ht="15.75" customHeight="1" x14ac:dyDescent="0.25">
      <c r="B3674" t="str">
        <v>MiningTycoon</v>
      </c>
      <c r="C3674" t="str">
        <v>Gaming</v>
      </c>
      <c r="D3674" t="str">
        <v>NT</v>
      </c>
      <c r="E3674">
        <v>9614.0367447551507</v>
      </c>
      <c r="F3674">
        <v>0</v>
      </c>
    </row>
    <row r="3675" spans="2:6" ht="15.75" customHeight="1" x14ac:dyDescent="0.25">
      <c r="B3675" t="str">
        <v>MiniPanther DAO</v>
      </c>
      <c r="C3675" t="str">
        <v>Reserve Currency</v>
      </c>
      <c r="D3675" t="str">
        <v>MP</v>
      </c>
      <c r="E3675">
        <v>0</v>
      </c>
      <c r="F3675">
        <v>0</v>
      </c>
    </row>
    <row r="3676" spans="2:6" ht="15.75" customHeight="1" x14ac:dyDescent="0.25">
      <c r="B3676" t="str">
        <v>MiniSwap</v>
      </c>
      <c r="C3676" t="str">
        <v>Dexs</v>
      </c>
      <c r="D3676" t="str">
        <v>MINI</v>
      </c>
      <c r="E3676">
        <v>121759.05113402031</v>
      </c>
      <c r="F3676">
        <v>0</v>
      </c>
    </row>
    <row r="3677" spans="2:6" ht="15.75" customHeight="1" x14ac:dyDescent="0.25">
      <c r="B3677" t="str">
        <v>MiniVerse Finance</v>
      </c>
      <c r="C3677" t="str">
        <v>Algo-Stables</v>
      </c>
      <c r="D3677" t="str">
        <v>MVDOLLAR</v>
      </c>
      <c r="E3677">
        <v>0</v>
      </c>
      <c r="F3677">
        <v>0</v>
      </c>
    </row>
    <row r="3678" spans="2:6" ht="15.75" customHeight="1" x14ac:dyDescent="0.25">
      <c r="B3678" t="str">
        <v>MinMax Finance</v>
      </c>
      <c r="C3678" t="str">
        <v>Dexs</v>
      </c>
      <c r="D3678" t="str">
        <v>MAX</v>
      </c>
      <c r="E3678">
        <v>126817.34293685285</v>
      </c>
      <c r="F3678">
        <v>0</v>
      </c>
    </row>
    <row r="3679" spans="2:6" ht="15.75" customHeight="1" x14ac:dyDescent="0.25">
      <c r="B3679" t="str">
        <v>Minotaur Money</v>
      </c>
      <c r="C3679" t="str">
        <v>Reserve Currency</v>
      </c>
      <c r="D3679" t="str">
        <v>MINO</v>
      </c>
      <c r="E3679">
        <v>0</v>
      </c>
      <c r="F3679">
        <v>0</v>
      </c>
    </row>
    <row r="3680" spans="2:6" ht="15.75" customHeight="1" x14ac:dyDescent="0.25">
      <c r="B3680" t="str">
        <v>Minswap</v>
      </c>
      <c r="C3680" t="str">
        <v>Dexs</v>
      </c>
      <c r="D3680" t="str">
        <v>MIN</v>
      </c>
      <c r="E3680">
        <v>50090001.100116007</v>
      </c>
      <c r="F3680">
        <v>16826022.165116377</v>
      </c>
    </row>
    <row r="3681" spans="2:6" ht="15.75" customHeight="1" x14ac:dyDescent="0.25">
      <c r="B3681" t="str">
        <v>Mint Bridge</v>
      </c>
      <c r="C3681" t="str">
        <v>Canonical Bridge</v>
      </c>
      <c r="D3681" t="str">
        <v>-</v>
      </c>
      <c r="E3681">
        <v>850778.76176699938</v>
      </c>
      <c r="F3681">
        <v>0</v>
      </c>
    </row>
    <row r="3682" spans="2:6" ht="15.75" customHeight="1" x14ac:dyDescent="0.25">
      <c r="B3682" t="str">
        <v>Mint Club V1</v>
      </c>
      <c r="C3682" t="str">
        <v>Launchpad</v>
      </c>
      <c r="D3682" t="str">
        <v>MINT</v>
      </c>
      <c r="E3682">
        <v>0</v>
      </c>
      <c r="F3682">
        <v>254341.68830263172</v>
      </c>
    </row>
    <row r="3683" spans="2:6" ht="15.75" customHeight="1" x14ac:dyDescent="0.25">
      <c r="B3683" t="str">
        <v>Mint Club V2</v>
      </c>
      <c r="C3683" t="str">
        <v>Launchpad</v>
      </c>
      <c r="D3683" t="str">
        <v>MT</v>
      </c>
      <c r="E3683">
        <v>1222001.6919533815</v>
      </c>
      <c r="F3683">
        <v>0</v>
      </c>
    </row>
    <row r="3684" spans="2:6" ht="15.75" customHeight="1" x14ac:dyDescent="0.25">
      <c r="B3684" t="str">
        <v>Mint Park</v>
      </c>
      <c r="C3684" t="str">
        <v>NFT Marketplace</v>
      </c>
      <c r="D3684" t="str">
        <v>-</v>
      </c>
      <c r="E3684">
        <v>0</v>
      </c>
      <c r="F3684">
        <v>0</v>
      </c>
    </row>
    <row r="3685" spans="2:6" ht="15.75" customHeight="1" x14ac:dyDescent="0.25">
      <c r="B3685" t="str">
        <v>Minterest</v>
      </c>
      <c r="C3685" t="str">
        <v>Lending</v>
      </c>
      <c r="D3685" t="str">
        <v>MINTY</v>
      </c>
      <c r="E3685">
        <v>167753.67744991116</v>
      </c>
      <c r="F3685">
        <v>0</v>
      </c>
    </row>
    <row r="3686" spans="2:6" ht="15.75" customHeight="1" x14ac:dyDescent="0.25">
      <c r="B3686" t="str">
        <v>Mintiq Market</v>
      </c>
      <c r="C3686" t="str">
        <v>NFT Marketplace</v>
      </c>
      <c r="D3686" t="str">
        <v>-</v>
      </c>
      <c r="E3686">
        <v>0</v>
      </c>
      <c r="F3686">
        <v>0</v>
      </c>
    </row>
    <row r="3687" spans="2:6" ht="15.75" customHeight="1" x14ac:dyDescent="0.25">
      <c r="B3687" t="str">
        <v>Minto</v>
      </c>
      <c r="C3687" t="str">
        <v>Yield</v>
      </c>
      <c r="D3687" t="str">
        <v>BTCMT</v>
      </c>
      <c r="E3687">
        <v>0</v>
      </c>
      <c r="F3687">
        <v>4776264.934629878</v>
      </c>
    </row>
    <row r="3688" spans="2:6" ht="15.75" customHeight="1" x14ac:dyDescent="0.25">
      <c r="B3688" t="str">
        <v>MintSwap</v>
      </c>
      <c r="C3688" t="str">
        <v>Farm</v>
      </c>
      <c r="D3688" t="str">
        <v>MINT</v>
      </c>
      <c r="E3688">
        <v>1709.3086797809478</v>
      </c>
      <c r="F3688">
        <v>0</v>
      </c>
    </row>
    <row r="3689" spans="2:6" ht="15.75" customHeight="1" x14ac:dyDescent="0.25">
      <c r="B3689" t="str">
        <v>MintSwap Finance</v>
      </c>
      <c r="C3689" t="str">
        <v>Dexs</v>
      </c>
      <c r="D3689" t="str">
        <v>-</v>
      </c>
      <c r="E3689">
        <v>49747.806005556668</v>
      </c>
      <c r="F3689">
        <v>0</v>
      </c>
    </row>
    <row r="3690" spans="2:6" ht="15.75" customHeight="1" x14ac:dyDescent="0.25">
      <c r="B3690" t="str">
        <v>Minu</v>
      </c>
      <c r="C3690" t="str">
        <v>Farm</v>
      </c>
      <c r="D3690" t="str">
        <v>MINU</v>
      </c>
      <c r="E3690">
        <v>22.874130372699938</v>
      </c>
      <c r="F3690">
        <v>24846.709892626925</v>
      </c>
    </row>
    <row r="3691" spans="2:6" ht="15.75" customHeight="1" x14ac:dyDescent="0.25">
      <c r="B3691" t="str">
        <v>Mirage Protocol</v>
      </c>
      <c r="C3691" t="str">
        <v>Derivatives</v>
      </c>
      <c r="D3691" t="str">
        <v>-</v>
      </c>
      <c r="E3691">
        <v>2825.4368300450105</v>
      </c>
      <c r="F3691">
        <v>0</v>
      </c>
    </row>
    <row r="3692" spans="2:6" ht="15.75" customHeight="1" x14ac:dyDescent="0.25">
      <c r="B3692" t="str">
        <v>Mirai</v>
      </c>
      <c r="C3692" t="str">
        <v>Yield</v>
      </c>
      <c r="D3692" t="str">
        <v>MIRAI</v>
      </c>
      <c r="E3692">
        <v>288.29237145708208</v>
      </c>
      <c r="F3692">
        <v>0</v>
      </c>
    </row>
    <row r="3693" spans="2:6" ht="15.75" customHeight="1" x14ac:dyDescent="0.25">
      <c r="B3693" t="str">
        <v>Mirakle Defi</v>
      </c>
      <c r="C3693" t="str">
        <v>Derivatives</v>
      </c>
      <c r="D3693" t="str">
        <v>Qiji</v>
      </c>
      <c r="E3693">
        <v>3.7860210348491317E-2</v>
      </c>
      <c r="F3693">
        <v>0</v>
      </c>
    </row>
    <row r="3694" spans="2:6" ht="15.75" customHeight="1" x14ac:dyDescent="0.25">
      <c r="B3694" t="str">
        <v>Mirror</v>
      </c>
      <c r="C3694" t="str">
        <v>Derivatives</v>
      </c>
      <c r="D3694" t="str">
        <v>MIR</v>
      </c>
      <c r="E3694">
        <v>0</v>
      </c>
      <c r="F3694">
        <v>925144.22984052321</v>
      </c>
    </row>
    <row r="3695" spans="2:6" ht="15.75" customHeight="1" x14ac:dyDescent="0.25">
      <c r="B3695" t="str">
        <v>mirrosset</v>
      </c>
      <c r="C3695" t="str">
        <v>CDP</v>
      </c>
      <c r="D3695" t="str">
        <v>-</v>
      </c>
      <c r="E3695">
        <v>0.28256125749496075</v>
      </c>
      <c r="F3695">
        <v>0</v>
      </c>
    </row>
    <row r="3696" spans="2:6" ht="15.75" customHeight="1" x14ac:dyDescent="0.25">
      <c r="B3696" t="str">
        <v>MistSwap</v>
      </c>
      <c r="C3696" t="str">
        <v>Dexs</v>
      </c>
      <c r="D3696" t="str">
        <v>MIST</v>
      </c>
      <c r="E3696">
        <v>239046.73647977263</v>
      </c>
      <c r="F3696">
        <v>151738.42043118403</v>
      </c>
    </row>
    <row r="3697" spans="2:6" ht="15.75" customHeight="1" x14ac:dyDescent="0.25">
      <c r="B3697" t="str">
        <v>Mito Finance</v>
      </c>
      <c r="C3697" t="str">
        <v>Liquidity manager</v>
      </c>
      <c r="D3697" t="str">
        <v>-</v>
      </c>
      <c r="E3697">
        <v>561159.90555737948</v>
      </c>
      <c r="F3697">
        <v>0</v>
      </c>
    </row>
    <row r="3698" spans="2:6" ht="15.75" customHeight="1" x14ac:dyDescent="0.25">
      <c r="B3698" t="str">
        <v>Mitosis</v>
      </c>
      <c r="C3698" t="str">
        <v>Onchain Capital Allocator</v>
      </c>
      <c r="D3698" t="str">
        <v>-</v>
      </c>
      <c r="E3698">
        <v>2183630.9197347434</v>
      </c>
      <c r="F3698">
        <v>0</v>
      </c>
    </row>
    <row r="3699" spans="2:6" ht="15.75" customHeight="1" x14ac:dyDescent="0.25">
      <c r="B3699" t="str">
        <v>MITTE</v>
      </c>
      <c r="C3699" t="str">
        <v>NftFi</v>
      </c>
      <c r="D3699" t="str">
        <v>-</v>
      </c>
      <c r="E3699">
        <v>0</v>
      </c>
      <c r="F3699">
        <v>0</v>
      </c>
    </row>
    <row r="3700" spans="2:6" ht="15.75" customHeight="1" x14ac:dyDescent="0.25">
      <c r="B3700" t="str">
        <v>MixSwap Finance</v>
      </c>
      <c r="C3700" t="str">
        <v>Farm</v>
      </c>
      <c r="D3700" t="str">
        <v>MXS</v>
      </c>
      <c r="E3700">
        <v>26.079106140641048</v>
      </c>
      <c r="F3700">
        <v>0</v>
      </c>
    </row>
    <row r="3701" spans="2:6" ht="15.75" customHeight="1" x14ac:dyDescent="0.25">
      <c r="B3701" t="str">
        <v>Mjolnir Exchange</v>
      </c>
      <c r="C3701" t="str">
        <v>Derivatives</v>
      </c>
      <c r="D3701" t="str">
        <v>-</v>
      </c>
      <c r="E3701">
        <v>6.4389217296453687</v>
      </c>
      <c r="F3701">
        <v>0</v>
      </c>
    </row>
    <row r="3702" spans="2:6" ht="15.75" customHeight="1" x14ac:dyDescent="0.25">
      <c r="B3702" t="str">
        <v>MM Finance Arbitrum</v>
      </c>
      <c r="C3702" t="str">
        <v>Dexs</v>
      </c>
      <c r="D3702" t="str">
        <v>MMF</v>
      </c>
      <c r="E3702">
        <v>2452.3257477859629</v>
      </c>
      <c r="F3702">
        <v>0</v>
      </c>
    </row>
    <row r="3703" spans="2:6" ht="15.75" customHeight="1" x14ac:dyDescent="0.25">
      <c r="B3703" t="str">
        <v>MM Finance Arbitrum V3</v>
      </c>
      <c r="C3703" t="str">
        <v>Dexs</v>
      </c>
      <c r="D3703" t="str">
        <v>-</v>
      </c>
      <c r="E3703">
        <v>10626.882037469342</v>
      </c>
      <c r="F3703">
        <v>0</v>
      </c>
    </row>
    <row r="3704" spans="2:6" ht="15.75" customHeight="1" x14ac:dyDescent="0.25">
      <c r="B3704" t="str">
        <v>MM Finance Cronos</v>
      </c>
      <c r="C3704" t="str">
        <v>Dexs</v>
      </c>
      <c r="D3704" t="str">
        <v>MMF</v>
      </c>
      <c r="E3704">
        <v>1816705.1633590516</v>
      </c>
      <c r="F3704">
        <v>0</v>
      </c>
    </row>
    <row r="3705" spans="2:6" ht="15.75" customHeight="1" x14ac:dyDescent="0.25">
      <c r="B3705" t="str">
        <v>MM Finance Polygon</v>
      </c>
      <c r="C3705" t="str">
        <v>Dexs</v>
      </c>
      <c r="D3705" t="str">
        <v>MMF</v>
      </c>
      <c r="E3705">
        <v>31627.099022745508</v>
      </c>
      <c r="F3705">
        <v>552226.42541278445</v>
      </c>
    </row>
    <row r="3706" spans="2:6" ht="15.75" customHeight="1" x14ac:dyDescent="0.25">
      <c r="B3706" t="str">
        <v>MM Optimizer</v>
      </c>
      <c r="C3706" t="str">
        <v>Yield Aggregator</v>
      </c>
      <c r="D3706" t="str">
        <v>MMO</v>
      </c>
      <c r="E3706">
        <v>0</v>
      </c>
      <c r="F3706">
        <v>0</v>
      </c>
    </row>
    <row r="3707" spans="2:6" ht="15.75" customHeight="1" x14ac:dyDescent="0.25">
      <c r="B3707" t="str">
        <v>MM Optimizer Polygon</v>
      </c>
      <c r="C3707" t="str">
        <v>Yield Aggregator</v>
      </c>
      <c r="D3707" t="str">
        <v>MMO</v>
      </c>
      <c r="E3707">
        <v>0</v>
      </c>
      <c r="F3707">
        <v>0</v>
      </c>
    </row>
    <row r="3708" spans="2:6" ht="15.75" customHeight="1" x14ac:dyDescent="0.25">
      <c r="B3708" t="str">
        <v>MM Stableswap</v>
      </c>
      <c r="C3708" t="str">
        <v>Dexs</v>
      </c>
      <c r="D3708" t="str">
        <v>-</v>
      </c>
      <c r="E3708">
        <v>2895.2687950617483</v>
      </c>
      <c r="F3708">
        <v>0</v>
      </c>
    </row>
    <row r="3709" spans="2:6" ht="15.75" customHeight="1" x14ac:dyDescent="0.25">
      <c r="B3709" t="str">
        <v>MM Stableswap Polygon</v>
      </c>
      <c r="C3709" t="str">
        <v>Dexs</v>
      </c>
      <c r="D3709" t="str">
        <v>-</v>
      </c>
      <c r="E3709">
        <v>6419.9375058756614</v>
      </c>
      <c r="F3709">
        <v>0</v>
      </c>
    </row>
    <row r="3710" spans="2:6" ht="15.75" customHeight="1" x14ac:dyDescent="0.25">
      <c r="B3710" t="str">
        <v>MMO Finance</v>
      </c>
      <c r="C3710" t="str">
        <v>NFT Lending</v>
      </c>
      <c r="D3710" t="str">
        <v>-</v>
      </c>
      <c r="E3710">
        <v>19236.695104151448</v>
      </c>
      <c r="F3710">
        <v>0</v>
      </c>
    </row>
    <row r="3711" spans="2:6" ht="15.75" customHeight="1" x14ac:dyDescent="0.25">
      <c r="B3711" t="str">
        <v>Moai V2</v>
      </c>
      <c r="C3711" t="str">
        <v>Dexs</v>
      </c>
      <c r="D3711" t="str">
        <v>-</v>
      </c>
      <c r="E3711">
        <v>343.67929457151877</v>
      </c>
      <c r="F3711">
        <v>0</v>
      </c>
    </row>
    <row r="3712" spans="2:6" ht="15.75" customHeight="1" x14ac:dyDescent="0.25">
      <c r="B3712" t="str">
        <v>Moai V3</v>
      </c>
      <c r="C3712" t="str">
        <v>Dexs</v>
      </c>
      <c r="D3712" t="str">
        <v>-</v>
      </c>
      <c r="E3712">
        <v>1969.9342190734683</v>
      </c>
      <c r="F3712">
        <v>0</v>
      </c>
    </row>
    <row r="3713" spans="2:6" ht="15.75" customHeight="1" x14ac:dyDescent="0.25">
      <c r="B3713" t="str">
        <v>Moar Market</v>
      </c>
      <c r="C3713" t="str">
        <v>Leveraged Farming</v>
      </c>
      <c r="D3713" t="str">
        <v>-</v>
      </c>
      <c r="E3713">
        <v>6262950.6607584739</v>
      </c>
      <c r="F3713">
        <v>0</v>
      </c>
    </row>
    <row r="3714" spans="2:6" ht="15.75" customHeight="1" x14ac:dyDescent="0.25">
      <c r="B3714" t="str">
        <v>Mobius Exchange</v>
      </c>
      <c r="C3714" t="str">
        <v>Dexs</v>
      </c>
      <c r="D3714" t="str">
        <v>-</v>
      </c>
      <c r="E3714">
        <v>102711.98458906647</v>
      </c>
      <c r="F3714">
        <v>0</v>
      </c>
    </row>
    <row r="3715" spans="2:6" ht="15.75" customHeight="1" x14ac:dyDescent="0.25">
      <c r="B3715" t="str">
        <v>Mobius Finance</v>
      </c>
      <c r="C3715" t="str">
        <v>Synthetics</v>
      </c>
      <c r="D3715" t="str">
        <v>MOT</v>
      </c>
      <c r="E3715">
        <v>36509.401190585275</v>
      </c>
      <c r="F3715">
        <v>0</v>
      </c>
    </row>
    <row r="3716" spans="2:6" ht="15.75" customHeight="1" x14ac:dyDescent="0.25">
      <c r="B3716" t="str">
        <v>Mobius Money</v>
      </c>
      <c r="C3716" t="str">
        <v>Dexs</v>
      </c>
      <c r="D3716" t="str">
        <v>MOBI</v>
      </c>
      <c r="E3716">
        <v>265318.52670479089</v>
      </c>
      <c r="F3716">
        <v>0</v>
      </c>
    </row>
    <row r="3717" spans="2:6" ht="15.75" customHeight="1" x14ac:dyDescent="0.25">
      <c r="B3717" t="str">
        <v>MobiusDEX</v>
      </c>
      <c r="C3717" t="str">
        <v>Dexs</v>
      </c>
      <c r="D3717" t="str">
        <v>MDEX</v>
      </c>
      <c r="E3717">
        <v>1295.7242027634456</v>
      </c>
      <c r="F3717">
        <v>0</v>
      </c>
    </row>
    <row r="3718" spans="2:6" ht="15.75" customHeight="1" x14ac:dyDescent="0.25">
      <c r="B3718" t="str">
        <v>MOBOX</v>
      </c>
      <c r="C3718" t="str">
        <v>Gaming</v>
      </c>
      <c r="D3718" t="str">
        <v>MBOX</v>
      </c>
      <c r="E3718">
        <v>0</v>
      </c>
      <c r="F3718">
        <v>16454745.496653646</v>
      </c>
    </row>
    <row r="3719" spans="2:6" ht="15.75" customHeight="1" x14ac:dyDescent="0.25">
      <c r="B3719" t="str">
        <v>Moby</v>
      </c>
      <c r="C3719" t="str">
        <v>Options</v>
      </c>
      <c r="D3719" t="str">
        <v>-</v>
      </c>
      <c r="E3719">
        <v>4.992100180686624E-2</v>
      </c>
      <c r="F3719">
        <v>0</v>
      </c>
    </row>
    <row r="3720" spans="2:6" ht="15.75" customHeight="1" x14ac:dyDescent="0.25">
      <c r="B3720" t="str">
        <v>MobyDEX</v>
      </c>
      <c r="C3720" t="str">
        <v>Dexs</v>
      </c>
      <c r="D3720" t="str">
        <v>MOBY</v>
      </c>
      <c r="E3720">
        <v>546.03682000249921</v>
      </c>
      <c r="F3720">
        <v>0</v>
      </c>
    </row>
    <row r="3721" spans="2:6" ht="15.75" customHeight="1" x14ac:dyDescent="0.25">
      <c r="B3721" t="str">
        <v>MochiFi</v>
      </c>
      <c r="C3721" t="str">
        <v>Lending</v>
      </c>
      <c r="D3721" t="str">
        <v>MOCHI</v>
      </c>
      <c r="E3721">
        <v>533755.31883431179</v>
      </c>
      <c r="F3721">
        <v>0</v>
      </c>
    </row>
    <row r="3722" spans="2:6" ht="15.75" customHeight="1" x14ac:dyDescent="0.25">
      <c r="B3722" t="str">
        <v>MochiSwap</v>
      </c>
      <c r="C3722" t="str">
        <v>Dexs</v>
      </c>
      <c r="D3722" t="str">
        <v>MOCHI</v>
      </c>
      <c r="E3722">
        <v>89148.337602629486</v>
      </c>
      <c r="F3722">
        <v>0</v>
      </c>
    </row>
    <row r="3723" spans="2:6" ht="15.75" customHeight="1" x14ac:dyDescent="0.25">
      <c r="B3723" t="str">
        <v>Mockingbird</v>
      </c>
      <c r="C3723" t="str">
        <v>Farm</v>
      </c>
      <c r="D3723" t="str">
        <v>MOCKINGBIRD</v>
      </c>
      <c r="E3723">
        <v>533.08067157728772</v>
      </c>
      <c r="F3723">
        <v>0</v>
      </c>
    </row>
    <row r="3724" spans="2:6" ht="15.75" customHeight="1" x14ac:dyDescent="0.25">
      <c r="B3724" t="str">
        <v>Mode Bridge</v>
      </c>
      <c r="C3724" t="str">
        <v>Canonical Bridge</v>
      </c>
      <c r="D3724" t="str">
        <v>MODE</v>
      </c>
      <c r="E3724">
        <v>9657363.9025205802</v>
      </c>
      <c r="F3724">
        <v>2464934.6498984839</v>
      </c>
    </row>
    <row r="3725" spans="2:6" ht="15.75" customHeight="1" x14ac:dyDescent="0.25">
      <c r="B3725" t="str">
        <v>ModeMax AMM</v>
      </c>
      <c r="C3725" t="str">
        <v>Dexs</v>
      </c>
      <c r="D3725" t="str">
        <v>-</v>
      </c>
      <c r="E3725">
        <v>224.82564993061001</v>
      </c>
      <c r="F3725">
        <v>0</v>
      </c>
    </row>
    <row r="3726" spans="2:6" ht="15.75" customHeight="1" x14ac:dyDescent="0.25">
      <c r="B3726" t="str">
        <v>ModeMax Perps</v>
      </c>
      <c r="C3726" t="str">
        <v>Derivatives</v>
      </c>
      <c r="D3726" t="str">
        <v>-</v>
      </c>
      <c r="E3726">
        <v>1188.09021020419</v>
      </c>
      <c r="F3726">
        <v>0</v>
      </c>
    </row>
    <row r="3727" spans="2:6" ht="15.75" customHeight="1" x14ac:dyDescent="0.25">
      <c r="B3727" t="str">
        <v>ModeMax Perps V2</v>
      </c>
      <c r="C3727" t="str">
        <v>Derivatives</v>
      </c>
      <c r="D3727" t="str">
        <v>-</v>
      </c>
      <c r="E3727">
        <v>0</v>
      </c>
      <c r="F3727">
        <v>0</v>
      </c>
    </row>
    <row r="3728" spans="2:6" ht="15.75" customHeight="1" x14ac:dyDescent="0.25">
      <c r="B3728" t="str">
        <v>ModeSwap</v>
      </c>
      <c r="C3728" t="str">
        <v>Dexs</v>
      </c>
      <c r="D3728" t="str">
        <v>MODE</v>
      </c>
      <c r="E3728">
        <v>1725.5321096828375</v>
      </c>
      <c r="F3728">
        <v>0</v>
      </c>
    </row>
    <row r="3729" spans="2:6" ht="15.75" customHeight="1" x14ac:dyDescent="0.25">
      <c r="B3729" t="str">
        <v>Modswap</v>
      </c>
      <c r="C3729" t="str">
        <v>Dexs</v>
      </c>
      <c r="D3729" t="str">
        <v>-</v>
      </c>
      <c r="E3729">
        <v>36.080322992156091</v>
      </c>
      <c r="F3729">
        <v>0</v>
      </c>
    </row>
    <row r="3730" spans="2:6" ht="15.75" customHeight="1" x14ac:dyDescent="0.25">
      <c r="B3730" t="str">
        <v>MojitoSwap</v>
      </c>
      <c r="C3730" t="str">
        <v>Dexs</v>
      </c>
      <c r="D3730" t="str">
        <v>MJT</v>
      </c>
      <c r="E3730">
        <v>526824.68374592834</v>
      </c>
      <c r="F3730">
        <v>0</v>
      </c>
    </row>
    <row r="3731" spans="2:6" ht="15.75" customHeight="1" x14ac:dyDescent="0.25">
      <c r="B3731" t="str">
        <v>Moki</v>
      </c>
      <c r="C3731" t="str">
        <v>DEX Aggregator</v>
      </c>
      <c r="D3731" t="str">
        <v>-</v>
      </c>
      <c r="E3731">
        <v>0</v>
      </c>
      <c r="F3731">
        <v>0</v>
      </c>
    </row>
    <row r="3732" spans="2:6" ht="15.75" customHeight="1" x14ac:dyDescent="0.25">
      <c r="B3732" t="str">
        <v>Mole</v>
      </c>
      <c r="C3732" t="str">
        <v>Yield</v>
      </c>
      <c r="D3732" t="str">
        <v>MOLE</v>
      </c>
      <c r="E3732">
        <v>9694883.7594625074</v>
      </c>
      <c r="F3732">
        <v>0</v>
      </c>
    </row>
    <row r="3733" spans="2:6" ht="15.75" customHeight="1" x14ac:dyDescent="0.25">
      <c r="B3733" t="str">
        <v>Molecular</v>
      </c>
      <c r="C3733" t="str">
        <v>Leveraged Farming</v>
      </c>
      <c r="D3733" t="str">
        <v>-</v>
      </c>
      <c r="E3733">
        <v>198154.85989586404</v>
      </c>
      <c r="F3733">
        <v>0</v>
      </c>
    </row>
    <row r="3734" spans="2:6" ht="15.75" customHeight="1" x14ac:dyDescent="0.25">
      <c r="B3734" t="str">
        <v>Molend</v>
      </c>
      <c r="C3734" t="str">
        <v>Lending</v>
      </c>
      <c r="D3734" t="str">
        <v>-</v>
      </c>
      <c r="E3734">
        <v>10168.078200684706</v>
      </c>
      <c r="F3734">
        <v>0</v>
      </c>
    </row>
    <row r="3735" spans="2:6" ht="15.75" customHeight="1" x14ac:dyDescent="0.25">
      <c r="B3735" t="str">
        <v>Molten V3</v>
      </c>
      <c r="C3735" t="str">
        <v>Dexs</v>
      </c>
      <c r="D3735" t="str">
        <v>-</v>
      </c>
      <c r="E3735">
        <v>235372.2608199855</v>
      </c>
      <c r="F3735">
        <v>0</v>
      </c>
    </row>
    <row r="3736" spans="2:6" ht="15.75" customHeight="1" x14ac:dyDescent="0.25">
      <c r="B3736" t="str">
        <v>Molten V4</v>
      </c>
      <c r="C3736" t="str">
        <v>Dexs</v>
      </c>
      <c r="D3736" t="str">
        <v>-</v>
      </c>
      <c r="E3736">
        <v>1094901.1722638693</v>
      </c>
      <c r="F3736">
        <v>0</v>
      </c>
    </row>
    <row r="3737" spans="2:6" ht="15.75" customHeight="1" x14ac:dyDescent="0.25">
      <c r="B3737" t="str">
        <v>Momentum</v>
      </c>
      <c r="C3737" t="str">
        <v>Dexs</v>
      </c>
      <c r="D3737" t="str">
        <v>-</v>
      </c>
      <c r="E3737">
        <v>26211934.083741412</v>
      </c>
      <c r="F3737">
        <v>0</v>
      </c>
    </row>
    <row r="3738" spans="2:6" ht="15.75" customHeight="1" x14ac:dyDescent="0.25">
      <c r="B3738" t="str">
        <v>Momodrome</v>
      </c>
      <c r="C3738" t="str">
        <v>Dexs</v>
      </c>
      <c r="D3738" t="str">
        <v>-</v>
      </c>
      <c r="E3738">
        <v>7577.4102544475636</v>
      </c>
      <c r="F3738">
        <v>0</v>
      </c>
    </row>
    <row r="3739" spans="2:6" ht="15.75" customHeight="1" x14ac:dyDescent="0.25">
      <c r="B3739" t="str">
        <v>Mon Bridge Dex</v>
      </c>
      <c r="C3739" t="str">
        <v>DEX Aggregator</v>
      </c>
      <c r="D3739" t="str">
        <v>-</v>
      </c>
      <c r="E3739">
        <v>0</v>
      </c>
      <c r="F3739">
        <v>0</v>
      </c>
    </row>
    <row r="3740" spans="2:6" ht="15.75" customHeight="1" x14ac:dyDescent="0.25">
      <c r="B3740" t="str">
        <v>MON Protocol</v>
      </c>
      <c r="C3740" t="str">
        <v>Gaming</v>
      </c>
      <c r="D3740" t="str">
        <v>MON</v>
      </c>
      <c r="E3740">
        <v>0</v>
      </c>
      <c r="F3740">
        <v>4495478.9345656317</v>
      </c>
    </row>
    <row r="3741" spans="2:6" ht="15.75" customHeight="1" x14ac:dyDescent="0.25">
      <c r="B3741" t="str">
        <v>MonarchPay</v>
      </c>
      <c r="C3741" t="str">
        <v>Payments</v>
      </c>
      <c r="D3741" t="str">
        <v>-</v>
      </c>
      <c r="E3741">
        <v>0</v>
      </c>
      <c r="F3741">
        <v>0</v>
      </c>
    </row>
    <row r="3742" spans="2:6" ht="15.75" customHeight="1" x14ac:dyDescent="0.25">
      <c r="B3742" t="str">
        <v>Monday Trade Perps</v>
      </c>
      <c r="C3742" t="str">
        <v>Derivatives</v>
      </c>
      <c r="D3742" t="str">
        <v>-</v>
      </c>
      <c r="E3742">
        <v>2206965.989087827</v>
      </c>
      <c r="F3742">
        <v>0</v>
      </c>
    </row>
    <row r="3743" spans="2:6" ht="15.75" customHeight="1" x14ac:dyDescent="0.25">
      <c r="B3743" t="str">
        <v>Monday Trade Spot</v>
      </c>
      <c r="C3743" t="str">
        <v>Dexs</v>
      </c>
      <c r="D3743" t="str">
        <v>-</v>
      </c>
      <c r="E3743">
        <v>1644284.6818438603</v>
      </c>
      <c r="F3743">
        <v>0</v>
      </c>
    </row>
    <row r="3744" spans="2:6" ht="15.75" customHeight="1" x14ac:dyDescent="0.25">
      <c r="B3744" t="str">
        <v>Mondrian Swap</v>
      </c>
      <c r="C3744" t="str">
        <v>Dexs</v>
      </c>
      <c r="D3744" t="str">
        <v>MOND</v>
      </c>
      <c r="E3744">
        <v>4790.147345778234</v>
      </c>
      <c r="F3744">
        <v>0</v>
      </c>
    </row>
    <row r="3745" spans="2:6" ht="15.75" customHeight="1" x14ac:dyDescent="0.25">
      <c r="B3745" t="str">
        <v>Money Mates</v>
      </c>
      <c r="C3745" t="str">
        <v>SoFi</v>
      </c>
      <c r="D3745" t="str">
        <v>-</v>
      </c>
      <c r="E3745">
        <v>2550.5288439322512</v>
      </c>
      <c r="F3745">
        <v>0</v>
      </c>
    </row>
    <row r="3746" spans="2:6" ht="15.75" customHeight="1" x14ac:dyDescent="0.25">
      <c r="B3746" t="str">
        <v>MoneyFi</v>
      </c>
      <c r="C3746" t="str">
        <v>Yield Aggregator</v>
      </c>
      <c r="D3746" t="str">
        <v>-</v>
      </c>
      <c r="E3746">
        <v>365192.64013282926</v>
      </c>
      <c r="F3746">
        <v>0</v>
      </c>
    </row>
    <row r="3747" spans="2:6" ht="15.75" customHeight="1" x14ac:dyDescent="0.25">
      <c r="B3747" t="str">
        <v>MoneyOnChain</v>
      </c>
      <c r="C3747" t="str">
        <v>Dual-Token Stablecoin</v>
      </c>
      <c r="D3747" t="str">
        <v>MOC</v>
      </c>
      <c r="E3747">
        <v>80339744.14306891</v>
      </c>
      <c r="F3747">
        <v>0</v>
      </c>
    </row>
    <row r="3748" spans="2:6" ht="15.75" customHeight="1" x14ac:dyDescent="0.25">
      <c r="B3748" t="str">
        <v>Moneyrain Finance</v>
      </c>
      <c r="C3748" t="str">
        <v>Yield</v>
      </c>
      <c r="D3748" t="str">
        <v>MONEYRAIN</v>
      </c>
      <c r="E3748">
        <v>3091.4406886581842</v>
      </c>
      <c r="F3748">
        <v>0</v>
      </c>
    </row>
    <row r="3749" spans="2:6" ht="15.75" customHeight="1" x14ac:dyDescent="0.25">
      <c r="B3749" t="str">
        <v>MoneyX</v>
      </c>
      <c r="C3749" t="str">
        <v>Derivatives</v>
      </c>
      <c r="D3749" t="str">
        <v>MONEY</v>
      </c>
      <c r="E3749">
        <v>0</v>
      </c>
      <c r="F3749">
        <v>0</v>
      </c>
    </row>
    <row r="3750" spans="2:6" ht="15.75" customHeight="1" x14ac:dyDescent="0.25">
      <c r="B3750" t="str">
        <v>Monoceros</v>
      </c>
      <c r="C3750" t="str">
        <v>Yield</v>
      </c>
      <c r="D3750" t="str">
        <v>MCS</v>
      </c>
      <c r="E3750">
        <v>0</v>
      </c>
      <c r="F3750">
        <v>0</v>
      </c>
    </row>
    <row r="3751" spans="2:6" ht="15.75" customHeight="1" x14ac:dyDescent="0.25">
      <c r="B3751" t="str">
        <v>Monocerus</v>
      </c>
      <c r="C3751" t="str">
        <v>Dexs</v>
      </c>
      <c r="D3751" t="str">
        <v>CERUS</v>
      </c>
      <c r="E3751">
        <v>203.408058891466</v>
      </c>
      <c r="F3751">
        <v>0</v>
      </c>
    </row>
    <row r="3752" spans="2:6" ht="15.75" customHeight="1" x14ac:dyDescent="0.25">
      <c r="B3752" t="str">
        <v>MonoLend</v>
      </c>
      <c r="C3752" t="str">
        <v>Lending</v>
      </c>
      <c r="D3752" t="str">
        <v>MLD</v>
      </c>
      <c r="E3752">
        <v>6300.0300683930045</v>
      </c>
      <c r="F3752">
        <v>0</v>
      </c>
    </row>
    <row r="3753" spans="2:6" ht="15.75" customHeight="1" x14ac:dyDescent="0.25">
      <c r="B3753" t="str">
        <v>Monolith</v>
      </c>
      <c r="C3753" t="str">
        <v>Yield Aggregator</v>
      </c>
      <c r="D3753" t="str">
        <v>moSOLID</v>
      </c>
      <c r="E3753">
        <v>577.42294915929699</v>
      </c>
      <c r="F3753">
        <v>0</v>
      </c>
    </row>
    <row r="3754" spans="2:6" ht="15.75" customHeight="1" x14ac:dyDescent="0.25">
      <c r="B3754" t="str">
        <v>Monopoly Finance</v>
      </c>
      <c r="C3754" t="str">
        <v>Farm</v>
      </c>
      <c r="D3754" t="str">
        <v>DUO</v>
      </c>
      <c r="E3754">
        <v>267.65786422980591</v>
      </c>
      <c r="F3754">
        <v>0</v>
      </c>
    </row>
    <row r="3755" spans="2:6" ht="15.75" customHeight="1" x14ac:dyDescent="0.25">
      <c r="B3755" t="str">
        <v>MonoSwap V2</v>
      </c>
      <c r="C3755" t="str">
        <v>Dexs</v>
      </c>
      <c r="D3755" t="str">
        <v>-</v>
      </c>
      <c r="E3755">
        <v>2301.1984793602423</v>
      </c>
      <c r="F3755">
        <v>0</v>
      </c>
    </row>
    <row r="3756" spans="2:6" ht="15.75" customHeight="1" x14ac:dyDescent="0.25">
      <c r="B3756" t="str">
        <v>MonoSwap V3</v>
      </c>
      <c r="C3756" t="str">
        <v>Dexs</v>
      </c>
      <c r="D3756" t="str">
        <v>-</v>
      </c>
      <c r="E3756">
        <v>127631.82978961138</v>
      </c>
      <c r="F3756">
        <v>0</v>
      </c>
    </row>
    <row r="3757" spans="2:6" ht="15.75" customHeight="1" x14ac:dyDescent="0.25">
      <c r="B3757" t="str">
        <v>MonoX</v>
      </c>
      <c r="C3757" t="str">
        <v>Dexs</v>
      </c>
      <c r="D3757" t="str">
        <v>MONO</v>
      </c>
      <c r="E3757">
        <v>11190.096227147993</v>
      </c>
      <c r="F3757">
        <v>0</v>
      </c>
    </row>
    <row r="3758" spans="2:6" ht="15.75" customHeight="1" x14ac:dyDescent="0.25">
      <c r="B3758" t="str">
        <v>Monroe Protocol</v>
      </c>
      <c r="C3758" t="str">
        <v>CDP</v>
      </c>
      <c r="D3758" t="str">
        <v>-</v>
      </c>
      <c r="E3758">
        <v>10435.171720481267</v>
      </c>
      <c r="F3758">
        <v>0</v>
      </c>
    </row>
    <row r="3759" spans="2:6" ht="15.75" customHeight="1" x14ac:dyDescent="0.25">
      <c r="B3759" t="str">
        <v>Monster</v>
      </c>
      <c r="C3759" t="str">
        <v>Gaming</v>
      </c>
      <c r="D3759" t="str">
        <v>MST</v>
      </c>
      <c r="E3759">
        <v>0</v>
      </c>
      <c r="F3759">
        <v>0</v>
      </c>
    </row>
    <row r="3760" spans="2:6" ht="15.75" customHeight="1" x14ac:dyDescent="0.25">
      <c r="B3760" t="str">
        <v>MONSTRO</v>
      </c>
      <c r="C3760" t="str">
        <v>Yield</v>
      </c>
      <c r="D3760" t="str">
        <v>-</v>
      </c>
      <c r="E3760">
        <v>428828.99428550864</v>
      </c>
      <c r="F3760">
        <v>0</v>
      </c>
    </row>
    <row r="3761" spans="2:6" ht="15.75" customHeight="1" x14ac:dyDescent="0.25">
      <c r="B3761" t="str">
        <v>Moola Market</v>
      </c>
      <c r="C3761" t="str">
        <v>Lending</v>
      </c>
      <c r="D3761" t="str">
        <v>MOO</v>
      </c>
      <c r="E3761">
        <v>1330864.2295078121</v>
      </c>
      <c r="F3761">
        <v>54523.996577298276</v>
      </c>
    </row>
    <row r="3762" spans="2:6" ht="15.75" customHeight="1" x14ac:dyDescent="0.25">
      <c r="B3762" t="str">
        <v>Moon Flower Farmers</v>
      </c>
      <c r="C3762" t="str">
        <v>Yield</v>
      </c>
      <c r="D3762" t="str">
        <v>MFF</v>
      </c>
      <c r="E3762">
        <v>0</v>
      </c>
      <c r="F3762">
        <v>0</v>
      </c>
    </row>
    <row r="3763" spans="2:6" ht="15.75" customHeight="1" x14ac:dyDescent="0.25">
      <c r="B3763" t="str">
        <v>Moon Swap</v>
      </c>
      <c r="C3763" t="str">
        <v>Dexs</v>
      </c>
      <c r="D3763" t="str">
        <v>MOON</v>
      </c>
      <c r="E3763">
        <v>1433944.1830233501</v>
      </c>
      <c r="F3763">
        <v>0</v>
      </c>
    </row>
    <row r="3764" spans="2:6" ht="15.75" customHeight="1" x14ac:dyDescent="0.25">
      <c r="B3764" t="str">
        <v>moon.it</v>
      </c>
      <c r="C3764" t="str">
        <v>Launchpad</v>
      </c>
      <c r="D3764" t="str">
        <v>-</v>
      </c>
      <c r="E3764">
        <v>0</v>
      </c>
      <c r="F3764">
        <v>0</v>
      </c>
    </row>
    <row r="3765" spans="2:6" ht="15.75" customHeight="1" x14ac:dyDescent="0.25">
      <c r="B3765" t="str">
        <v>MoonBase</v>
      </c>
      <c r="C3765" t="str">
        <v>Dexs</v>
      </c>
      <c r="D3765" t="str">
        <v>MOON</v>
      </c>
      <c r="E3765">
        <v>435.66140188775938</v>
      </c>
      <c r="F3765">
        <v>0</v>
      </c>
    </row>
    <row r="3766" spans="2:6" ht="15.75" customHeight="1" x14ac:dyDescent="0.25">
      <c r="B3766" t="str">
        <v>Moonbase Alpha</v>
      </c>
      <c r="C3766" t="str">
        <v>Dexs</v>
      </c>
      <c r="D3766" t="str">
        <v>MROCK</v>
      </c>
      <c r="E3766">
        <v>5330.5339005895667</v>
      </c>
      <c r="F3766">
        <v>0</v>
      </c>
    </row>
    <row r="3767" spans="2:6" ht="15.75" customHeight="1" x14ac:dyDescent="0.25">
      <c r="B3767" t="str">
        <v>Moonbeam</v>
      </c>
      <c r="C3767" t="str">
        <v>Canonical Bridge</v>
      </c>
      <c r="D3767" t="str">
        <v>GLMR</v>
      </c>
      <c r="E3767">
        <v>0</v>
      </c>
      <c r="F3767">
        <v>25265842.21622077</v>
      </c>
    </row>
    <row r="3768" spans="2:6" ht="15.75" customHeight="1" x14ac:dyDescent="0.25">
      <c r="B3768" t="str">
        <v>Mooncake</v>
      </c>
      <c r="C3768" t="str">
        <v>Dexs</v>
      </c>
      <c r="D3768" t="str">
        <v>RTX</v>
      </c>
      <c r="E3768">
        <v>3180282.9950668081</v>
      </c>
      <c r="F3768">
        <v>0</v>
      </c>
    </row>
    <row r="3769" spans="2:6" ht="15.75" customHeight="1" x14ac:dyDescent="0.25">
      <c r="B3769" t="str">
        <v>Mooncake Finance</v>
      </c>
      <c r="C3769" t="str">
        <v>Lending</v>
      </c>
      <c r="D3769" t="str">
        <v>-</v>
      </c>
      <c r="E3769">
        <v>1238.3275168565954</v>
      </c>
      <c r="F3769">
        <v>0</v>
      </c>
    </row>
    <row r="3770" spans="2:6" ht="15.75" customHeight="1" x14ac:dyDescent="0.25">
      <c r="B3770" t="str">
        <v>Moonchain Swap</v>
      </c>
      <c r="C3770" t="str">
        <v>Dexs</v>
      </c>
      <c r="D3770" t="str">
        <v>-</v>
      </c>
      <c r="E3770">
        <v>82.410893995105482</v>
      </c>
      <c r="F3770">
        <v>0</v>
      </c>
    </row>
    <row r="3771" spans="2:6" ht="15.75" customHeight="1" x14ac:dyDescent="0.25">
      <c r="B3771" t="str">
        <v>MoonDao</v>
      </c>
      <c r="C3771" t="str">
        <v>Reserve Currency</v>
      </c>
      <c r="D3771" t="str">
        <v>MD</v>
      </c>
      <c r="E3771">
        <v>76.756647359828861</v>
      </c>
      <c r="F3771">
        <v>0</v>
      </c>
    </row>
    <row r="3772" spans="2:6" ht="15.75" customHeight="1" x14ac:dyDescent="0.25">
      <c r="B3772" t="str">
        <v>MooniSwap</v>
      </c>
      <c r="C3772" t="str">
        <v>Dexs</v>
      </c>
      <c r="D3772" t="str">
        <v>-</v>
      </c>
      <c r="E3772">
        <v>326761.94484707207</v>
      </c>
      <c r="F3772">
        <v>0</v>
      </c>
    </row>
    <row r="3773" spans="2:6" ht="15.75" customHeight="1" x14ac:dyDescent="0.25">
      <c r="B3773" t="str">
        <v>Moonlander</v>
      </c>
      <c r="C3773" t="str">
        <v>Derivatives</v>
      </c>
      <c r="D3773" t="str">
        <v>MLP</v>
      </c>
      <c r="E3773">
        <v>31876139.358510453</v>
      </c>
      <c r="F3773">
        <v>0</v>
      </c>
    </row>
    <row r="3774" spans="2:6" ht="15.75" customHeight="1" x14ac:dyDescent="0.25">
      <c r="B3774" t="str">
        <v>MoonLift</v>
      </c>
      <c r="C3774" t="str">
        <v>Dexs</v>
      </c>
      <c r="D3774" t="str">
        <v>MLTPX</v>
      </c>
      <c r="E3774">
        <v>1252.8638209243024</v>
      </c>
      <c r="F3774">
        <v>0</v>
      </c>
    </row>
    <row r="3775" spans="2:6" ht="15.75" customHeight="1" x14ac:dyDescent="0.25">
      <c r="B3775" t="str">
        <v>Moonmace</v>
      </c>
      <c r="C3775" t="str">
        <v>Liquid Staking</v>
      </c>
      <c r="D3775" t="str">
        <v>-</v>
      </c>
      <c r="E3775">
        <v>9333.581660106016</v>
      </c>
      <c r="F3775">
        <v>0</v>
      </c>
    </row>
    <row r="3776" spans="2:6" ht="15.75" customHeight="1" x14ac:dyDescent="0.25">
      <c r="B3776" t="str">
        <v>MoonPie</v>
      </c>
      <c r="C3776" t="str">
        <v>Launchpad</v>
      </c>
      <c r="D3776" t="str">
        <v>-</v>
      </c>
      <c r="E3776">
        <v>0</v>
      </c>
      <c r="F3776">
        <v>0</v>
      </c>
    </row>
    <row r="3777" spans="2:6" ht="15.75" customHeight="1" x14ac:dyDescent="0.25">
      <c r="B3777" t="str">
        <v>Moonpot</v>
      </c>
      <c r="C3777" t="str">
        <v>Yield</v>
      </c>
      <c r="D3777" t="str">
        <v>POTS</v>
      </c>
      <c r="E3777">
        <v>55834.221618667376</v>
      </c>
      <c r="F3777">
        <v>0</v>
      </c>
    </row>
    <row r="3778" spans="2:6" ht="15.75" customHeight="1" x14ac:dyDescent="0.25">
      <c r="B3778" t="str">
        <v>Moonshot Create</v>
      </c>
      <c r="C3778" t="str">
        <v>Launchpad</v>
      </c>
      <c r="D3778" t="str">
        <v>-</v>
      </c>
      <c r="E3778">
        <v>0</v>
      </c>
      <c r="F3778">
        <v>0</v>
      </c>
    </row>
    <row r="3779" spans="2:6" ht="15.75" customHeight="1" x14ac:dyDescent="0.25">
      <c r="B3779" t="str">
        <v>moonshot.money</v>
      </c>
      <c r="C3779" t="str">
        <v>Trading App</v>
      </c>
      <c r="D3779" t="str">
        <v>-</v>
      </c>
      <c r="E3779">
        <v>0</v>
      </c>
      <c r="F3779">
        <v>0</v>
      </c>
    </row>
    <row r="3780" spans="2:6" ht="15.75" customHeight="1" x14ac:dyDescent="0.25">
      <c r="B3780" t="str">
        <v>Moonswap</v>
      </c>
      <c r="C3780" t="str">
        <v>Dexs</v>
      </c>
      <c r="D3780" t="str">
        <v>mSWAP</v>
      </c>
      <c r="E3780">
        <v>200986.38279975316</v>
      </c>
      <c r="F3780">
        <v>0</v>
      </c>
    </row>
    <row r="3781" spans="2:6" ht="15.75" customHeight="1" x14ac:dyDescent="0.25">
      <c r="B3781" t="str">
        <v>moonthat</v>
      </c>
      <c r="C3781" t="str">
        <v>Launchpad</v>
      </c>
      <c r="D3781" t="str">
        <v>-</v>
      </c>
      <c r="E3781">
        <v>24588.626101705788</v>
      </c>
      <c r="F3781">
        <v>0</v>
      </c>
    </row>
    <row r="3782" spans="2:6" ht="15.75" customHeight="1" x14ac:dyDescent="0.25">
      <c r="B3782" t="str">
        <v>Moonwell Apollo</v>
      </c>
      <c r="C3782" t="str">
        <v>Lending</v>
      </c>
      <c r="D3782" t="str">
        <v>MFAM</v>
      </c>
      <c r="E3782">
        <v>896407.52746158466</v>
      </c>
      <c r="F3782">
        <v>58516.163796132751</v>
      </c>
    </row>
    <row r="3783" spans="2:6" ht="15.75" customHeight="1" x14ac:dyDescent="0.25">
      <c r="B3783" t="str">
        <v>Moonwell Lending</v>
      </c>
      <c r="C3783" t="str">
        <v>Lending</v>
      </c>
      <c r="D3783" t="str">
        <v>WELL</v>
      </c>
      <c r="E3783">
        <v>86561343.651596695</v>
      </c>
      <c r="F3783">
        <v>0</v>
      </c>
    </row>
    <row r="3784" spans="2:6" ht="15.75" customHeight="1" x14ac:dyDescent="0.25">
      <c r="B3784" t="str">
        <v>Moonwell Vaults</v>
      </c>
      <c r="C3784" t="str">
        <v>Onchain Capital Allocator</v>
      </c>
      <c r="D3784" t="str">
        <v>WELL</v>
      </c>
      <c r="E3784">
        <v>71375333.781704143</v>
      </c>
      <c r="F3784">
        <v>0</v>
      </c>
    </row>
    <row r="3785" spans="2:6" ht="15.75" customHeight="1" x14ac:dyDescent="0.25">
      <c r="B3785" t="str">
        <v>Moor</v>
      </c>
      <c r="C3785" t="str">
        <v>CDP</v>
      </c>
      <c r="D3785" t="str">
        <v>-</v>
      </c>
      <c r="E3785">
        <v>92423.485286727562</v>
      </c>
      <c r="F3785">
        <v>0</v>
      </c>
    </row>
    <row r="3786" spans="2:6" ht="15.75" customHeight="1" x14ac:dyDescent="0.25">
      <c r="B3786" t="str">
        <v>Moose</v>
      </c>
      <c r="C3786" t="str">
        <v>Yield</v>
      </c>
      <c r="D3786" t="str">
        <v>-</v>
      </c>
      <c r="E3786">
        <v>0.11120018626499999</v>
      </c>
      <c r="F3786">
        <v>0</v>
      </c>
    </row>
    <row r="3787" spans="2:6" ht="15.75" customHeight="1" x14ac:dyDescent="0.25">
      <c r="B3787" t="str">
        <v>Moraswap V2</v>
      </c>
      <c r="C3787" t="str">
        <v>Dexs</v>
      </c>
      <c r="D3787" t="str">
        <v>-</v>
      </c>
      <c r="E3787">
        <v>11902.730812988129</v>
      </c>
      <c r="F3787">
        <v>0</v>
      </c>
    </row>
    <row r="3788" spans="2:6" ht="15.75" customHeight="1" x14ac:dyDescent="0.25">
      <c r="B3788" t="str">
        <v>Moraswap V3</v>
      </c>
      <c r="C3788" t="str">
        <v>Dexs</v>
      </c>
      <c r="D3788" t="str">
        <v>-</v>
      </c>
      <c r="E3788">
        <v>6126.092409149388</v>
      </c>
      <c r="F3788">
        <v>0</v>
      </c>
    </row>
    <row r="3789" spans="2:6" ht="15.75" customHeight="1" x14ac:dyDescent="0.25">
      <c r="B3789" t="str">
        <v>MORE Markets</v>
      </c>
      <c r="C3789" t="str">
        <v>Lending</v>
      </c>
      <c r="D3789" t="str">
        <v>-</v>
      </c>
      <c r="E3789">
        <v>9657928.0245433562</v>
      </c>
      <c r="F3789">
        <v>0</v>
      </c>
    </row>
    <row r="3790" spans="2:6" ht="15.75" customHeight="1" x14ac:dyDescent="0.25">
      <c r="B3790" t="str">
        <v>MORE Vaults</v>
      </c>
      <c r="C3790" t="str">
        <v>Onchain Capital Allocator</v>
      </c>
      <c r="D3790" t="str">
        <v>-</v>
      </c>
      <c r="E3790">
        <v>1429225.7919743175</v>
      </c>
      <c r="F3790">
        <v>0</v>
      </c>
    </row>
    <row r="3791" spans="2:6" ht="15.75" customHeight="1" x14ac:dyDescent="0.25">
      <c r="B3791" t="str">
        <v>MoreMarkets.xyz</v>
      </c>
      <c r="C3791" t="str">
        <v>Yield</v>
      </c>
      <c r="D3791" t="str">
        <v>-</v>
      </c>
      <c r="E3791">
        <v>4324784.0392065756</v>
      </c>
      <c r="F3791">
        <v>0</v>
      </c>
    </row>
    <row r="3792" spans="2:6" ht="15.75" customHeight="1" x14ac:dyDescent="0.25">
      <c r="B3792" t="str">
        <v>Moremoney</v>
      </c>
      <c r="C3792" t="str">
        <v>Lending</v>
      </c>
      <c r="D3792" t="str">
        <v>MORE</v>
      </c>
      <c r="E3792">
        <v>7541.7497867822376</v>
      </c>
      <c r="F3792">
        <v>0</v>
      </c>
    </row>
    <row r="3793" spans="2:6" ht="15.75" customHeight="1" x14ac:dyDescent="0.25">
      <c r="B3793" t="str">
        <v>Moret</v>
      </c>
      <c r="C3793" t="str">
        <v>Options Vault</v>
      </c>
      <c r="D3793" t="str">
        <v>MOR</v>
      </c>
      <c r="E3793">
        <v>1078.5729048298442</v>
      </c>
      <c r="F3793">
        <v>0</v>
      </c>
    </row>
    <row r="3794" spans="2:6" ht="15.75" customHeight="1" x14ac:dyDescent="0.25">
      <c r="B3794" t="str">
        <v>MorFi</v>
      </c>
      <c r="C3794" t="str">
        <v>Dexs</v>
      </c>
      <c r="D3794" t="str">
        <v>-</v>
      </c>
      <c r="E3794">
        <v>44014.830034011509</v>
      </c>
      <c r="F3794">
        <v>0</v>
      </c>
    </row>
    <row r="3795" spans="2:6" ht="15.75" customHeight="1" x14ac:dyDescent="0.25">
      <c r="B3795" t="str">
        <v>Mori Protocol</v>
      </c>
      <c r="C3795" t="str">
        <v>Dexs</v>
      </c>
      <c r="D3795" t="str">
        <v>-</v>
      </c>
      <c r="E3795">
        <v>478.99372142347272</v>
      </c>
      <c r="F3795">
        <v>0</v>
      </c>
    </row>
    <row r="3796" spans="2:6" ht="15.75" customHeight="1" x14ac:dyDescent="0.25">
      <c r="B3796" t="str">
        <v>Moria Protocol</v>
      </c>
      <c r="C3796" t="str">
        <v>CDP</v>
      </c>
      <c r="D3796" t="str">
        <v>-</v>
      </c>
      <c r="E3796">
        <v>856238.01078728156</v>
      </c>
      <c r="F3796">
        <v>0</v>
      </c>
    </row>
    <row r="3797" spans="2:6" ht="15.75" customHeight="1" x14ac:dyDescent="0.25">
      <c r="B3797" t="str">
        <v>Morkie</v>
      </c>
      <c r="C3797" t="str">
        <v>NFT Marketplace</v>
      </c>
      <c r="D3797" t="str">
        <v>MORK</v>
      </c>
      <c r="E3797">
        <v>0</v>
      </c>
      <c r="F3797">
        <v>0</v>
      </c>
    </row>
    <row r="3798" spans="2:6" ht="15.75" customHeight="1" x14ac:dyDescent="0.25">
      <c r="B3798" t="str">
        <v>Morph Bridge</v>
      </c>
      <c r="C3798" t="str">
        <v>Bridge</v>
      </c>
      <c r="D3798" t="str">
        <v>-</v>
      </c>
      <c r="E3798">
        <v>25438469.734664679</v>
      </c>
      <c r="F3798">
        <v>0</v>
      </c>
    </row>
    <row r="3799" spans="2:6" ht="15.75" customHeight="1" x14ac:dyDescent="0.25">
      <c r="B3799" t="str">
        <v>Morpheus Swap</v>
      </c>
      <c r="C3799" t="str">
        <v>Dexs</v>
      </c>
      <c r="D3799" t="str">
        <v>PILLS</v>
      </c>
      <c r="E3799">
        <v>10378.058236452904</v>
      </c>
      <c r="F3799">
        <v>0</v>
      </c>
    </row>
    <row r="3800" spans="2:6" ht="15.75" customHeight="1" x14ac:dyDescent="0.25">
      <c r="B3800" t="str">
        <v>MorpheusAI</v>
      </c>
      <c r="C3800" t="str">
        <v>AI Agents</v>
      </c>
      <c r="D3800" t="str">
        <v>MOR</v>
      </c>
      <c r="E3800">
        <v>25340692.477090023</v>
      </c>
      <c r="F3800">
        <v>8228757.8281935472</v>
      </c>
    </row>
    <row r="3801" spans="2:6" ht="15.75" customHeight="1" x14ac:dyDescent="0.25">
      <c r="B3801" t="str">
        <v>Morphex V1 AMM</v>
      </c>
      <c r="C3801" t="str">
        <v>Dexs</v>
      </c>
      <c r="D3801" t="str">
        <v>MPX</v>
      </c>
      <c r="E3801">
        <v>0</v>
      </c>
      <c r="F3801">
        <v>0</v>
      </c>
    </row>
    <row r="3802" spans="2:6" ht="15.75" customHeight="1" x14ac:dyDescent="0.25">
      <c r="B3802" t="str">
        <v>Morphex V1 Perps</v>
      </c>
      <c r="C3802" t="str">
        <v>Derivatives</v>
      </c>
      <c r="D3802" t="str">
        <v>MPX</v>
      </c>
      <c r="E3802">
        <v>5.9166414807617524E-5</v>
      </c>
      <c r="F3802">
        <v>0</v>
      </c>
    </row>
    <row r="3803" spans="2:6" ht="15.75" customHeight="1" x14ac:dyDescent="0.25">
      <c r="B3803" t="str">
        <v>Morphex V2</v>
      </c>
      <c r="C3803" t="str">
        <v>Derivatives</v>
      </c>
      <c r="D3803" t="str">
        <v>MPX</v>
      </c>
      <c r="E3803">
        <v>23196.378163564215</v>
      </c>
      <c r="F3803">
        <v>0</v>
      </c>
    </row>
    <row r="3804" spans="2:6" ht="15.75" customHeight="1" x14ac:dyDescent="0.25">
      <c r="B3804" t="str">
        <v>Morphex V2 AMM</v>
      </c>
      <c r="C3804" t="str">
        <v>Dexs</v>
      </c>
      <c r="D3804" t="str">
        <v>MPX</v>
      </c>
      <c r="E3804">
        <v>0</v>
      </c>
      <c r="F3804">
        <v>0</v>
      </c>
    </row>
    <row r="3805" spans="2:6" ht="15.75" customHeight="1" x14ac:dyDescent="0.25">
      <c r="B3805" t="str">
        <v>Morpho V0 AaveV2</v>
      </c>
      <c r="C3805" t="str">
        <v>Lending</v>
      </c>
      <c r="D3805" t="str">
        <v>MORPHO</v>
      </c>
      <c r="E3805">
        <v>227622.29225964731</v>
      </c>
      <c r="F3805">
        <v>0</v>
      </c>
    </row>
    <row r="3806" spans="2:6" ht="15.75" customHeight="1" x14ac:dyDescent="0.25">
      <c r="B3806" t="str">
        <v>Morpho V0 AaveV3</v>
      </c>
      <c r="C3806" t="str">
        <v>Lending</v>
      </c>
      <c r="D3806" t="str">
        <v>MORPHO</v>
      </c>
      <c r="E3806">
        <v>32332.992012947634</v>
      </c>
      <c r="F3806">
        <v>0</v>
      </c>
    </row>
    <row r="3807" spans="2:6" ht="15.75" customHeight="1" x14ac:dyDescent="0.25">
      <c r="B3807" t="str">
        <v>Morpho V0 CompoundV2</v>
      </c>
      <c r="C3807" t="str">
        <v>Lending</v>
      </c>
      <c r="D3807" t="str">
        <v>MORPHO</v>
      </c>
      <c r="E3807">
        <v>45255.245711852884</v>
      </c>
      <c r="F3807">
        <v>0</v>
      </c>
    </row>
    <row r="3808" spans="2:6" ht="15.75" customHeight="1" x14ac:dyDescent="0.25">
      <c r="B3808" t="str">
        <v>Morpho V1</v>
      </c>
      <c r="C3808" t="str">
        <v>Lending</v>
      </c>
      <c r="D3808" t="str">
        <v>MORPHO</v>
      </c>
      <c r="E3808">
        <v>6304867744.4031038</v>
      </c>
      <c r="F3808">
        <v>0</v>
      </c>
    </row>
    <row r="3809" spans="2:6" ht="15.75" customHeight="1" x14ac:dyDescent="0.25">
      <c r="B3809" t="str">
        <v>MortgageFi</v>
      </c>
      <c r="C3809" t="str">
        <v>Lending</v>
      </c>
      <c r="D3809" t="str">
        <v>-</v>
      </c>
      <c r="E3809">
        <v>1194114.6205101064</v>
      </c>
      <c r="F3809">
        <v>0</v>
      </c>
    </row>
    <row r="3810" spans="2:6" ht="15.75" customHeight="1" x14ac:dyDescent="0.25">
      <c r="B3810" t="str">
        <v>Mosaic Aggregator</v>
      </c>
      <c r="C3810" t="str">
        <v>DEX Aggregator</v>
      </c>
      <c r="D3810" t="str">
        <v>-</v>
      </c>
      <c r="E3810">
        <v>0</v>
      </c>
      <c r="F3810">
        <v>0</v>
      </c>
    </row>
    <row r="3811" spans="2:6" ht="15.75" customHeight="1" x14ac:dyDescent="0.25">
      <c r="B3811" t="str">
        <v>Mosaic AMM</v>
      </c>
      <c r="C3811" t="str">
        <v>Dexs</v>
      </c>
      <c r="D3811" t="str">
        <v>-</v>
      </c>
      <c r="E3811">
        <v>1627828.5792446129</v>
      </c>
      <c r="F3811">
        <v>0</v>
      </c>
    </row>
    <row r="3812" spans="2:6" ht="15.75" customHeight="1" x14ac:dyDescent="0.25">
      <c r="B3812" t="str">
        <v>Mosquitos Finance</v>
      </c>
      <c r="C3812" t="str">
        <v>Yield</v>
      </c>
      <c r="D3812" t="str">
        <v>SUCKR</v>
      </c>
      <c r="E3812">
        <v>0</v>
      </c>
      <c r="F3812">
        <v>0</v>
      </c>
    </row>
    <row r="3813" spans="2:6" ht="15.75" customHeight="1" x14ac:dyDescent="0.25">
      <c r="B3813" t="str">
        <v>Moss Genomics</v>
      </c>
      <c r="C3813" t="str">
        <v>CeDeFi</v>
      </c>
      <c r="D3813" t="str">
        <v>-</v>
      </c>
      <c r="E3813">
        <v>0</v>
      </c>
      <c r="F3813">
        <v>0</v>
      </c>
    </row>
    <row r="3814" spans="2:6" ht="15.75" customHeight="1" x14ac:dyDescent="0.25">
      <c r="B3814" t="str">
        <v>Moth Finance</v>
      </c>
      <c r="C3814" t="str">
        <v>Algo-Stables</v>
      </c>
      <c r="D3814" t="str">
        <v>MOTH</v>
      </c>
      <c r="E3814">
        <v>5.090251628515218</v>
      </c>
      <c r="F3814">
        <v>0</v>
      </c>
    </row>
    <row r="3815" spans="2:6" ht="15.75" customHeight="1" x14ac:dyDescent="0.25">
      <c r="B3815" t="str">
        <v>Mountain Protocol</v>
      </c>
      <c r="C3815" t="str">
        <v>RWA</v>
      </c>
      <c r="D3815" t="str">
        <v>USDM</v>
      </c>
      <c r="E3815">
        <v>1402996.3749146881</v>
      </c>
      <c r="F3815">
        <v>0</v>
      </c>
    </row>
    <row r="3816" spans="2:6" ht="15.75" customHeight="1" x14ac:dyDescent="0.25">
      <c r="B3816" t="str">
        <v>MoveFlow</v>
      </c>
      <c r="C3816" t="str">
        <v>Payments</v>
      </c>
      <c r="D3816" t="str">
        <v>-</v>
      </c>
      <c r="E3816">
        <v>46.922319005691733</v>
      </c>
      <c r="F3816">
        <v>0</v>
      </c>
    </row>
    <row r="3817" spans="2:6" ht="15.75" customHeight="1" x14ac:dyDescent="0.25">
      <c r="B3817" t="str">
        <v>MoveGPT</v>
      </c>
      <c r="C3817" t="str">
        <v>Launchpad</v>
      </c>
      <c r="D3817" t="str">
        <v>MGPT</v>
      </c>
      <c r="E3817">
        <v>0</v>
      </c>
      <c r="F3817">
        <v>0</v>
      </c>
    </row>
    <row r="3818" spans="2:6" ht="15.75" customHeight="1" x14ac:dyDescent="0.25">
      <c r="B3818" t="str">
        <v>Movement Bridge</v>
      </c>
      <c r="C3818" t="str">
        <v>Bridge</v>
      </c>
      <c r="D3818" t="str">
        <v>MOVE</v>
      </c>
      <c r="E3818">
        <v>0</v>
      </c>
      <c r="F3818">
        <v>0</v>
      </c>
    </row>
    <row r="3819" spans="2:6" ht="15.75" customHeight="1" x14ac:dyDescent="0.25">
      <c r="B3819" t="str">
        <v>MovePosition</v>
      </c>
      <c r="C3819" t="str">
        <v>Lending</v>
      </c>
      <c r="D3819" t="str">
        <v>-</v>
      </c>
      <c r="E3819">
        <v>8585304.9375143461</v>
      </c>
      <c r="F3819">
        <v>0</v>
      </c>
    </row>
    <row r="3820" spans="2:6" ht="15.75" customHeight="1" x14ac:dyDescent="0.25">
      <c r="B3820" t="str">
        <v>MovePump</v>
      </c>
      <c r="C3820" t="str">
        <v>Launchpad</v>
      </c>
      <c r="D3820" t="str">
        <v>SMOVE</v>
      </c>
      <c r="E3820">
        <v>1373.2014484864219</v>
      </c>
      <c r="F3820">
        <v>0</v>
      </c>
    </row>
    <row r="3821" spans="2:6" ht="15.75" customHeight="1" x14ac:dyDescent="0.25">
      <c r="B3821" t="str">
        <v>Mover</v>
      </c>
      <c r="C3821" t="str">
        <v>Yield</v>
      </c>
      <c r="D3821" t="str">
        <v>MOVE</v>
      </c>
      <c r="E3821">
        <v>29104.107411818441</v>
      </c>
      <c r="F3821">
        <v>0</v>
      </c>
    </row>
    <row r="3822" spans="2:6" ht="15.75" customHeight="1" x14ac:dyDescent="0.25">
      <c r="B3822" t="str">
        <v>Mozaic</v>
      </c>
      <c r="C3822" t="str">
        <v>Yield</v>
      </c>
      <c r="D3822" t="str">
        <v>MOZ</v>
      </c>
      <c r="E3822">
        <v>7504.4452624793284</v>
      </c>
      <c r="F3822">
        <v>57884.382533116943</v>
      </c>
    </row>
    <row r="3823" spans="2:6" ht="15.75" customHeight="1" x14ac:dyDescent="0.25">
      <c r="B3823" t="str">
        <v>Mr. Lightspeed Creator Coin</v>
      </c>
      <c r="C3823" t="str">
        <v>SoFi</v>
      </c>
      <c r="D3823" t="str">
        <v>MRLIGHTSPEED</v>
      </c>
      <c r="E3823">
        <v>11586.55192735755</v>
      </c>
      <c r="F3823">
        <v>232967.39786724118</v>
      </c>
    </row>
    <row r="3824" spans="2:6" ht="15.75" customHeight="1" x14ac:dyDescent="0.25">
      <c r="B3824" t="str">
        <v>mStable CDP</v>
      </c>
      <c r="C3824" t="str">
        <v>CDP</v>
      </c>
      <c r="D3824" t="str">
        <v>DHT</v>
      </c>
      <c r="E3824">
        <v>3207740.7046727333</v>
      </c>
      <c r="F3824">
        <v>0</v>
      </c>
    </row>
    <row r="3825" spans="2:6" ht="15.75" customHeight="1" x14ac:dyDescent="0.25">
      <c r="B3825" t="str">
        <v>mStable V2</v>
      </c>
      <c r="C3825" t="str">
        <v>CDP</v>
      </c>
      <c r="D3825" t="str">
        <v>DHT</v>
      </c>
      <c r="E3825">
        <v>3860987.1904940493</v>
      </c>
      <c r="F3825">
        <v>0</v>
      </c>
    </row>
    <row r="3826" spans="2:6" ht="15.75" customHeight="1" x14ac:dyDescent="0.25">
      <c r="B3826" t="str">
        <v>mStable Yield</v>
      </c>
      <c r="C3826" t="str">
        <v>Yield</v>
      </c>
      <c r="D3826" t="str">
        <v>DHT</v>
      </c>
      <c r="E3826">
        <v>1.1430120158768422E-2</v>
      </c>
      <c r="F3826">
        <v>0</v>
      </c>
    </row>
    <row r="3827" spans="2:6" ht="15.75" customHeight="1" x14ac:dyDescent="0.25">
      <c r="B3827" t="str">
        <v>MSwap</v>
      </c>
      <c r="C3827" t="str">
        <v>Dexs</v>
      </c>
      <c r="D3827" t="str">
        <v>-</v>
      </c>
      <c r="E3827">
        <v>26849.20684636943</v>
      </c>
      <c r="F3827">
        <v>0</v>
      </c>
    </row>
    <row r="3828" spans="2:6" ht="15.75" customHeight="1" x14ac:dyDescent="0.25">
      <c r="B3828" t="str">
        <v>Mu Digital</v>
      </c>
      <c r="C3828" t="str">
        <v>RWA</v>
      </c>
      <c r="D3828" t="str">
        <v>-</v>
      </c>
      <c r="E3828">
        <v>13855827.347506821</v>
      </c>
      <c r="F3828">
        <v>0</v>
      </c>
    </row>
    <row r="3829" spans="2:6" ht="15.75" customHeight="1" x14ac:dyDescent="0.25">
      <c r="B3829" t="str">
        <v>Mu Exchange</v>
      </c>
      <c r="C3829" t="str">
        <v>Derivatives</v>
      </c>
      <c r="D3829" t="str">
        <v>-</v>
      </c>
      <c r="E3829">
        <v>943.46794276248625</v>
      </c>
      <c r="F3829">
        <v>0</v>
      </c>
    </row>
    <row r="3830" spans="2:6" ht="15.75" customHeight="1" x14ac:dyDescent="0.25">
      <c r="B3830" t="str">
        <v>MuesliSwap</v>
      </c>
      <c r="C3830" t="str">
        <v>Dexs</v>
      </c>
      <c r="D3830" t="str">
        <v>MILK</v>
      </c>
      <c r="E3830">
        <v>361969.68744015147</v>
      </c>
      <c r="F3830">
        <v>0</v>
      </c>
    </row>
    <row r="3831" spans="2:6" ht="15.75" customHeight="1" x14ac:dyDescent="0.25">
      <c r="B3831" t="str">
        <v>MUFEX</v>
      </c>
      <c r="C3831" t="str">
        <v>Derivatives</v>
      </c>
      <c r="D3831" t="str">
        <v>-</v>
      </c>
      <c r="E3831">
        <v>276382.84402953979</v>
      </c>
      <c r="F3831">
        <v>0</v>
      </c>
    </row>
    <row r="3832" spans="2:6" ht="15.75" customHeight="1" x14ac:dyDescent="0.25">
      <c r="B3832" t="str">
        <v>Muffin</v>
      </c>
      <c r="C3832" t="str">
        <v>Dexs</v>
      </c>
      <c r="D3832" t="str">
        <v>-</v>
      </c>
      <c r="E3832">
        <v>142843.07874986297</v>
      </c>
      <c r="F3832">
        <v>0</v>
      </c>
    </row>
    <row r="3833" spans="2:6" ht="15.75" customHeight="1" x14ac:dyDescent="0.25">
      <c r="B3833" t="str">
        <v>MugenFinance</v>
      </c>
      <c r="C3833" t="str">
        <v>Yield Aggregator</v>
      </c>
      <c r="D3833" t="str">
        <v>MGN</v>
      </c>
      <c r="E3833">
        <v>3354846.6630753214</v>
      </c>
      <c r="F3833">
        <v>0</v>
      </c>
    </row>
    <row r="3834" spans="2:6" ht="15.75" customHeight="1" x14ac:dyDescent="0.25">
      <c r="B3834" t="str">
        <v>MuggleLink</v>
      </c>
      <c r="C3834" t="str">
        <v>Services</v>
      </c>
      <c r="D3834" t="str">
        <v>-</v>
      </c>
      <c r="E3834">
        <v>596.57789489748211</v>
      </c>
      <c r="F3834">
        <v>0</v>
      </c>
    </row>
    <row r="3835" spans="2:6" ht="15.75" customHeight="1" x14ac:dyDescent="0.25">
      <c r="B3835" t="str">
        <v>Muito Finance</v>
      </c>
      <c r="C3835" t="str">
        <v>Yield Aggregator</v>
      </c>
      <c r="D3835" t="str">
        <v>MUTO</v>
      </c>
      <c r="E3835">
        <v>0.47203817827906647</v>
      </c>
      <c r="F3835">
        <v>0</v>
      </c>
    </row>
    <row r="3836" spans="2:6" ht="15.75" customHeight="1" x14ac:dyDescent="0.25">
      <c r="B3836" t="str">
        <v>MultEX</v>
      </c>
      <c r="C3836" t="str">
        <v>Dexs</v>
      </c>
      <c r="D3836" t="str">
        <v>MULTEX</v>
      </c>
      <c r="E3836">
        <v>111.13424923246836</v>
      </c>
      <c r="F3836">
        <v>0</v>
      </c>
    </row>
    <row r="3837" spans="2:6" ht="15.75" customHeight="1" x14ac:dyDescent="0.25">
      <c r="B3837" t="str">
        <v>Multi-Chain Miner</v>
      </c>
      <c r="C3837" t="str">
        <v>Ponzi</v>
      </c>
      <c r="D3837" t="str">
        <v>-</v>
      </c>
      <c r="E3837">
        <v>4.244467544535218</v>
      </c>
      <c r="F3837">
        <v>0</v>
      </c>
    </row>
    <row r="3838" spans="2:6" ht="15.75" customHeight="1" x14ac:dyDescent="0.25">
      <c r="B3838" t="str">
        <v>Multialt</v>
      </c>
      <c r="C3838" t="str">
        <v>Yield</v>
      </c>
      <c r="D3838" t="str">
        <v>-</v>
      </c>
      <c r="E3838">
        <v>0</v>
      </c>
      <c r="F3838">
        <v>0</v>
      </c>
    </row>
    <row r="3839" spans="2:6" ht="15.75" customHeight="1" x14ac:dyDescent="0.25">
      <c r="B3839" t="str">
        <v>MultiBit Protocol</v>
      </c>
      <c r="C3839" t="str">
        <v>Bridge</v>
      </c>
      <c r="D3839" t="str">
        <v>MUBI</v>
      </c>
      <c r="E3839">
        <v>174297.13616669059</v>
      </c>
      <c r="F3839">
        <v>834910.49782502488</v>
      </c>
    </row>
    <row r="3840" spans="2:6" ht="15.75" customHeight="1" x14ac:dyDescent="0.25">
      <c r="B3840" t="str">
        <v>Multichain</v>
      </c>
      <c r="C3840" t="str">
        <v>Bridge</v>
      </c>
      <c r="D3840" t="str">
        <v>MULTI</v>
      </c>
      <c r="E3840">
        <v>92697516.746397465</v>
      </c>
      <c r="F3840">
        <v>0</v>
      </c>
    </row>
    <row r="3841" spans="2:6" ht="15.75" customHeight="1" x14ac:dyDescent="0.25">
      <c r="B3841" t="str">
        <v>MultichainZ</v>
      </c>
      <c r="C3841" t="str">
        <v>Lending</v>
      </c>
      <c r="D3841" t="str">
        <v>-</v>
      </c>
      <c r="E3841">
        <v>169639.29037916457</v>
      </c>
      <c r="F3841">
        <v>0</v>
      </c>
    </row>
    <row r="3842" spans="2:6" ht="15.75" customHeight="1" x14ac:dyDescent="0.25">
      <c r="B3842" t="str">
        <v>Multipli.fi</v>
      </c>
      <c r="C3842" t="str">
        <v>Yield</v>
      </c>
      <c r="D3842" t="str">
        <v>-</v>
      </c>
      <c r="E3842">
        <v>62905893.317518696</v>
      </c>
      <c r="F3842">
        <v>0</v>
      </c>
    </row>
    <row r="3843" spans="2:6" ht="15.75" customHeight="1" x14ac:dyDescent="0.25">
      <c r="B3843" t="str">
        <v>Multiplier</v>
      </c>
      <c r="C3843" t="str">
        <v>Lending</v>
      </c>
      <c r="D3843" t="str">
        <v>MXX</v>
      </c>
      <c r="E3843">
        <v>41830.330673479446</v>
      </c>
      <c r="F3843">
        <v>7180.1483536568094</v>
      </c>
    </row>
    <row r="3844" spans="2:6" ht="15.75" customHeight="1" x14ac:dyDescent="0.25">
      <c r="B3844" t="str">
        <v>multiverse</v>
      </c>
      <c r="C3844" t="str">
        <v>Dexs</v>
      </c>
      <c r="D3844" t="str">
        <v>MVX</v>
      </c>
      <c r="E3844">
        <v>4.9330256893293251E-3</v>
      </c>
      <c r="F3844">
        <v>0</v>
      </c>
    </row>
    <row r="3845" spans="2:6" ht="15.75" customHeight="1" x14ac:dyDescent="0.25">
      <c r="B3845" t="str">
        <v>Mummy Finance</v>
      </c>
      <c r="C3845" t="str">
        <v>Derivatives</v>
      </c>
      <c r="D3845" t="str">
        <v>MMY</v>
      </c>
      <c r="E3845">
        <v>174440.14982221538</v>
      </c>
      <c r="F3845">
        <v>345922.47361431067</v>
      </c>
    </row>
    <row r="3846" spans="2:6" ht="15.75" customHeight="1" x14ac:dyDescent="0.25">
      <c r="B3846" t="str">
        <v>Munchables</v>
      </c>
      <c r="C3846" t="str">
        <v>Farm</v>
      </c>
      <c r="D3846" t="str">
        <v>-</v>
      </c>
      <c r="E3846">
        <v>0</v>
      </c>
      <c r="F3846">
        <v>0</v>
      </c>
    </row>
    <row r="3847" spans="2:6" ht="15.75" customHeight="1" x14ac:dyDescent="0.25">
      <c r="B3847" t="str">
        <v>Munchables V2</v>
      </c>
      <c r="C3847" t="str">
        <v>Farm</v>
      </c>
      <c r="D3847" t="str">
        <v>-</v>
      </c>
      <c r="E3847">
        <v>8201.3828330124979</v>
      </c>
      <c r="F3847">
        <v>0</v>
      </c>
    </row>
    <row r="3848" spans="2:6" ht="15.75" customHeight="1" x14ac:dyDescent="0.25">
      <c r="B3848" t="str">
        <v>Murica</v>
      </c>
      <c r="C3848" t="str">
        <v>Algo-Stables</v>
      </c>
      <c r="D3848" t="str">
        <v>EAGLE</v>
      </c>
      <c r="E3848">
        <v>0</v>
      </c>
      <c r="F3848">
        <v>0</v>
      </c>
    </row>
    <row r="3849" spans="2:6" ht="15.75" customHeight="1" x14ac:dyDescent="0.25">
      <c r="B3849" t="str">
        <v>Muscadine</v>
      </c>
      <c r="C3849" t="str">
        <v>Risk Curators</v>
      </c>
      <c r="D3849" t="str">
        <v>-</v>
      </c>
      <c r="E3849">
        <v>558858.33645982482</v>
      </c>
      <c r="F3849">
        <v>0</v>
      </c>
    </row>
    <row r="3850" spans="2:6" ht="15.75" customHeight="1" x14ac:dyDescent="0.25">
      <c r="B3850" t="str">
        <v>Mushrooms Finance</v>
      </c>
      <c r="C3850" t="str">
        <v>Yield Aggregator</v>
      </c>
      <c r="D3850" t="str">
        <v>MM</v>
      </c>
      <c r="E3850">
        <v>34937.960858682287</v>
      </c>
      <c r="F3850">
        <v>13803.923907516062</v>
      </c>
    </row>
    <row r="3851" spans="2:6" ht="15.75" customHeight="1" x14ac:dyDescent="0.25">
      <c r="B3851" t="str">
        <v>Musical Chairs</v>
      </c>
      <c r="C3851" t="str">
        <v>Gaming</v>
      </c>
      <c r="D3851" t="str">
        <v>-</v>
      </c>
      <c r="E3851">
        <v>15.620452193576888</v>
      </c>
      <c r="F3851">
        <v>0</v>
      </c>
    </row>
    <row r="3852" spans="2:6" ht="15.75" customHeight="1" x14ac:dyDescent="0.25">
      <c r="B3852" t="str">
        <v>Mustang Finance</v>
      </c>
      <c r="C3852" t="str">
        <v>CDP</v>
      </c>
      <c r="D3852" t="str">
        <v>-</v>
      </c>
      <c r="E3852">
        <v>13756619.715406975</v>
      </c>
      <c r="F3852">
        <v>0</v>
      </c>
    </row>
    <row r="3853" spans="2:6" ht="15.75" customHeight="1" x14ac:dyDescent="0.25">
      <c r="B3853" t="str">
        <v>Muuu Finance</v>
      </c>
      <c r="C3853" t="str">
        <v>Yield</v>
      </c>
      <c r="D3853" t="str">
        <v>MUUU</v>
      </c>
      <c r="E3853">
        <v>48797.94411069397</v>
      </c>
      <c r="F3853">
        <v>0</v>
      </c>
    </row>
    <row r="3854" spans="2:6" ht="15.75" customHeight="1" x14ac:dyDescent="0.25">
      <c r="B3854" t="str">
        <v>MUX Deri Agg</v>
      </c>
      <c r="C3854" t="str">
        <v>Derivatives</v>
      </c>
      <c r="D3854" t="str">
        <v>MCB</v>
      </c>
      <c r="E3854">
        <v>0</v>
      </c>
      <c r="F3854">
        <v>0</v>
      </c>
    </row>
    <row r="3855" spans="2:6" ht="15.75" customHeight="1" x14ac:dyDescent="0.25">
      <c r="B3855" t="str">
        <v>MUX Perps</v>
      </c>
      <c r="C3855" t="str">
        <v>Derivatives</v>
      </c>
      <c r="D3855" t="str">
        <v>MCB</v>
      </c>
      <c r="E3855">
        <v>12293700.306802202</v>
      </c>
      <c r="F3855">
        <v>0</v>
      </c>
    </row>
    <row r="3856" spans="2:6" ht="15.75" customHeight="1" x14ac:dyDescent="0.25">
      <c r="B3856" t="str">
        <v>MVCSwap</v>
      </c>
      <c r="C3856" t="str">
        <v>Dexs</v>
      </c>
      <c r="D3856" t="str">
        <v>MSP</v>
      </c>
      <c r="E3856">
        <v>157423.42928526743</v>
      </c>
      <c r="F3856">
        <v>0</v>
      </c>
    </row>
    <row r="3857" spans="2:6" ht="15.75" customHeight="1" x14ac:dyDescent="0.25">
      <c r="B3857" t="str">
        <v>MVL Staking</v>
      </c>
      <c r="C3857" t="str">
        <v>Yield</v>
      </c>
      <c r="D3857" t="str">
        <v>MVL</v>
      </c>
      <c r="E3857">
        <v>0</v>
      </c>
      <c r="F3857">
        <v>52602212.411772087</v>
      </c>
    </row>
    <row r="3858" spans="2:6" ht="15.75" customHeight="1" x14ac:dyDescent="0.25">
      <c r="B3858" t="str">
        <v>My Neighbor Alice</v>
      </c>
      <c r="C3858" t="str">
        <v>Services</v>
      </c>
      <c r="D3858" t="str">
        <v>ALICE</v>
      </c>
      <c r="E3858">
        <v>0</v>
      </c>
      <c r="F3858">
        <v>16032245.613691639</v>
      </c>
    </row>
    <row r="3859" spans="2:6" ht="15.75" customHeight="1" x14ac:dyDescent="0.25">
      <c r="B3859" t="str">
        <v>Mycelium Perpetual Pools</v>
      </c>
      <c r="C3859" t="str">
        <v>Derivatives</v>
      </c>
      <c r="D3859" t="str">
        <v>MYC</v>
      </c>
      <c r="E3859">
        <v>193023.68942174327</v>
      </c>
      <c r="F3859">
        <v>0</v>
      </c>
    </row>
    <row r="3860" spans="2:6" ht="15.75" customHeight="1" x14ac:dyDescent="0.25">
      <c r="B3860" t="str">
        <v>Mycelium Perpetual Swaps</v>
      </c>
      <c r="C3860" t="str">
        <v>Derivatives</v>
      </c>
      <c r="D3860" t="str">
        <v>MYC</v>
      </c>
      <c r="E3860">
        <v>129574.01032651599</v>
      </c>
      <c r="F3860">
        <v>170488.41547920424</v>
      </c>
    </row>
    <row r="3861" spans="2:6" ht="15.75" customHeight="1" x14ac:dyDescent="0.25">
      <c r="B3861" t="str">
        <v>MyMetaTrader</v>
      </c>
      <c r="C3861" t="str">
        <v>Derivatives</v>
      </c>
      <c r="D3861" t="str">
        <v>MMT</v>
      </c>
      <c r="E3861">
        <v>9495.0677772854633</v>
      </c>
      <c r="F3861">
        <v>0</v>
      </c>
    </row>
    <row r="3862" spans="2:6" ht="15.75" customHeight="1" x14ac:dyDescent="0.25">
      <c r="B3862" t="str">
        <v>MyMine</v>
      </c>
      <c r="C3862" t="str">
        <v>Yield</v>
      </c>
      <c r="D3862" t="str">
        <v>MYMINE</v>
      </c>
      <c r="E3862">
        <v>248.4360451894637</v>
      </c>
      <c r="F3862">
        <v>0</v>
      </c>
    </row>
    <row r="3863" spans="2:6" ht="15.75" customHeight="1" x14ac:dyDescent="0.25">
      <c r="B3863" t="str">
        <v>Mynth</v>
      </c>
      <c r="C3863" t="str">
        <v>Bridge Aggregators</v>
      </c>
      <c r="D3863" t="str">
        <v>-</v>
      </c>
      <c r="E3863">
        <v>0</v>
      </c>
      <c r="F3863">
        <v>0</v>
      </c>
    </row>
    <row r="3864" spans="2:6" ht="15.75" customHeight="1" x14ac:dyDescent="0.25">
      <c r="B3864" t="str">
        <v>Myriad Markets</v>
      </c>
      <c r="C3864" t="str">
        <v>Prediction Market</v>
      </c>
      <c r="D3864" t="str">
        <v>-</v>
      </c>
      <c r="E3864">
        <v>702201.65227083245</v>
      </c>
      <c r="F3864">
        <v>0</v>
      </c>
    </row>
    <row r="3865" spans="2:6" ht="15.75" customHeight="1" x14ac:dyDescent="0.25">
      <c r="B3865" t="str">
        <v>MYSO V1</v>
      </c>
      <c r="C3865" t="str">
        <v>Lending</v>
      </c>
      <c r="D3865" t="str">
        <v>-</v>
      </c>
      <c r="E3865">
        <v>15993.45419273802</v>
      </c>
      <c r="F3865">
        <v>0</v>
      </c>
    </row>
    <row r="3866" spans="2:6" ht="15.75" customHeight="1" x14ac:dyDescent="0.25">
      <c r="B3866" t="str">
        <v>MYSO V2</v>
      </c>
      <c r="C3866" t="str">
        <v>Lending</v>
      </c>
      <c r="D3866" t="str">
        <v>-</v>
      </c>
      <c r="E3866">
        <v>41279.335475719665</v>
      </c>
      <c r="F3866">
        <v>0</v>
      </c>
    </row>
    <row r="3867" spans="2:6" ht="15.75" customHeight="1" x14ac:dyDescent="0.25">
      <c r="B3867" t="str">
        <v>Mystic Finance Lending</v>
      </c>
      <c r="C3867" t="str">
        <v>Lending</v>
      </c>
      <c r="D3867" t="str">
        <v>-</v>
      </c>
      <c r="E3867">
        <v>13382894.58330879</v>
      </c>
      <c r="F3867">
        <v>0</v>
      </c>
    </row>
    <row r="3868" spans="2:6" ht="15.75" customHeight="1" x14ac:dyDescent="0.25">
      <c r="B3868" t="str">
        <v>Mystic Finance myPLUME</v>
      </c>
      <c r="C3868" t="str">
        <v>Liquid Staking</v>
      </c>
      <c r="D3868" t="str">
        <v>-</v>
      </c>
      <c r="E3868">
        <v>1.0135944649885857</v>
      </c>
      <c r="F3868">
        <v>0</v>
      </c>
    </row>
    <row r="3869" spans="2:6" ht="15.75" customHeight="1" x14ac:dyDescent="0.25">
      <c r="B3869" t="str">
        <v>mySwap CL</v>
      </c>
      <c r="C3869" t="str">
        <v>Dexs</v>
      </c>
      <c r="D3869" t="str">
        <v>-</v>
      </c>
      <c r="E3869">
        <v>532547.75870753417</v>
      </c>
      <c r="F3869">
        <v>0</v>
      </c>
    </row>
    <row r="3870" spans="2:6" ht="15.75" customHeight="1" x14ac:dyDescent="0.25">
      <c r="B3870" t="str">
        <v>mySwap V1</v>
      </c>
      <c r="C3870" t="str">
        <v>Dexs</v>
      </c>
      <c r="D3870" t="str">
        <v>-</v>
      </c>
      <c r="E3870">
        <v>610949.83855307975</v>
      </c>
      <c r="F3870">
        <v>0</v>
      </c>
    </row>
    <row r="3871" spans="2:6" ht="15.75" customHeight="1" x14ac:dyDescent="0.25">
      <c r="B3871" t="str">
        <v>Myth Finance dualSTAKE</v>
      </c>
      <c r="C3871" t="str">
        <v>Liquid Staking</v>
      </c>
      <c r="D3871" t="str">
        <v>-</v>
      </c>
      <c r="E3871">
        <v>377851.69557012495</v>
      </c>
      <c r="F3871">
        <v>0</v>
      </c>
    </row>
    <row r="3872" spans="2:6" ht="15.75" customHeight="1" x14ac:dyDescent="0.25">
      <c r="B3872" t="str">
        <v>MyTrade</v>
      </c>
      <c r="C3872" t="str">
        <v>Dexs</v>
      </c>
      <c r="D3872" t="str">
        <v>MYT</v>
      </c>
      <c r="E3872">
        <v>9488.8965692256443</v>
      </c>
      <c r="F3872">
        <v>0</v>
      </c>
    </row>
    <row r="3873" spans="2:6" ht="15.75" customHeight="1" x14ac:dyDescent="0.25">
      <c r="B3873" t="str">
        <v>MYX Finance</v>
      </c>
      <c r="C3873" t="str">
        <v>Derivatives</v>
      </c>
      <c r="D3873" t="str">
        <v>MYX</v>
      </c>
      <c r="E3873">
        <v>23332598.767213888</v>
      </c>
      <c r="F3873">
        <v>988175254.24668062</v>
      </c>
    </row>
    <row r="3874" spans="2:6" ht="15.75" customHeight="1" x14ac:dyDescent="0.25">
      <c r="B3874" t="str">
        <v>N3RD Finance</v>
      </c>
      <c r="C3874" t="str">
        <v>Yield</v>
      </c>
      <c r="D3874" t="str">
        <v>N3RDz</v>
      </c>
      <c r="E3874">
        <v>0</v>
      </c>
      <c r="F3874">
        <v>204806.85133619336</v>
      </c>
    </row>
    <row r="3875" spans="2:6" ht="15.75" customHeight="1" x14ac:dyDescent="0.25">
      <c r="B3875" t="str">
        <v>Nabla Finance</v>
      </c>
      <c r="C3875" t="str">
        <v>Dexs</v>
      </c>
      <c r="D3875" t="str">
        <v>NABLA</v>
      </c>
      <c r="E3875">
        <v>1158638.9363254281</v>
      </c>
      <c r="F3875">
        <v>845928.29342780402</v>
      </c>
    </row>
    <row r="3876" spans="2:6" ht="15.75" customHeight="1" x14ac:dyDescent="0.25">
      <c r="B3876" t="str">
        <v>Nacho Finance</v>
      </c>
      <c r="C3876" t="str">
        <v>Yield</v>
      </c>
      <c r="D3876" t="str">
        <v>NACHO</v>
      </c>
      <c r="E3876">
        <v>0</v>
      </c>
      <c r="F3876">
        <v>0</v>
      </c>
    </row>
    <row r="3877" spans="2:6" ht="15.75" customHeight="1" x14ac:dyDescent="0.25">
      <c r="B3877" t="str">
        <v>Nad.fun</v>
      </c>
      <c r="C3877" t="str">
        <v>Launchpad</v>
      </c>
      <c r="D3877" t="str">
        <v>-</v>
      </c>
      <c r="E3877">
        <v>94556.130615721268</v>
      </c>
      <c r="F3877">
        <v>0</v>
      </c>
    </row>
    <row r="3878" spans="2:6" ht="15.75" customHeight="1" x14ac:dyDescent="0.25">
      <c r="B3878" t="str">
        <v>Nado Perps</v>
      </c>
      <c r="C3878" t="str">
        <v>Dexs</v>
      </c>
      <c r="D3878" t="str">
        <v>-</v>
      </c>
      <c r="E3878">
        <v>0</v>
      </c>
      <c r="F3878">
        <v>0</v>
      </c>
    </row>
    <row r="3879" spans="2:6" ht="15.75" customHeight="1" x14ac:dyDescent="0.25">
      <c r="B3879" t="str">
        <v>Nado Spot</v>
      </c>
      <c r="C3879" t="str">
        <v>Dexs</v>
      </c>
      <c r="D3879" t="str">
        <v>-</v>
      </c>
      <c r="E3879">
        <v>42740214.399057984</v>
      </c>
      <c r="F3879">
        <v>0</v>
      </c>
    </row>
    <row r="3880" spans="2:6" ht="15.75" customHeight="1" x14ac:dyDescent="0.25">
      <c r="B3880" t="str">
        <v>Naka Dex</v>
      </c>
      <c r="C3880" t="str">
        <v>Dexs</v>
      </c>
      <c r="D3880" t="str">
        <v>-</v>
      </c>
      <c r="E3880">
        <v>122404.89889230921</v>
      </c>
      <c r="F3880">
        <v>0</v>
      </c>
    </row>
    <row r="3881" spans="2:6" ht="15.75" customHeight="1" x14ac:dyDescent="0.25">
      <c r="B3881" t="str">
        <v>Namada Shielded Pools</v>
      </c>
      <c r="C3881" t="str">
        <v>Privacy</v>
      </c>
      <c r="D3881" t="str">
        <v>-</v>
      </c>
      <c r="E3881">
        <v>1474804.0443940256</v>
      </c>
      <c r="F3881">
        <v>0</v>
      </c>
    </row>
    <row r="3882" spans="2:6" ht="15.75" customHeight="1" x14ac:dyDescent="0.25">
      <c r="B3882" t="str">
        <v>Nami Index</v>
      </c>
      <c r="C3882" t="str">
        <v>Indexes</v>
      </c>
      <c r="D3882" t="str">
        <v>-</v>
      </c>
      <c r="E3882">
        <v>227583.16389369001</v>
      </c>
      <c r="F3882">
        <v>0</v>
      </c>
    </row>
    <row r="3883" spans="2:6" ht="15.75" customHeight="1" x14ac:dyDescent="0.25">
      <c r="B3883" t="str">
        <v>Nano Swap</v>
      </c>
      <c r="C3883" t="str">
        <v>Dexs</v>
      </c>
      <c r="D3883" t="str">
        <v>NANO</v>
      </c>
      <c r="E3883">
        <v>848.77855074687113</v>
      </c>
      <c r="F3883">
        <v>0</v>
      </c>
    </row>
    <row r="3884" spans="2:6" ht="15.75" customHeight="1" x14ac:dyDescent="0.25">
      <c r="B3884" t="str">
        <v>NAOS Finance</v>
      </c>
      <c r="C3884" t="str">
        <v>RWA</v>
      </c>
      <c r="D3884" t="str">
        <v>NAOS</v>
      </c>
      <c r="E3884">
        <v>23474.690086377766</v>
      </c>
      <c r="F3884">
        <v>154844.84082388724</v>
      </c>
    </row>
    <row r="3885" spans="2:6" ht="15.75" customHeight="1" x14ac:dyDescent="0.25">
      <c r="B3885" t="str">
        <v>Napier</v>
      </c>
      <c r="C3885" t="str">
        <v>Yield</v>
      </c>
      <c r="D3885" t="str">
        <v>-</v>
      </c>
      <c r="E3885">
        <v>491848.73542099923</v>
      </c>
      <c r="F3885">
        <v>0</v>
      </c>
    </row>
    <row r="3886" spans="2:6" ht="15.75" customHeight="1" x14ac:dyDescent="0.25">
      <c r="B3886" t="str">
        <v>NarBet</v>
      </c>
      <c r="C3886" t="str">
        <v>Luck Games</v>
      </c>
      <c r="D3886" t="str">
        <v>-</v>
      </c>
      <c r="E3886">
        <v>9441.4439684383906</v>
      </c>
      <c r="F3886">
        <v>0</v>
      </c>
    </row>
    <row r="3887" spans="2:6" ht="15.75" customHeight="1" x14ac:dyDescent="0.25">
      <c r="B3887" t="str">
        <v>Narwhal Finance</v>
      </c>
      <c r="C3887" t="str">
        <v>Derivatives</v>
      </c>
      <c r="D3887" t="str">
        <v>NAR</v>
      </c>
      <c r="E3887">
        <v>1661.5073664784154</v>
      </c>
      <c r="F3887">
        <v>0</v>
      </c>
    </row>
    <row r="3888" spans="2:6" ht="15.75" customHeight="1" x14ac:dyDescent="0.25">
      <c r="B3888" t="str">
        <v>Narwhalswap</v>
      </c>
      <c r="C3888" t="str">
        <v>Dexs</v>
      </c>
      <c r="D3888" t="str">
        <v>NAR</v>
      </c>
      <c r="E3888">
        <v>820508.24523009616</v>
      </c>
      <c r="F3888">
        <v>0</v>
      </c>
    </row>
    <row r="3889" spans="2:6" ht="15.75" customHeight="1" x14ac:dyDescent="0.25">
      <c r="B3889" t="str">
        <v>Nasdex</v>
      </c>
      <c r="C3889" t="str">
        <v>Dexs</v>
      </c>
      <c r="D3889" t="str">
        <v>NSDX</v>
      </c>
      <c r="E3889">
        <v>0</v>
      </c>
      <c r="F3889">
        <v>105278.0201002065</v>
      </c>
    </row>
    <row r="3890" spans="2:6" ht="15.75" customHeight="1" x14ac:dyDescent="0.25">
      <c r="B3890" t="str">
        <v>Nata Network</v>
      </c>
      <c r="C3890" t="str">
        <v>Privacy</v>
      </c>
      <c r="D3890" t="str">
        <v>eNATA</v>
      </c>
      <c r="E3890">
        <v>0.12122262956799013</v>
      </c>
      <c r="F3890">
        <v>0</v>
      </c>
    </row>
    <row r="3891" spans="2:6" ht="15.75" customHeight="1" x14ac:dyDescent="0.25">
      <c r="B3891" t="str">
        <v>Native Credit Pool</v>
      </c>
      <c r="C3891" t="str">
        <v>Lending</v>
      </c>
      <c r="D3891" t="str">
        <v>-</v>
      </c>
      <c r="E3891">
        <v>32501409.969298057</v>
      </c>
      <c r="F3891">
        <v>0</v>
      </c>
    </row>
    <row r="3892" spans="2:6" ht="15.75" customHeight="1" x14ac:dyDescent="0.25">
      <c r="B3892" t="str">
        <v>Native Swap</v>
      </c>
      <c r="C3892" t="str">
        <v>Dexs</v>
      </c>
      <c r="D3892" t="str">
        <v>-</v>
      </c>
      <c r="E3892">
        <v>5406.4497099134132</v>
      </c>
      <c r="F3892">
        <v>0</v>
      </c>
    </row>
    <row r="3893" spans="2:6" ht="15.75" customHeight="1" x14ac:dyDescent="0.25">
      <c r="B3893" t="str">
        <v>Nava finance</v>
      </c>
      <c r="C3893" t="str">
        <v>Algo-Stables</v>
      </c>
      <c r="D3893" t="str">
        <v>NAVA</v>
      </c>
      <c r="E3893">
        <v>439.00808061465096</v>
      </c>
      <c r="F3893">
        <v>0</v>
      </c>
    </row>
    <row r="3894" spans="2:6" ht="15.75" customHeight="1" x14ac:dyDescent="0.25">
      <c r="B3894" t="str">
        <v>NAVI Lending</v>
      </c>
      <c r="C3894" t="str">
        <v>Lending</v>
      </c>
      <c r="D3894" t="str">
        <v>NAVX</v>
      </c>
      <c r="E3894">
        <v>284322254.22735977</v>
      </c>
      <c r="F3894">
        <v>0</v>
      </c>
    </row>
    <row r="3895" spans="2:6" ht="15.75" customHeight="1" x14ac:dyDescent="0.25">
      <c r="B3895" t="str">
        <v>Navigator</v>
      </c>
      <c r="C3895" t="str">
        <v>Derivatives</v>
      </c>
      <c r="D3895" t="str">
        <v>NAVI</v>
      </c>
      <c r="E3895">
        <v>1264143.8669050934</v>
      </c>
      <c r="F3895">
        <v>0</v>
      </c>
    </row>
    <row r="3896" spans="2:6" ht="15.75" customHeight="1" x14ac:dyDescent="0.25">
      <c r="B3896" t="str">
        <v>Nawa Protocol</v>
      </c>
      <c r="C3896" t="str">
        <v>Yield Aggregator</v>
      </c>
      <c r="D3896" t="str">
        <v>-</v>
      </c>
      <c r="E3896">
        <v>859857.55433231196</v>
      </c>
      <c r="F3896">
        <v>0</v>
      </c>
    </row>
    <row r="3897" spans="2:6" ht="15.75" customHeight="1" x14ac:dyDescent="0.25">
      <c r="B3897" t="str">
        <v>Nayms</v>
      </c>
      <c r="C3897" t="str">
        <v>Insurance</v>
      </c>
      <c r="D3897" t="str">
        <v>NAYM</v>
      </c>
      <c r="E3897">
        <v>8.6626287660906183</v>
      </c>
      <c r="F3897">
        <v>9302.2913434183502</v>
      </c>
    </row>
    <row r="3898" spans="2:6" ht="15.75" customHeight="1" x14ac:dyDescent="0.25">
      <c r="B3898" t="str">
        <v>NEAR</v>
      </c>
      <c r="C3898" t="str">
        <v>Canonical Bridge</v>
      </c>
      <c r="D3898" t="str">
        <v>NEAR</v>
      </c>
      <c r="E3898">
        <v>0</v>
      </c>
      <c r="F3898">
        <v>2160662856.701314</v>
      </c>
    </row>
    <row r="3899" spans="2:6" ht="15.75" customHeight="1" x14ac:dyDescent="0.25">
      <c r="B3899" t="str">
        <v>NEAR Intents</v>
      </c>
      <c r="C3899" t="str">
        <v>Cross Chain Bridge</v>
      </c>
      <c r="D3899" t="str">
        <v>-</v>
      </c>
      <c r="E3899">
        <v>47852520.491436318</v>
      </c>
      <c r="F3899">
        <v>0</v>
      </c>
    </row>
    <row r="3900" spans="2:6" ht="15.75" customHeight="1" x14ac:dyDescent="0.25">
      <c r="B3900" t="str">
        <v>Nearlend DAO</v>
      </c>
      <c r="C3900" t="str">
        <v>Lending</v>
      </c>
      <c r="D3900" t="str">
        <v>NELD</v>
      </c>
      <c r="E3900">
        <v>11.01153438551183</v>
      </c>
      <c r="F3900">
        <v>0</v>
      </c>
    </row>
    <row r="3901" spans="2:6" ht="15.75" customHeight="1" x14ac:dyDescent="0.25">
      <c r="B3901" t="str">
        <v>Nearpad</v>
      </c>
      <c r="C3901" t="str">
        <v>Dexs</v>
      </c>
      <c r="D3901" t="str">
        <v>PAD</v>
      </c>
      <c r="E3901">
        <v>33522.373623852174</v>
      </c>
      <c r="F3901">
        <v>16226.196906205232</v>
      </c>
    </row>
    <row r="3902" spans="2:6" ht="15.75" customHeight="1" x14ac:dyDescent="0.25">
      <c r="B3902" t="str">
        <v>Nebula Lending</v>
      </c>
      <c r="C3902" t="str">
        <v>Lending</v>
      </c>
      <c r="D3902" t="str">
        <v>-</v>
      </c>
      <c r="E3902">
        <v>560.42613518608209</v>
      </c>
      <c r="F3902">
        <v>0</v>
      </c>
    </row>
    <row r="3903" spans="2:6" ht="15.75" customHeight="1" x14ac:dyDescent="0.25">
      <c r="B3903" t="str">
        <v>NEBY DEX</v>
      </c>
      <c r="C3903" t="str">
        <v>Dexs</v>
      </c>
      <c r="D3903" t="str">
        <v>-</v>
      </c>
      <c r="E3903">
        <v>4921.6044061277953</v>
      </c>
      <c r="F3903">
        <v>0</v>
      </c>
    </row>
    <row r="3904" spans="2:6" ht="15.75" customHeight="1" x14ac:dyDescent="0.25">
      <c r="B3904" t="str">
        <v>Neemo Finance</v>
      </c>
      <c r="C3904" t="str">
        <v>Liquid Restaking</v>
      </c>
      <c r="D3904" t="str">
        <v>-</v>
      </c>
      <c r="E3904">
        <v>1940000.0818845241</v>
      </c>
      <c r="F3904">
        <v>0</v>
      </c>
    </row>
    <row r="3905" spans="2:6" ht="15.75" customHeight="1" x14ac:dyDescent="0.25">
      <c r="B3905" t="str">
        <v>NeftyBlocks</v>
      </c>
      <c r="C3905" t="str">
        <v>NFT Marketplace</v>
      </c>
      <c r="D3905" t="str">
        <v>NEFTY</v>
      </c>
      <c r="E3905">
        <v>5095.4505085028241</v>
      </c>
      <c r="F3905">
        <v>0</v>
      </c>
    </row>
    <row r="3906" spans="2:6" ht="15.75" customHeight="1" x14ac:dyDescent="0.25">
      <c r="B3906" t="str">
        <v>NEKO</v>
      </c>
      <c r="C3906" t="str">
        <v>Farm</v>
      </c>
      <c r="D3906" t="str">
        <v>NEKO</v>
      </c>
      <c r="E3906">
        <v>0</v>
      </c>
      <c r="F3906">
        <v>0</v>
      </c>
    </row>
    <row r="3907" spans="2:6" ht="15.75" customHeight="1" x14ac:dyDescent="0.25">
      <c r="B3907" t="str">
        <v>Neku</v>
      </c>
      <c r="C3907" t="str">
        <v>Lending</v>
      </c>
      <c r="D3907" t="str">
        <v>NEKU</v>
      </c>
      <c r="E3907">
        <v>357870.33447932696</v>
      </c>
      <c r="F3907">
        <v>0</v>
      </c>
    </row>
    <row r="3908" spans="2:6" ht="15.75" customHeight="1" x14ac:dyDescent="0.25">
      <c r="B3908" t="str">
        <v>Nemesis DAO</v>
      </c>
      <c r="C3908" t="str">
        <v>Reserve Currency</v>
      </c>
      <c r="D3908" t="str">
        <v>NMS</v>
      </c>
      <c r="E3908">
        <v>0.44529042843373656</v>
      </c>
      <c r="F3908">
        <v>1840032.9828041976</v>
      </c>
    </row>
    <row r="3909" spans="2:6" ht="15.75" customHeight="1" x14ac:dyDescent="0.25">
      <c r="B3909" t="str">
        <v>Nemo Vault</v>
      </c>
      <c r="C3909" t="str">
        <v>Yield Aggregator</v>
      </c>
      <c r="D3909" t="str">
        <v>-</v>
      </c>
      <c r="E3909">
        <v>129533.45773838428</v>
      </c>
      <c r="F3909">
        <v>0</v>
      </c>
    </row>
    <row r="3910" spans="2:6" ht="15.75" customHeight="1" x14ac:dyDescent="0.25">
      <c r="B3910" t="str">
        <v>Nemo Yield Trading</v>
      </c>
      <c r="C3910" t="str">
        <v>Yield</v>
      </c>
      <c r="D3910" t="str">
        <v>-</v>
      </c>
      <c r="E3910">
        <v>4456.4575616974307</v>
      </c>
      <c r="F3910">
        <v>0</v>
      </c>
    </row>
    <row r="3911" spans="2:6" ht="15.75" customHeight="1" x14ac:dyDescent="0.25">
      <c r="B3911" t="str">
        <v>NemoSwap</v>
      </c>
      <c r="C3911" t="str">
        <v>Dexs</v>
      </c>
      <c r="D3911" t="str">
        <v>-</v>
      </c>
      <c r="E3911">
        <v>67459.028772376972</v>
      </c>
      <c r="F3911">
        <v>0</v>
      </c>
    </row>
    <row r="3912" spans="2:6" ht="15.75" customHeight="1" x14ac:dyDescent="0.25">
      <c r="B3912" t="str">
        <v>Neo Tokyo</v>
      </c>
      <c r="C3912" t="str">
        <v>Gaming</v>
      </c>
      <c r="D3912" t="str">
        <v>BYTE</v>
      </c>
      <c r="E3912">
        <v>0</v>
      </c>
      <c r="F3912">
        <v>0</v>
      </c>
    </row>
    <row r="3913" spans="2:6" ht="15.75" customHeight="1" x14ac:dyDescent="0.25">
      <c r="B3913" t="str">
        <v>NeoBurger</v>
      </c>
      <c r="C3913" t="str">
        <v>Liquid Staking</v>
      </c>
      <c r="D3913" t="str">
        <v>-</v>
      </c>
      <c r="E3913">
        <v>6134231.8994638305</v>
      </c>
      <c r="F3913">
        <v>0</v>
      </c>
    </row>
    <row r="3914" spans="2:6" ht="15.75" customHeight="1" x14ac:dyDescent="0.25">
      <c r="B3914" t="str">
        <v>NEOPIN Liquid</v>
      </c>
      <c r="C3914" t="str">
        <v>Liquid Staking</v>
      </c>
      <c r="D3914" t="str">
        <v>NPT</v>
      </c>
      <c r="E3914">
        <v>15719.094653341617</v>
      </c>
      <c r="F3914">
        <v>0</v>
      </c>
    </row>
    <row r="3915" spans="2:6" ht="15.75" customHeight="1" x14ac:dyDescent="0.25">
      <c r="B3915" t="str">
        <v>NEOPIN Pool</v>
      </c>
      <c r="C3915" t="str">
        <v>Dexs</v>
      </c>
      <c r="D3915" t="str">
        <v>NPT</v>
      </c>
      <c r="E3915">
        <v>27782.372593224853</v>
      </c>
      <c r="F3915">
        <v>0</v>
      </c>
    </row>
    <row r="3916" spans="2:6" ht="15.75" customHeight="1" x14ac:dyDescent="0.25">
      <c r="B3916" t="str">
        <v>NEOPIN Staking</v>
      </c>
      <c r="C3916" t="str">
        <v>Staking Pool</v>
      </c>
      <c r="D3916" t="str">
        <v>NPT</v>
      </c>
      <c r="E3916">
        <v>58339903.862672061</v>
      </c>
      <c r="F3916">
        <v>0</v>
      </c>
    </row>
    <row r="3917" spans="2:6" ht="15.75" customHeight="1" x14ac:dyDescent="0.25">
      <c r="B3917" t="str">
        <v>Neptune</v>
      </c>
      <c r="C3917" t="str">
        <v>Dexs</v>
      </c>
      <c r="D3917" t="str">
        <v>-</v>
      </c>
      <c r="E3917">
        <v>1520.569472320326</v>
      </c>
      <c r="F3917">
        <v>0</v>
      </c>
    </row>
    <row r="3918" spans="2:6" ht="15.75" customHeight="1" x14ac:dyDescent="0.25">
      <c r="B3918" t="str">
        <v>Neptune Finance</v>
      </c>
      <c r="C3918" t="str">
        <v>Lending</v>
      </c>
      <c r="D3918" t="str">
        <v>-</v>
      </c>
      <c r="E3918">
        <v>3636100.1785720326</v>
      </c>
      <c r="F3918">
        <v>0</v>
      </c>
    </row>
    <row r="3919" spans="2:6" ht="15.75" customHeight="1" x14ac:dyDescent="0.25">
      <c r="B3919" t="str">
        <v>Neptune LSD</v>
      </c>
      <c r="C3919" t="str">
        <v>Liquid Staking</v>
      </c>
      <c r="D3919" t="str">
        <v>-</v>
      </c>
      <c r="E3919">
        <v>61730.465285877523</v>
      </c>
      <c r="F3919">
        <v>0</v>
      </c>
    </row>
    <row r="3920" spans="2:6" ht="15.75" customHeight="1" x14ac:dyDescent="0.25">
      <c r="B3920" t="str">
        <v>Neptune Mutual</v>
      </c>
      <c r="C3920" t="str">
        <v>Insurance</v>
      </c>
      <c r="D3920" t="str">
        <v>NPM</v>
      </c>
      <c r="E3920">
        <v>0</v>
      </c>
      <c r="F3920">
        <v>0</v>
      </c>
    </row>
    <row r="3921" spans="2:6" ht="15.75" customHeight="1" x14ac:dyDescent="0.25">
      <c r="B3921" t="str">
        <v>Neptune Protocol</v>
      </c>
      <c r="C3921" t="str">
        <v>CDP</v>
      </c>
      <c r="D3921" t="str">
        <v>NPT</v>
      </c>
      <c r="E3921">
        <v>6913.8653167750781</v>
      </c>
      <c r="F3921">
        <v>0</v>
      </c>
    </row>
    <row r="3922" spans="2:6" ht="15.75" customHeight="1" x14ac:dyDescent="0.25">
      <c r="B3922" t="str">
        <v>Neptunex</v>
      </c>
      <c r="C3922" t="str">
        <v>Dexs</v>
      </c>
      <c r="D3922" t="str">
        <v>NPTX</v>
      </c>
      <c r="E3922">
        <v>3137.8643794425402</v>
      </c>
      <c r="F3922">
        <v>0</v>
      </c>
    </row>
    <row r="3923" spans="2:6" ht="15.75" customHeight="1" x14ac:dyDescent="0.25">
      <c r="B3923" t="str">
        <v>Nereus Finance</v>
      </c>
      <c r="C3923" t="str">
        <v>Lending</v>
      </c>
      <c r="D3923" t="str">
        <v>WXT</v>
      </c>
      <c r="E3923">
        <v>75717.775267382036</v>
      </c>
      <c r="F3923">
        <v>5690086.7281083968</v>
      </c>
    </row>
    <row r="3924" spans="2:6" ht="15.75" customHeight="1" x14ac:dyDescent="0.25">
      <c r="B3924" t="str">
        <v>Nerite</v>
      </c>
      <c r="C3924" t="str">
        <v>CDP</v>
      </c>
      <c r="D3924" t="str">
        <v>NERI</v>
      </c>
      <c r="E3924">
        <v>3468321.9406499248</v>
      </c>
      <c r="F3924">
        <v>0</v>
      </c>
    </row>
    <row r="3925" spans="2:6" ht="15.75" customHeight="1" x14ac:dyDescent="0.25">
      <c r="B3925" t="str">
        <v>Nerve</v>
      </c>
      <c r="C3925" t="str">
        <v>Dexs</v>
      </c>
      <c r="D3925" t="str">
        <v>NRV</v>
      </c>
      <c r="E3925">
        <v>1539100.0678461802</v>
      </c>
      <c r="F3925">
        <v>0</v>
      </c>
    </row>
    <row r="3926" spans="2:6" ht="15.75" customHeight="1" x14ac:dyDescent="0.25">
      <c r="B3926" t="str">
        <v>Nerve Staking</v>
      </c>
      <c r="C3926" t="str">
        <v>Dexs</v>
      </c>
      <c r="D3926" t="str">
        <v>NVT</v>
      </c>
      <c r="E3926">
        <v>148104</v>
      </c>
      <c r="F3926">
        <v>282328.28170101851</v>
      </c>
    </row>
    <row r="3927" spans="2:6" ht="15.75" customHeight="1" x14ac:dyDescent="0.25">
      <c r="B3927" t="str">
        <v>NerveBridge</v>
      </c>
      <c r="C3927" t="str">
        <v>Bridge</v>
      </c>
      <c r="D3927" t="str">
        <v>-</v>
      </c>
      <c r="E3927">
        <v>732001.92041049781</v>
      </c>
      <c r="F3927">
        <v>0</v>
      </c>
    </row>
    <row r="3928" spans="2:6" ht="15.75" customHeight="1" x14ac:dyDescent="0.25">
      <c r="B3928" t="str">
        <v>NerveSwap</v>
      </c>
      <c r="C3928" t="str">
        <v>Dexs</v>
      </c>
      <c r="D3928" t="str">
        <v>-</v>
      </c>
      <c r="E3928">
        <v>2362135</v>
      </c>
      <c r="F3928">
        <v>0</v>
      </c>
    </row>
    <row r="3929" spans="2:6" ht="15.75" customHeight="1" x14ac:dyDescent="0.25">
      <c r="B3929" t="str">
        <v>NEST</v>
      </c>
      <c r="C3929" t="str">
        <v>Dexs</v>
      </c>
      <c r="D3929" t="str">
        <v>NEST</v>
      </c>
      <c r="E3929">
        <v>0</v>
      </c>
      <c r="F3929">
        <v>0</v>
      </c>
    </row>
    <row r="3930" spans="2:6" ht="15.75" customHeight="1" x14ac:dyDescent="0.25">
      <c r="B3930" t="str">
        <v>Nest Credit</v>
      </c>
      <c r="C3930" t="str">
        <v>RWA</v>
      </c>
      <c r="D3930" t="str">
        <v>-</v>
      </c>
      <c r="E3930">
        <v>36993406.135413185</v>
      </c>
      <c r="F3930">
        <v>0</v>
      </c>
    </row>
    <row r="3931" spans="2:6" ht="15.75" customHeight="1" x14ac:dyDescent="0.25">
      <c r="B3931" t="str">
        <v>Nest Protocol Staking</v>
      </c>
      <c r="C3931" t="str">
        <v>Oracle</v>
      </c>
      <c r="D3931" t="str">
        <v>NEST</v>
      </c>
      <c r="E3931">
        <v>0</v>
      </c>
      <c r="F3931">
        <v>0</v>
      </c>
    </row>
    <row r="3932" spans="2:6" ht="15.75" customHeight="1" x14ac:dyDescent="0.25">
      <c r="B3932" t="str">
        <v>Nested</v>
      </c>
      <c r="C3932" t="str">
        <v>Indexes</v>
      </c>
      <c r="D3932" t="str">
        <v>-</v>
      </c>
      <c r="E3932">
        <v>191939.13139226224</v>
      </c>
      <c r="F3932">
        <v>0</v>
      </c>
    </row>
    <row r="3933" spans="2:6" ht="15.75" customHeight="1" x14ac:dyDescent="0.25">
      <c r="B3933" t="str">
        <v>NestFi</v>
      </c>
      <c r="C3933" t="str">
        <v>Derivatives</v>
      </c>
      <c r="D3933" t="str">
        <v>NEST</v>
      </c>
      <c r="E3933">
        <v>0</v>
      </c>
      <c r="F3933">
        <v>0</v>
      </c>
    </row>
    <row r="3934" spans="2:6" ht="15.75" customHeight="1" x14ac:dyDescent="0.25">
      <c r="B3934" t="str">
        <v>Nether.Fi</v>
      </c>
      <c r="C3934" t="str">
        <v>Derivatives</v>
      </c>
      <c r="D3934" t="str">
        <v>NFI</v>
      </c>
      <c r="E3934">
        <v>7103.2642344648084</v>
      </c>
      <c r="F3934">
        <v>41086.370101641398</v>
      </c>
    </row>
    <row r="3935" spans="2:6" ht="15.75" customHeight="1" x14ac:dyDescent="0.25">
      <c r="B3935" t="str">
        <v>NetSwap</v>
      </c>
      <c r="C3935" t="str">
        <v>Dexs</v>
      </c>
      <c r="D3935" t="str">
        <v>NETT</v>
      </c>
      <c r="E3935">
        <v>1626775.7152488688</v>
      </c>
      <c r="F3935">
        <v>176430.615478716</v>
      </c>
    </row>
    <row r="3936" spans="2:6" ht="15.75" customHeight="1" x14ac:dyDescent="0.25">
      <c r="B3936" t="str">
        <v>NetWeave Lending</v>
      </c>
      <c r="C3936" t="str">
        <v>Lending</v>
      </c>
      <c r="D3936" t="str">
        <v>NEW</v>
      </c>
      <c r="E3936">
        <v>13326.139750014885</v>
      </c>
      <c r="F3936">
        <v>0</v>
      </c>
    </row>
    <row r="3937" spans="2:6" ht="15.75" customHeight="1" x14ac:dyDescent="0.25">
      <c r="B3937" t="str">
        <v>NetWeave Vaults</v>
      </c>
      <c r="C3937" t="str">
        <v>Yield</v>
      </c>
      <c r="D3937" t="str">
        <v>NEW</v>
      </c>
      <c r="E3937">
        <v>9.9968758758530907</v>
      </c>
      <c r="F3937">
        <v>0</v>
      </c>
    </row>
    <row r="3938" spans="2:6" ht="15.75" customHeight="1" x14ac:dyDescent="0.25">
      <c r="B3938" t="str">
        <v>NeuralAI</v>
      </c>
      <c r="C3938" t="str">
        <v>Farm</v>
      </c>
      <c r="D3938" t="str">
        <v>NEURAL</v>
      </c>
      <c r="E3938">
        <v>0</v>
      </c>
      <c r="F3938">
        <v>13257934.865073239</v>
      </c>
    </row>
    <row r="3939" spans="2:6" ht="15.75" customHeight="1" x14ac:dyDescent="0.25">
      <c r="B3939" t="str">
        <v>neuron</v>
      </c>
      <c r="C3939" t="str">
        <v>Bridge</v>
      </c>
      <c r="D3939" t="str">
        <v>-</v>
      </c>
      <c r="E3939">
        <v>0</v>
      </c>
      <c r="F3939">
        <v>0</v>
      </c>
    </row>
    <row r="3940" spans="2:6" ht="15.75" customHeight="1" x14ac:dyDescent="0.25">
      <c r="B3940" t="str">
        <v>Neuronswap</v>
      </c>
      <c r="C3940" t="str">
        <v>Dexs</v>
      </c>
      <c r="D3940" t="str">
        <v>NR</v>
      </c>
      <c r="E3940">
        <v>4776.3239643683391</v>
      </c>
      <c r="F3940">
        <v>0</v>
      </c>
    </row>
    <row r="3941" spans="2:6" ht="15.75" customHeight="1" x14ac:dyDescent="0.25">
      <c r="B3941" t="str">
        <v>Neutra Finance</v>
      </c>
      <c r="C3941" t="str">
        <v>Yield</v>
      </c>
      <c r="D3941" t="str">
        <v>NEU</v>
      </c>
      <c r="E3941">
        <v>3212.6169756206264</v>
      </c>
      <c r="F3941">
        <v>58015.758129886301</v>
      </c>
    </row>
    <row r="3942" spans="2:6" ht="15.75" customHeight="1" x14ac:dyDescent="0.25">
      <c r="B3942" t="str">
        <v>Neutral Trade</v>
      </c>
      <c r="C3942" t="str">
        <v>Onchain Capital Allocator</v>
      </c>
      <c r="D3942" t="str">
        <v>-</v>
      </c>
      <c r="E3942">
        <v>45057932.858850189</v>
      </c>
      <c r="F3942">
        <v>0</v>
      </c>
    </row>
    <row r="3943" spans="2:6" ht="15.75" customHeight="1" x14ac:dyDescent="0.25">
      <c r="B3943" t="str">
        <v>Neutrino</v>
      </c>
      <c r="C3943" t="str">
        <v>Indexes</v>
      </c>
      <c r="D3943" t="str">
        <v>NSBT</v>
      </c>
      <c r="E3943">
        <v>331118.28435449104</v>
      </c>
      <c r="F3943">
        <v>0</v>
      </c>
    </row>
    <row r="3944" spans="2:6" ht="15.75" customHeight="1" x14ac:dyDescent="0.25">
      <c r="B3944" t="str">
        <v>Neutroswap</v>
      </c>
      <c r="C3944" t="str">
        <v>Dexs</v>
      </c>
      <c r="D3944" t="str">
        <v>NEUTRO</v>
      </c>
      <c r="E3944">
        <v>0</v>
      </c>
      <c r="F3944">
        <v>0</v>
      </c>
    </row>
    <row r="3945" spans="2:6" ht="15.75" customHeight="1" x14ac:dyDescent="0.25">
      <c r="B3945" t="str">
        <v>NEUY</v>
      </c>
      <c r="C3945" t="str">
        <v>Services</v>
      </c>
      <c r="D3945" t="str">
        <v>NEUY</v>
      </c>
      <c r="E3945">
        <v>0</v>
      </c>
      <c r="F3945">
        <v>1939344.6661034657</v>
      </c>
    </row>
    <row r="3946" spans="2:6" ht="15.75" customHeight="1" x14ac:dyDescent="0.25">
      <c r="B3946" t="str">
        <v>Neverland</v>
      </c>
      <c r="C3946" t="str">
        <v>Lending</v>
      </c>
      <c r="D3946" t="str">
        <v>DUST</v>
      </c>
      <c r="E3946">
        <v>14300738.390535714</v>
      </c>
      <c r="F3946">
        <v>0</v>
      </c>
    </row>
    <row r="3947" spans="2:6" ht="15.75" customHeight="1" x14ac:dyDescent="0.25">
      <c r="B3947" t="str">
        <v>NewDex</v>
      </c>
      <c r="C3947" t="str">
        <v>Dexs</v>
      </c>
      <c r="D3947" t="str">
        <v>DEX</v>
      </c>
      <c r="E3947">
        <v>4983.3428319693567</v>
      </c>
      <c r="F3947">
        <v>426105.47628797556</v>
      </c>
    </row>
    <row r="3948" spans="2:6" ht="15.75" customHeight="1" x14ac:dyDescent="0.25">
      <c r="B3948" t="str">
        <v>Newland</v>
      </c>
      <c r="C3948" t="str">
        <v>Yield</v>
      </c>
      <c r="D3948" t="str">
        <v>-</v>
      </c>
      <c r="E3948">
        <v>11515.926686548341</v>
      </c>
      <c r="F3948">
        <v>0</v>
      </c>
    </row>
    <row r="3949" spans="2:6" ht="15.75" customHeight="1" x14ac:dyDescent="0.25">
      <c r="B3949" t="str">
        <v>NewrlRWA</v>
      </c>
      <c r="C3949" t="str">
        <v>RWA</v>
      </c>
      <c r="D3949" t="str">
        <v>-</v>
      </c>
      <c r="E3949">
        <v>12769.652249999999</v>
      </c>
      <c r="F3949">
        <v>0</v>
      </c>
    </row>
    <row r="3950" spans="2:6" ht="15.75" customHeight="1" x14ac:dyDescent="0.25">
      <c r="B3950" t="str">
        <v>NewSpace Finance</v>
      </c>
      <c r="C3950" t="str">
        <v>Farm</v>
      </c>
      <c r="D3950" t="str">
        <v>NEWSPACE</v>
      </c>
      <c r="E3950">
        <v>262.36716923118246</v>
      </c>
      <c r="F3950">
        <v>0</v>
      </c>
    </row>
    <row r="3951" spans="2:6" ht="15.75" customHeight="1" x14ac:dyDescent="0.25">
      <c r="B3951" t="str">
        <v>Newswap</v>
      </c>
      <c r="C3951" t="str">
        <v>Dexs</v>
      </c>
      <c r="D3951" t="str">
        <v>-</v>
      </c>
      <c r="E3951">
        <v>775577.96780767932</v>
      </c>
      <c r="F3951">
        <v>0</v>
      </c>
    </row>
    <row r="3952" spans="2:6" ht="15.75" customHeight="1" x14ac:dyDescent="0.25">
      <c r="B3952" t="str">
        <v>NewThrone</v>
      </c>
      <c r="C3952" t="str">
        <v>Gaming</v>
      </c>
      <c r="D3952" t="str">
        <v>THRO</v>
      </c>
      <c r="E3952">
        <v>0</v>
      </c>
      <c r="F3952">
        <v>0</v>
      </c>
    </row>
    <row r="3953" spans="2:6" ht="15.75" customHeight="1" x14ac:dyDescent="0.25">
      <c r="B3953" t="str">
        <v>NEX</v>
      </c>
      <c r="C3953" t="str">
        <v>Derivatives</v>
      </c>
      <c r="D3953" t="str">
        <v>-</v>
      </c>
      <c r="E3953">
        <v>190.79624651151161</v>
      </c>
      <c r="F3953">
        <v>0</v>
      </c>
    </row>
    <row r="3954" spans="2:6" ht="15.75" customHeight="1" x14ac:dyDescent="0.25">
      <c r="B3954" t="str">
        <v>Nexapia</v>
      </c>
      <c r="C3954" t="str">
        <v>Dexs</v>
      </c>
      <c r="D3954" t="str">
        <v>-</v>
      </c>
      <c r="E3954">
        <v>558.66808828411786</v>
      </c>
      <c r="F3954">
        <v>0</v>
      </c>
    </row>
    <row r="3955" spans="2:6" ht="15.75" customHeight="1" x14ac:dyDescent="0.25">
      <c r="B3955" t="str">
        <v>Nexion</v>
      </c>
      <c r="C3955" t="str">
        <v>Yield</v>
      </c>
      <c r="D3955" t="str">
        <v>NEON</v>
      </c>
      <c r="E3955">
        <v>504.73421227274338</v>
      </c>
      <c r="F3955">
        <v>43957.903847681831</v>
      </c>
    </row>
    <row r="3956" spans="2:6" ht="15.75" customHeight="1" x14ac:dyDescent="0.25">
      <c r="B3956" t="str">
        <v>Nexter</v>
      </c>
      <c r="C3956" t="str">
        <v>Prediction Market</v>
      </c>
      <c r="D3956" t="str">
        <v>-</v>
      </c>
      <c r="E3956">
        <v>68.799927192802599</v>
      </c>
      <c r="F3956">
        <v>0</v>
      </c>
    </row>
    <row r="3957" spans="2:6" ht="15.75" customHeight="1" x14ac:dyDescent="0.25">
      <c r="B3957" t="str">
        <v>Nexton</v>
      </c>
      <c r="C3957" t="str">
        <v>Basis Trading</v>
      </c>
      <c r="D3957" t="str">
        <v>-</v>
      </c>
      <c r="E3957">
        <v>7796.0005865997482</v>
      </c>
      <c r="F3957">
        <v>0</v>
      </c>
    </row>
    <row r="3958" spans="2:6" ht="15.75" customHeight="1" x14ac:dyDescent="0.25">
      <c r="B3958" t="str">
        <v>Nexus BTC</v>
      </c>
      <c r="C3958" t="str">
        <v>Bridge</v>
      </c>
      <c r="D3958" t="str">
        <v>-</v>
      </c>
      <c r="E3958">
        <v>552081086.30587721</v>
      </c>
      <c r="F3958">
        <v>0</v>
      </c>
    </row>
    <row r="3959" spans="2:6" ht="15.75" customHeight="1" x14ac:dyDescent="0.25">
      <c r="B3959" t="str">
        <v>Nexus Mutual</v>
      </c>
      <c r="C3959" t="str">
        <v>Insurance</v>
      </c>
      <c r="D3959" t="str">
        <v>NXM</v>
      </c>
      <c r="E3959">
        <v>145955393.68366203</v>
      </c>
      <c r="F3959">
        <v>144808670.38162929</v>
      </c>
    </row>
    <row r="3960" spans="2:6" ht="15.75" customHeight="1" x14ac:dyDescent="0.25">
      <c r="B3960" t="str">
        <v>Nexus Portal</v>
      </c>
      <c r="C3960" t="str">
        <v>Dexs</v>
      </c>
      <c r="D3960" t="str">
        <v>NEXU</v>
      </c>
      <c r="E3960">
        <v>14367.466691314539</v>
      </c>
      <c r="F3960">
        <v>0</v>
      </c>
    </row>
    <row r="3961" spans="2:6" ht="15.75" customHeight="1" x14ac:dyDescent="0.25">
      <c r="B3961" t="str">
        <v>Nexus Protocol</v>
      </c>
      <c r="C3961" t="str">
        <v>Yield</v>
      </c>
      <c r="D3961" t="str">
        <v>PSI</v>
      </c>
      <c r="E3961">
        <v>0</v>
      </c>
      <c r="F3961">
        <v>0</v>
      </c>
    </row>
    <row r="3962" spans="2:6" ht="15.75" customHeight="1" x14ac:dyDescent="0.25">
      <c r="B3962" t="str">
        <v>NF3 APE</v>
      </c>
      <c r="C3962" t="str">
        <v>Liquid Staking</v>
      </c>
      <c r="D3962" t="str">
        <v>-</v>
      </c>
      <c r="E3962">
        <v>6199.6248225986365</v>
      </c>
      <c r="F3962">
        <v>0</v>
      </c>
    </row>
    <row r="3963" spans="2:6" ht="15.75" customHeight="1" x14ac:dyDescent="0.25">
      <c r="B3963" t="str">
        <v>NFA Zone</v>
      </c>
      <c r="C3963" t="str">
        <v>Launchpad</v>
      </c>
      <c r="D3963" t="str">
        <v>-</v>
      </c>
      <c r="E3963">
        <v>742.65331775978325</v>
      </c>
      <c r="F3963">
        <v>0</v>
      </c>
    </row>
    <row r="3964" spans="2:6" ht="15.75" customHeight="1" x14ac:dyDescent="0.25">
      <c r="B3964" t="str">
        <v>NFT Hive</v>
      </c>
      <c r="C3964" t="str">
        <v>NFT Marketplace</v>
      </c>
      <c r="D3964" t="str">
        <v>-</v>
      </c>
      <c r="E3964">
        <v>4742.0248555610897</v>
      </c>
      <c r="F3964">
        <v>0</v>
      </c>
    </row>
    <row r="3965" spans="2:6" ht="15.75" customHeight="1" x14ac:dyDescent="0.25">
      <c r="B3965" t="str">
        <v>NFT20</v>
      </c>
      <c r="C3965" t="str">
        <v>NFT Marketplace</v>
      </c>
      <c r="D3965" t="str">
        <v>MUSE</v>
      </c>
      <c r="E3965">
        <v>92956.061792250068</v>
      </c>
      <c r="F3965">
        <v>421117.49256699544</v>
      </c>
    </row>
    <row r="3966" spans="2:6" ht="15.75" customHeight="1" x14ac:dyDescent="0.25">
      <c r="B3966" t="str">
        <v>NFT360</v>
      </c>
      <c r="C3966" t="str">
        <v>NFT Marketplace</v>
      </c>
      <c r="D3966" t="str">
        <v>-</v>
      </c>
      <c r="E3966">
        <v>0</v>
      </c>
      <c r="F3966">
        <v>0</v>
      </c>
    </row>
    <row r="3967" spans="2:6" ht="15.75" customHeight="1" x14ac:dyDescent="0.25">
      <c r="B3967" t="str">
        <v>NFTb</v>
      </c>
      <c r="C3967" t="str">
        <v>Yield</v>
      </c>
      <c r="D3967" t="str">
        <v>NFTB</v>
      </c>
      <c r="E3967">
        <v>228.75981600292755</v>
      </c>
      <c r="F3967">
        <v>97912.848875060212</v>
      </c>
    </row>
    <row r="3968" spans="2:6" ht="15.75" customHeight="1" x14ac:dyDescent="0.25">
      <c r="B3968" t="str">
        <v>NFTEarth</v>
      </c>
      <c r="C3968" t="str">
        <v>NFT Marketplace</v>
      </c>
      <c r="D3968" t="str">
        <v>NFTE</v>
      </c>
      <c r="E3968">
        <v>0</v>
      </c>
      <c r="F3968">
        <v>464.8706419132613</v>
      </c>
    </row>
    <row r="3969" spans="2:6" ht="15.75" customHeight="1" x14ac:dyDescent="0.25">
      <c r="B3969" t="str">
        <v>NFTfi</v>
      </c>
      <c r="C3969" t="str">
        <v>NFT Lending</v>
      </c>
      <c r="D3969" t="str">
        <v>NFTFI</v>
      </c>
      <c r="E3969">
        <v>19147.617652388028</v>
      </c>
      <c r="F3969">
        <v>65427.883011368249</v>
      </c>
    </row>
    <row r="3970" spans="2:6" ht="15.75" customHeight="1" x14ac:dyDescent="0.25">
      <c r="B3970" t="str">
        <v>nftperp</v>
      </c>
      <c r="C3970" t="str">
        <v>NftFi</v>
      </c>
      <c r="D3970" t="str">
        <v>-</v>
      </c>
      <c r="E3970">
        <v>3730.1474553406842</v>
      </c>
      <c r="F3970">
        <v>0</v>
      </c>
    </row>
    <row r="3971" spans="2:6" ht="15.75" customHeight="1" x14ac:dyDescent="0.25">
      <c r="B3971" t="str">
        <v>NFTX</v>
      </c>
      <c r="C3971" t="str">
        <v>NFT Marketplace</v>
      </c>
      <c r="D3971" t="str">
        <v>NFTX</v>
      </c>
      <c r="E3971">
        <v>3452019.705035883</v>
      </c>
      <c r="F3971">
        <v>5538783.1004876876</v>
      </c>
    </row>
    <row r="3972" spans="2:6" ht="15.75" customHeight="1" x14ac:dyDescent="0.25">
      <c r="B3972" t="str">
        <v>NGMI Zone</v>
      </c>
      <c r="C3972" t="str">
        <v>Luck Games</v>
      </c>
      <c r="D3972" t="str">
        <v>-</v>
      </c>
      <c r="E3972">
        <v>31.618965706586774</v>
      </c>
      <c r="F3972">
        <v>0</v>
      </c>
    </row>
    <row r="3973" spans="2:6" ht="15.75" customHeight="1" x14ac:dyDescent="0.25">
      <c r="B3973" t="str">
        <v>NICKEL</v>
      </c>
      <c r="C3973" t="str">
        <v>Gamified Mining</v>
      </c>
      <c r="D3973" t="str">
        <v>NICKEL</v>
      </c>
      <c r="E3973">
        <v>0</v>
      </c>
      <c r="F3973">
        <v>0</v>
      </c>
    </row>
    <row r="3974" spans="2:6" ht="15.75" customHeight="1" x14ac:dyDescent="0.25">
      <c r="B3974" t="str">
        <v>Nidhi-Dao</v>
      </c>
      <c r="C3974" t="str">
        <v>Reserve Currency</v>
      </c>
      <c r="D3974" t="str">
        <v>GURU</v>
      </c>
      <c r="E3974">
        <v>0</v>
      </c>
      <c r="F3974">
        <v>779480.99594581034</v>
      </c>
    </row>
    <row r="3975" spans="2:6" ht="15.75" customHeight="1" x14ac:dyDescent="0.25">
      <c r="B3975" t="str">
        <v>Nightmare Finance</v>
      </c>
      <c r="C3975" t="str">
        <v>Farm</v>
      </c>
      <c r="D3975" t="str">
        <v>FEAR</v>
      </c>
      <c r="E3975">
        <v>127.87791510358338</v>
      </c>
      <c r="F3975">
        <v>0</v>
      </c>
    </row>
    <row r="3976" spans="2:6" ht="15.75" customHeight="1" x14ac:dyDescent="0.25">
      <c r="B3976" t="str">
        <v>Nightshade Finance</v>
      </c>
      <c r="C3976" t="str">
        <v>Dexs</v>
      </c>
      <c r="D3976" t="str">
        <v>-</v>
      </c>
      <c r="E3976">
        <v>300742.15157426422</v>
      </c>
      <c r="F3976">
        <v>0</v>
      </c>
    </row>
    <row r="3977" spans="2:6" ht="15.75" customHeight="1" x14ac:dyDescent="0.25">
      <c r="B3977" t="str">
        <v>NiiFi</v>
      </c>
      <c r="C3977" t="str">
        <v>Dexs</v>
      </c>
      <c r="D3977" t="str">
        <v>NIIFI</v>
      </c>
      <c r="E3977">
        <v>73367.87170191812</v>
      </c>
      <c r="F3977">
        <v>0</v>
      </c>
    </row>
    <row r="3978" spans="2:6" ht="15.75" customHeight="1" x14ac:dyDescent="0.25">
      <c r="B3978" t="str">
        <v>Nile CL</v>
      </c>
      <c r="C3978" t="str">
        <v>Dexs</v>
      </c>
      <c r="D3978" t="str">
        <v>NILE</v>
      </c>
      <c r="E3978">
        <v>677662.0809318145</v>
      </c>
      <c r="F3978">
        <v>0</v>
      </c>
    </row>
    <row r="3979" spans="2:6" ht="15.75" customHeight="1" x14ac:dyDescent="0.25">
      <c r="B3979" t="str">
        <v>Nile Legacy</v>
      </c>
      <c r="C3979" t="str">
        <v>Dexs</v>
      </c>
      <c r="D3979" t="str">
        <v>NILE</v>
      </c>
      <c r="E3979">
        <v>506283.46853443468</v>
      </c>
      <c r="F3979">
        <v>0</v>
      </c>
    </row>
    <row r="3980" spans="2:6" ht="15.75" customHeight="1" x14ac:dyDescent="0.25">
      <c r="B3980" t="str">
        <v>Nileriver</v>
      </c>
      <c r="C3980" t="str">
        <v>Yield</v>
      </c>
      <c r="D3980" t="str">
        <v>NIL</v>
      </c>
      <c r="E3980">
        <v>0</v>
      </c>
      <c r="F3980">
        <v>0</v>
      </c>
    </row>
    <row r="3981" spans="2:6" ht="15.75" customHeight="1" x14ac:dyDescent="0.25">
      <c r="B3981" t="str">
        <v>Nimbora Lending</v>
      </c>
      <c r="C3981" t="str">
        <v>Lending</v>
      </c>
      <c r="D3981" t="str">
        <v>-</v>
      </c>
      <c r="E3981">
        <v>0</v>
      </c>
      <c r="F3981">
        <v>0</v>
      </c>
    </row>
    <row r="3982" spans="2:6" ht="15.75" customHeight="1" x14ac:dyDescent="0.25">
      <c r="B3982" t="str">
        <v>Nimbora LST</v>
      </c>
      <c r="C3982" t="str">
        <v>Liquid Staking</v>
      </c>
      <c r="D3982" t="str">
        <v>-</v>
      </c>
      <c r="E3982">
        <v>136020.51857685845</v>
      </c>
      <c r="F3982">
        <v>0</v>
      </c>
    </row>
    <row r="3983" spans="2:6" ht="15.75" customHeight="1" x14ac:dyDescent="0.25">
      <c r="B3983" t="str">
        <v>Nimbora Yield</v>
      </c>
      <c r="C3983" t="str">
        <v>Yield</v>
      </c>
      <c r="D3983" t="str">
        <v>-</v>
      </c>
      <c r="E3983">
        <v>317963.84511800727</v>
      </c>
      <c r="F3983">
        <v>0</v>
      </c>
    </row>
    <row r="3984" spans="2:6" ht="15.75" customHeight="1" x14ac:dyDescent="0.25">
      <c r="B3984" t="str">
        <v>Nimbora Yield Aggregator</v>
      </c>
      <c r="C3984" t="str">
        <v>Yield</v>
      </c>
      <c r="D3984" t="str">
        <v>-</v>
      </c>
      <c r="E3984">
        <v>203689.03597285511</v>
      </c>
      <c r="F3984">
        <v>0</v>
      </c>
    </row>
    <row r="3985" spans="2:6" ht="15.75" customHeight="1" x14ac:dyDescent="0.25">
      <c r="B3985" t="str">
        <v>Ninja Blaze</v>
      </c>
      <c r="C3985" t="str">
        <v>Prediction Market</v>
      </c>
      <c r="D3985" t="str">
        <v>-</v>
      </c>
      <c r="E3985">
        <v>0</v>
      </c>
      <c r="F3985">
        <v>0</v>
      </c>
    </row>
    <row r="3986" spans="2:6" ht="15.75" customHeight="1" x14ac:dyDescent="0.25">
      <c r="B3986" t="str">
        <v>NinjaRoll</v>
      </c>
      <c r="C3986" t="str">
        <v>Luck Games</v>
      </c>
      <c r="D3986" t="str">
        <v>ROLL</v>
      </c>
      <c r="E3986">
        <v>0</v>
      </c>
      <c r="F3986">
        <v>0</v>
      </c>
    </row>
    <row r="3987" spans="2:6" ht="15.75" customHeight="1" x14ac:dyDescent="0.25">
      <c r="B3987" t="str">
        <v>NinjaVault</v>
      </c>
      <c r="C3987" t="str">
        <v>Yield Aggregator</v>
      </c>
      <c r="D3987" t="str">
        <v>-</v>
      </c>
      <c r="E3987">
        <v>0</v>
      </c>
      <c r="F3987">
        <v>0</v>
      </c>
    </row>
    <row r="3988" spans="2:6" ht="15.75" customHeight="1" x14ac:dyDescent="0.25">
      <c r="B3988" t="str">
        <v>Niob Finance</v>
      </c>
      <c r="C3988" t="str">
        <v>Dexs</v>
      </c>
      <c r="D3988" t="str">
        <v>NIOB</v>
      </c>
      <c r="E3988">
        <v>134066.83823932265</v>
      </c>
      <c r="F3988">
        <v>79530.560814475844</v>
      </c>
    </row>
    <row r="3989" spans="2:6" ht="15.75" customHeight="1" x14ac:dyDescent="0.25">
      <c r="B3989" t="str">
        <v>Nirvana V1</v>
      </c>
      <c r="C3989" t="str">
        <v>CDP</v>
      </c>
      <c r="D3989" t="str">
        <v>ANA</v>
      </c>
      <c r="E3989">
        <v>2.5133414945139996</v>
      </c>
      <c r="F3989">
        <v>0</v>
      </c>
    </row>
    <row r="3990" spans="2:6" ht="15.75" customHeight="1" x14ac:dyDescent="0.25">
      <c r="B3990" t="str">
        <v>Nirvana V2</v>
      </c>
      <c r="C3990" t="str">
        <v>Reserve Currency</v>
      </c>
      <c r="D3990" t="str">
        <v>ANA</v>
      </c>
      <c r="E3990">
        <v>3166147.0068578757</v>
      </c>
      <c r="F3990">
        <v>0</v>
      </c>
    </row>
    <row r="3991" spans="2:6" ht="15.75" customHeight="1" x14ac:dyDescent="0.25">
      <c r="B3991" t="str">
        <v>Nitron</v>
      </c>
      <c r="C3991" t="str">
        <v>CDP</v>
      </c>
      <c r="D3991" t="str">
        <v>-</v>
      </c>
      <c r="E3991">
        <v>112138.56614208515</v>
      </c>
      <c r="F3991">
        <v>0</v>
      </c>
    </row>
    <row r="3992" spans="2:6" ht="15.75" customHeight="1" x14ac:dyDescent="0.25">
      <c r="B3992" t="str">
        <v>Nivela Finance</v>
      </c>
      <c r="C3992" t="str">
        <v>CDP</v>
      </c>
      <c r="D3992" t="str">
        <v>NIV</v>
      </c>
      <c r="E3992">
        <v>0</v>
      </c>
      <c r="F3992">
        <v>0</v>
      </c>
    </row>
    <row r="3993" spans="2:6" ht="15.75" customHeight="1" x14ac:dyDescent="0.25">
      <c r="B3993" t="str">
        <v>NLX Protocol</v>
      </c>
      <c r="C3993" t="str">
        <v>Derivatives</v>
      </c>
      <c r="D3993" t="str">
        <v>-</v>
      </c>
      <c r="E3993">
        <v>1614.4755405847368</v>
      </c>
      <c r="F3993">
        <v>0</v>
      </c>
    </row>
    <row r="3994" spans="2:6" ht="15.75" customHeight="1" x14ac:dyDescent="0.25">
      <c r="B3994" t="str">
        <v>Noah Swap</v>
      </c>
      <c r="C3994" t="str">
        <v>Dexs</v>
      </c>
      <c r="D3994" t="str">
        <v>-</v>
      </c>
      <c r="E3994">
        <v>0</v>
      </c>
      <c r="F3994">
        <v>0</v>
      </c>
    </row>
    <row r="3995" spans="2:6" ht="15.75" customHeight="1" x14ac:dyDescent="0.25">
      <c r="B3995" t="str">
        <v>NoahArkDAO</v>
      </c>
      <c r="C3995" t="str">
        <v>Reserve Currency</v>
      </c>
      <c r="D3995" t="str">
        <v>NRK</v>
      </c>
      <c r="E3995">
        <v>15.545122132482161</v>
      </c>
      <c r="F3995">
        <v>0</v>
      </c>
    </row>
    <row r="3996" spans="2:6" ht="15.75" customHeight="1" x14ac:dyDescent="0.25">
      <c r="B3996" t="str">
        <v>Noble Points Vault</v>
      </c>
      <c r="C3996" t="str">
        <v>Farm</v>
      </c>
      <c r="D3996" t="str">
        <v>-</v>
      </c>
      <c r="E3996">
        <v>27273647.742205828</v>
      </c>
      <c r="F3996">
        <v>0</v>
      </c>
    </row>
    <row r="3997" spans="2:6" ht="15.75" customHeight="1" x14ac:dyDescent="0.25">
      <c r="B3997" t="str">
        <v>Nocturne</v>
      </c>
      <c r="C3997" t="str">
        <v>Privacy</v>
      </c>
      <c r="D3997" t="str">
        <v>-</v>
      </c>
      <c r="E3997">
        <v>100873.91581178269</v>
      </c>
      <c r="F3997">
        <v>0</v>
      </c>
    </row>
    <row r="3998" spans="2:6" ht="15.75" customHeight="1" x14ac:dyDescent="0.25">
      <c r="B3998" t="str">
        <v>NodeDAO</v>
      </c>
      <c r="C3998" t="str">
        <v>Liquid Staking</v>
      </c>
      <c r="D3998" t="str">
        <v>-</v>
      </c>
      <c r="E3998">
        <v>54560767.056574762</v>
      </c>
      <c r="F3998">
        <v>0</v>
      </c>
    </row>
    <row r="3999" spans="2:6" ht="15.75" customHeight="1" x14ac:dyDescent="0.25">
      <c r="B3999" t="str">
        <v>NodeOps</v>
      </c>
      <c r="C3999" t="str">
        <v>DePIN</v>
      </c>
      <c r="D3999" t="str">
        <v>NODE</v>
      </c>
      <c r="E3999">
        <v>0</v>
      </c>
      <c r="F3999">
        <v>2391352.0780706331</v>
      </c>
    </row>
    <row r="4000" spans="2:6" ht="15.75" customHeight="1" x14ac:dyDescent="0.25">
      <c r="B4000" t="str">
        <v>NODO</v>
      </c>
      <c r="C4000" t="str">
        <v>Prediction Market</v>
      </c>
      <c r="D4000" t="str">
        <v>-</v>
      </c>
      <c r="E4000">
        <v>0.8447054663539979</v>
      </c>
      <c r="F4000">
        <v>0</v>
      </c>
    </row>
    <row r="4001" spans="2:6" ht="15.75" customHeight="1" x14ac:dyDescent="0.25">
      <c r="B4001" t="str">
        <v>Nolus Protocol</v>
      </c>
      <c r="C4001" t="str">
        <v>Lending</v>
      </c>
      <c r="D4001" t="str">
        <v>NLS</v>
      </c>
      <c r="E4001">
        <v>1869021.5082339635</v>
      </c>
      <c r="F4001">
        <v>3186046.3803025885</v>
      </c>
    </row>
    <row r="4002" spans="2:6" ht="15.75" customHeight="1" x14ac:dyDescent="0.25">
      <c r="B4002" t="str">
        <v>Nomad</v>
      </c>
      <c r="C4002" t="str">
        <v>Bridge</v>
      </c>
      <c r="D4002" t="str">
        <v>-</v>
      </c>
      <c r="E4002">
        <v>1238239.1283884649</v>
      </c>
      <c r="F4002">
        <v>0</v>
      </c>
    </row>
    <row r="4003" spans="2:6" ht="15.75" customHeight="1" x14ac:dyDescent="0.25">
      <c r="B4003" t="str">
        <v>NOME Protocol</v>
      </c>
      <c r="C4003" t="str">
        <v>Algo-Stables</v>
      </c>
      <c r="D4003" t="str">
        <v>NOME</v>
      </c>
      <c r="E4003">
        <v>39196.218808925885</v>
      </c>
      <c r="F4003">
        <v>10461.3085940294</v>
      </c>
    </row>
    <row r="4004" spans="2:6" ht="15.75" customHeight="1" x14ac:dyDescent="0.25">
      <c r="B4004" t="str">
        <v>Nomiswap</v>
      </c>
      <c r="C4004" t="str">
        <v>Dexs</v>
      </c>
      <c r="D4004" t="str">
        <v>NMX</v>
      </c>
      <c r="E4004">
        <v>1394866.0158785521</v>
      </c>
      <c r="F4004">
        <v>579191.33964962815</v>
      </c>
    </row>
    <row r="4005" spans="2:6" ht="15.75" customHeight="1" x14ac:dyDescent="0.25">
      <c r="B4005" t="str">
        <v>None Trading</v>
      </c>
      <c r="C4005" t="str">
        <v>Services</v>
      </c>
      <c r="D4005" t="str">
        <v>NONE</v>
      </c>
      <c r="E4005">
        <v>0</v>
      </c>
      <c r="F4005">
        <v>0</v>
      </c>
    </row>
    <row r="4006" spans="2:6" ht="15.75" customHeight="1" x14ac:dyDescent="0.25">
      <c r="B4006" t="str">
        <v>Noon</v>
      </c>
      <c r="C4006" t="str">
        <v>Yield</v>
      </c>
      <c r="D4006" t="str">
        <v>-</v>
      </c>
      <c r="E4006">
        <v>26172902.239133138</v>
      </c>
      <c r="F4006">
        <v>0</v>
      </c>
    </row>
    <row r="4007" spans="2:6" ht="15.75" customHeight="1" x14ac:dyDescent="0.25">
      <c r="B4007" t="str">
        <v>Nord Finance</v>
      </c>
      <c r="C4007" t="str">
        <v>Yield Aggregator</v>
      </c>
      <c r="D4007" t="str">
        <v>NORD</v>
      </c>
      <c r="E4007">
        <v>7400.3767558015816</v>
      </c>
      <c r="F4007">
        <v>25631.96392766753</v>
      </c>
    </row>
    <row r="4008" spans="2:6" ht="15.75" customHeight="1" x14ac:dyDescent="0.25">
      <c r="B4008" t="str">
        <v>Nordstern.Finance</v>
      </c>
      <c r="C4008" t="str">
        <v>DEX Aggregator</v>
      </c>
      <c r="D4008" t="str">
        <v>-</v>
      </c>
      <c r="E4008">
        <v>0</v>
      </c>
      <c r="F4008">
        <v>0</v>
      </c>
    </row>
    <row r="4009" spans="2:6" ht="15.75" customHeight="1" x14ac:dyDescent="0.25">
      <c r="B4009" t="str">
        <v>North Pole</v>
      </c>
      <c r="C4009" t="str">
        <v>CDP</v>
      </c>
      <c r="D4009" t="str">
        <v>POLE</v>
      </c>
      <c r="E4009">
        <v>882.21995423246051</v>
      </c>
      <c r="F4009">
        <v>0</v>
      </c>
    </row>
    <row r="4010" spans="2:6" ht="15.75" customHeight="1" x14ac:dyDescent="0.25">
      <c r="B4010" t="str">
        <v>Nostra Money Market</v>
      </c>
      <c r="C4010" t="str">
        <v>Lending</v>
      </c>
      <c r="D4010" t="str">
        <v>NSTR</v>
      </c>
      <c r="E4010">
        <v>15098590.045329455</v>
      </c>
      <c r="F4010">
        <v>0</v>
      </c>
    </row>
    <row r="4011" spans="2:6" ht="15.75" customHeight="1" x14ac:dyDescent="0.25">
      <c r="B4011" t="str">
        <v>Nostra Money Market Alpha</v>
      </c>
      <c r="C4011" t="str">
        <v>Lending</v>
      </c>
      <c r="D4011" t="str">
        <v>NSTR</v>
      </c>
      <c r="E4011">
        <v>186826.89613409294</v>
      </c>
      <c r="F4011">
        <v>0</v>
      </c>
    </row>
    <row r="4012" spans="2:6" ht="15.75" customHeight="1" x14ac:dyDescent="0.25">
      <c r="B4012" t="str">
        <v>Nostra nstSTRK</v>
      </c>
      <c r="C4012" t="str">
        <v>Liquid Staking</v>
      </c>
      <c r="D4012" t="str">
        <v>NSTR</v>
      </c>
      <c r="E4012">
        <v>106248.42465816234</v>
      </c>
      <c r="F4012">
        <v>0</v>
      </c>
    </row>
    <row r="4013" spans="2:6" ht="15.75" customHeight="1" x14ac:dyDescent="0.25">
      <c r="B4013" t="str">
        <v>Nostra Pools</v>
      </c>
      <c r="C4013" t="str">
        <v>Dexs</v>
      </c>
      <c r="D4013" t="str">
        <v>NSTR</v>
      </c>
      <c r="E4013">
        <v>674863.50273858779</v>
      </c>
      <c r="F4013">
        <v>0</v>
      </c>
    </row>
    <row r="4014" spans="2:6" ht="15.75" customHeight="1" x14ac:dyDescent="0.25">
      <c r="B4014" t="str">
        <v>Notiboy</v>
      </c>
      <c r="C4014" t="str">
        <v>Services</v>
      </c>
      <c r="D4014" t="str">
        <v>-</v>
      </c>
      <c r="E4014">
        <v>0</v>
      </c>
      <c r="F4014">
        <v>0</v>
      </c>
    </row>
    <row r="4015" spans="2:6" ht="15.75" customHeight="1" x14ac:dyDescent="0.25">
      <c r="B4015" t="str">
        <v>Notional V2</v>
      </c>
      <c r="C4015" t="str">
        <v>Lending</v>
      </c>
      <c r="D4015" t="str">
        <v>NOTE</v>
      </c>
      <c r="E4015">
        <v>3096346.8147795592</v>
      </c>
      <c r="F4015">
        <v>0</v>
      </c>
    </row>
    <row r="4016" spans="2:6" ht="15.75" customHeight="1" x14ac:dyDescent="0.25">
      <c r="B4016" t="str">
        <v>Notional V3</v>
      </c>
      <c r="C4016" t="str">
        <v>Lending</v>
      </c>
      <c r="D4016" t="str">
        <v>NOTE</v>
      </c>
      <c r="E4016">
        <v>837.52291014849777</v>
      </c>
      <c r="F4016">
        <v>0</v>
      </c>
    </row>
    <row r="4017" spans="2:6" ht="15.75" customHeight="1" x14ac:dyDescent="0.25">
      <c r="B4017" t="str">
        <v>Nouns</v>
      </c>
      <c r="C4017" t="str">
        <v>Services</v>
      </c>
      <c r="D4017" t="str">
        <v>-</v>
      </c>
      <c r="E4017">
        <v>0</v>
      </c>
      <c r="F4017">
        <v>0</v>
      </c>
    </row>
    <row r="4018" spans="2:6" ht="15.75" customHeight="1" x14ac:dyDescent="0.25">
      <c r="B4018" t="str">
        <v>Nova</v>
      </c>
      <c r="C4018" t="str">
        <v>Telegram Bot</v>
      </c>
      <c r="D4018" t="str">
        <v>-</v>
      </c>
      <c r="E4018">
        <v>0</v>
      </c>
      <c r="F4018">
        <v>0</v>
      </c>
    </row>
    <row r="4019" spans="2:6" ht="15.75" customHeight="1" x14ac:dyDescent="0.25">
      <c r="B4019" t="str">
        <v>Nova Fox</v>
      </c>
      <c r="C4019" t="str">
        <v>Launchpad</v>
      </c>
      <c r="D4019" t="str">
        <v>NFX</v>
      </c>
      <c r="E4019">
        <v>0</v>
      </c>
      <c r="F4019">
        <v>204707.85957109943</v>
      </c>
    </row>
    <row r="4020" spans="2:6" ht="15.75" customHeight="1" x14ac:dyDescent="0.25">
      <c r="B4020" t="str">
        <v>NovaSwap V1</v>
      </c>
      <c r="C4020" t="str">
        <v>Dexs</v>
      </c>
      <c r="D4020" t="str">
        <v>-</v>
      </c>
      <c r="E4020">
        <v>926.78196541784371</v>
      </c>
      <c r="F4020">
        <v>0</v>
      </c>
    </row>
    <row r="4021" spans="2:6" ht="15.75" customHeight="1" x14ac:dyDescent="0.25">
      <c r="B4021" t="str">
        <v>NovaSwap V2</v>
      </c>
      <c r="C4021" t="str">
        <v>Dexs</v>
      </c>
      <c r="D4021" t="str">
        <v>-</v>
      </c>
      <c r="E4021">
        <v>15433.350386609181</v>
      </c>
      <c r="F4021">
        <v>0</v>
      </c>
    </row>
    <row r="4022" spans="2:6" ht="15.75" customHeight="1" x14ac:dyDescent="0.25">
      <c r="B4022" t="str">
        <v>Novation</v>
      </c>
      <c r="C4022" t="str">
        <v>Lending</v>
      </c>
      <c r="D4022" t="str">
        <v>Nova</v>
      </c>
      <c r="E4022">
        <v>15.974474255075348</v>
      </c>
      <c r="F4022">
        <v>0</v>
      </c>
    </row>
    <row r="4023" spans="2:6" ht="15.75" customHeight="1" x14ac:dyDescent="0.25">
      <c r="B4023" t="str">
        <v>NOVIS</v>
      </c>
      <c r="C4023" t="str">
        <v>Yield</v>
      </c>
      <c r="D4023" t="str">
        <v>-</v>
      </c>
      <c r="E4023">
        <v>535.37392339464611</v>
      </c>
      <c r="F4023">
        <v>0</v>
      </c>
    </row>
    <row r="4024" spans="2:6" ht="15.75" customHeight="1" x14ac:dyDescent="0.25">
      <c r="B4024" t="str">
        <v>NowSwap</v>
      </c>
      <c r="C4024" t="str">
        <v>Dexs</v>
      </c>
      <c r="D4024" t="str">
        <v>-</v>
      </c>
      <c r="E4024">
        <v>7.3259308817668494</v>
      </c>
      <c r="F4024">
        <v>0</v>
      </c>
    </row>
    <row r="4025" spans="2:6" ht="15.75" customHeight="1" x14ac:dyDescent="0.25">
      <c r="B4025" t="str">
        <v>NOXA</v>
      </c>
      <c r="C4025" t="str">
        <v>Dexs</v>
      </c>
      <c r="D4025" t="str">
        <v>-</v>
      </c>
      <c r="E4025">
        <v>73449.194805185311</v>
      </c>
      <c r="F4025">
        <v>0</v>
      </c>
    </row>
    <row r="4026" spans="2:6" ht="15.75" customHeight="1" x14ac:dyDescent="0.25">
      <c r="B4026" t="str">
        <v>Nsure</v>
      </c>
      <c r="C4026" t="str">
        <v>Insurance</v>
      </c>
      <c r="D4026" t="str">
        <v>NSURE</v>
      </c>
      <c r="E4026">
        <v>320479.9674720933</v>
      </c>
      <c r="F4026">
        <v>29641.249409035769</v>
      </c>
    </row>
    <row r="4027" spans="2:6" ht="15.75" customHeight="1" x14ac:dyDescent="0.25">
      <c r="B4027" t="str">
        <v>NTM.ai</v>
      </c>
      <c r="C4027" t="str">
        <v>SoFi</v>
      </c>
      <c r="D4027" t="str">
        <v>-</v>
      </c>
      <c r="E4027">
        <v>0</v>
      </c>
      <c r="F4027">
        <v>0</v>
      </c>
    </row>
    <row r="4028" spans="2:6" ht="15.75" customHeight="1" x14ac:dyDescent="0.25">
      <c r="B4028" t="str">
        <v>Nucleon</v>
      </c>
      <c r="C4028" t="str">
        <v>Liquid Staking</v>
      </c>
      <c r="D4028" t="str">
        <v>NUT</v>
      </c>
      <c r="E4028">
        <v>1617783.2999433393</v>
      </c>
      <c r="F4028">
        <v>0</v>
      </c>
    </row>
    <row r="4029" spans="2:6" ht="15.75" customHeight="1" x14ac:dyDescent="0.25">
      <c r="B4029" t="str">
        <v>Nucleus</v>
      </c>
      <c r="C4029" t="str">
        <v>Yield Aggregator</v>
      </c>
      <c r="D4029" t="str">
        <v>-</v>
      </c>
      <c r="E4029">
        <v>37825091.31075076</v>
      </c>
      <c r="F4029">
        <v>0</v>
      </c>
    </row>
    <row r="4030" spans="2:6" ht="15.75" customHeight="1" x14ac:dyDescent="0.25">
      <c r="B4030" t="str">
        <v>NUDES</v>
      </c>
      <c r="C4030" t="str">
        <v>Liquid Staking</v>
      </c>
      <c r="D4030" t="str">
        <v>NUDES</v>
      </c>
      <c r="E4030">
        <v>0</v>
      </c>
      <c r="F4030">
        <v>1923025.7918471361</v>
      </c>
    </row>
    <row r="4031" spans="2:6" ht="15.75" customHeight="1" x14ac:dyDescent="0.25">
      <c r="B4031" t="str">
        <v>NULS POCM</v>
      </c>
      <c r="C4031" t="str">
        <v>Services</v>
      </c>
      <c r="D4031" t="str">
        <v>-</v>
      </c>
      <c r="E4031">
        <v>0</v>
      </c>
      <c r="F4031">
        <v>0</v>
      </c>
    </row>
    <row r="4032" spans="2:6" ht="15.75" customHeight="1" x14ac:dyDescent="0.25">
      <c r="B4032" t="str">
        <v>Numbers Protocol</v>
      </c>
      <c r="C4032" t="str">
        <v>Services</v>
      </c>
      <c r="D4032" t="str">
        <v>NUM</v>
      </c>
      <c r="E4032">
        <v>1240.8371442977852</v>
      </c>
      <c r="F4032">
        <v>6844885.5683218939</v>
      </c>
    </row>
    <row r="4033" spans="2:6" ht="15.75" customHeight="1" x14ac:dyDescent="0.25">
      <c r="B4033" t="str">
        <v>NumisMe</v>
      </c>
      <c r="C4033" t="str">
        <v>Yield</v>
      </c>
      <c r="D4033" t="str">
        <v>NUME</v>
      </c>
      <c r="E4033">
        <v>383.1634872419861</v>
      </c>
      <c r="F4033">
        <v>0</v>
      </c>
    </row>
    <row r="4034" spans="2:6" ht="15.75" customHeight="1" x14ac:dyDescent="0.25">
      <c r="B4034" t="str">
        <v>Numoen</v>
      </c>
      <c r="C4034" t="str">
        <v>Derivatives</v>
      </c>
      <c r="D4034" t="str">
        <v>-</v>
      </c>
      <c r="E4034">
        <v>35656.627715299532</v>
      </c>
      <c r="F4034">
        <v>0</v>
      </c>
    </row>
    <row r="4035" spans="2:6" ht="15.75" customHeight="1" x14ac:dyDescent="0.25">
      <c r="B4035" t="str">
        <v>NUON Finance</v>
      </c>
      <c r="C4035" t="str">
        <v>CDP</v>
      </c>
      <c r="D4035" t="str">
        <v>NUON</v>
      </c>
      <c r="E4035">
        <v>13141.952432450269</v>
      </c>
      <c r="F4035">
        <v>0</v>
      </c>
    </row>
    <row r="4036" spans="2:6" ht="15.75" customHeight="1" x14ac:dyDescent="0.25">
      <c r="B4036" t="str">
        <v>Nuri CL</v>
      </c>
      <c r="C4036" t="str">
        <v>Dexs</v>
      </c>
      <c r="D4036" t="str">
        <v>NURI</v>
      </c>
      <c r="E4036">
        <v>186945.53631248549</v>
      </c>
      <c r="F4036">
        <v>0</v>
      </c>
    </row>
    <row r="4037" spans="2:6" ht="15.75" customHeight="1" x14ac:dyDescent="0.25">
      <c r="B4037" t="str">
        <v>Nuri Legacy</v>
      </c>
      <c r="C4037" t="str">
        <v>Dexs</v>
      </c>
      <c r="D4037" t="str">
        <v>NURI</v>
      </c>
      <c r="E4037">
        <v>8565.9431114539839</v>
      </c>
      <c r="F4037">
        <v>0</v>
      </c>
    </row>
    <row r="4038" spans="2:6" ht="15.75" customHeight="1" x14ac:dyDescent="0.25">
      <c r="B4038" t="str">
        <v>Nusa</v>
      </c>
      <c r="C4038" t="str">
        <v>Lending</v>
      </c>
      <c r="D4038" t="str">
        <v>NUSA</v>
      </c>
      <c r="E4038">
        <v>154215.36105144565</v>
      </c>
      <c r="F4038">
        <v>860728.46196974593</v>
      </c>
    </row>
    <row r="4039" spans="2:6" ht="15.75" customHeight="1" x14ac:dyDescent="0.25">
      <c r="B4039" t="str">
        <v>Nutbox</v>
      </c>
      <c r="C4039" t="str">
        <v>Services</v>
      </c>
      <c r="D4039" t="str">
        <v>-</v>
      </c>
      <c r="E4039">
        <v>0</v>
      </c>
      <c r="F4039">
        <v>0</v>
      </c>
    </row>
    <row r="4040" spans="2:6" ht="15.75" customHeight="1" x14ac:dyDescent="0.25">
      <c r="B4040" t="str">
        <v>NX Finance</v>
      </c>
      <c r="C4040" t="str">
        <v>Yield Aggregator</v>
      </c>
      <c r="D4040" t="str">
        <v>-</v>
      </c>
      <c r="E4040">
        <v>2930371.151478101</v>
      </c>
      <c r="F4040">
        <v>0</v>
      </c>
    </row>
    <row r="4041" spans="2:6" ht="15.75" customHeight="1" x14ac:dyDescent="0.25">
      <c r="B4041" t="str">
        <v>NXD Protocol</v>
      </c>
      <c r="C4041" t="str">
        <v>Farm</v>
      </c>
      <c r="D4041" t="str">
        <v>NXD</v>
      </c>
      <c r="E4041">
        <v>0</v>
      </c>
      <c r="F4041">
        <v>0</v>
      </c>
    </row>
    <row r="4042" spans="2:6" ht="15.75" customHeight="1" x14ac:dyDescent="0.25">
      <c r="B4042" t="str">
        <v>NxFi Protocol</v>
      </c>
      <c r="C4042" t="str">
        <v>Lending</v>
      </c>
      <c r="D4042" t="str">
        <v>-</v>
      </c>
      <c r="E4042">
        <v>9633.6745233136899</v>
      </c>
      <c r="F4042">
        <v>0</v>
      </c>
    </row>
    <row r="4043" spans="2:6" ht="15.75" customHeight="1" x14ac:dyDescent="0.25">
      <c r="B4043" t="str">
        <v>Nyke Finance</v>
      </c>
      <c r="C4043" t="str">
        <v>Lending</v>
      </c>
      <c r="D4043" t="str">
        <v>-</v>
      </c>
      <c r="E4043">
        <v>8.6260399262836049</v>
      </c>
      <c r="F4043">
        <v>0</v>
      </c>
    </row>
    <row r="4044" spans="2:6" ht="15.75" customHeight="1" x14ac:dyDescent="0.25">
      <c r="B4044" t="str">
        <v>O.LAB</v>
      </c>
      <c r="C4044" t="str">
        <v>Prediction Market</v>
      </c>
      <c r="D4044" t="str">
        <v>-</v>
      </c>
      <c r="E4044">
        <v>37593.405754597268</v>
      </c>
      <c r="F4044">
        <v>0</v>
      </c>
    </row>
    <row r="4045" spans="2:6" ht="15.75" customHeight="1" x14ac:dyDescent="0.25">
      <c r="B4045" t="str">
        <v>o1.exchange</v>
      </c>
      <c r="C4045" t="str">
        <v>Trading App</v>
      </c>
      <c r="D4045" t="str">
        <v>-</v>
      </c>
      <c r="E4045">
        <v>0</v>
      </c>
      <c r="F4045">
        <v>0</v>
      </c>
    </row>
    <row r="4046" spans="2:6" ht="15.75" customHeight="1" x14ac:dyDescent="0.25">
      <c r="B4046" t="str">
        <v>O2 DAO</v>
      </c>
      <c r="C4046" t="str">
        <v>Reserve Currency</v>
      </c>
      <c r="D4046" t="str">
        <v>OTWO</v>
      </c>
      <c r="E4046">
        <v>0</v>
      </c>
      <c r="F4046">
        <v>0</v>
      </c>
    </row>
    <row r="4047" spans="2:6" ht="15.75" customHeight="1" x14ac:dyDescent="0.25">
      <c r="B4047" t="str">
        <v>O2 Exchange</v>
      </c>
      <c r="C4047" t="str">
        <v>Dexs</v>
      </c>
      <c r="D4047" t="str">
        <v>-</v>
      </c>
      <c r="E4047">
        <v>930100.68573867588</v>
      </c>
      <c r="F4047">
        <v>0</v>
      </c>
    </row>
    <row r="4048" spans="2:6" ht="15.75" customHeight="1" x14ac:dyDescent="0.25">
      <c r="B4048" t="str">
        <v>O3 Swap</v>
      </c>
      <c r="C4048" t="str">
        <v>Cross Chain Bridge</v>
      </c>
      <c r="D4048" t="str">
        <v>O3</v>
      </c>
      <c r="E4048">
        <v>0</v>
      </c>
      <c r="F4048">
        <v>45136.879591976634</v>
      </c>
    </row>
    <row r="4049" spans="2:6" ht="15.75" customHeight="1" x14ac:dyDescent="0.25">
      <c r="B4049" t="str">
        <v>OakFarm</v>
      </c>
      <c r="C4049" t="str">
        <v>Yield</v>
      </c>
      <c r="D4049" t="str">
        <v>OKF</v>
      </c>
      <c r="E4049">
        <v>19.858701097522996</v>
      </c>
      <c r="F4049">
        <v>0</v>
      </c>
    </row>
    <row r="4050" spans="2:6" ht="15.75" customHeight="1" x14ac:dyDescent="0.25">
      <c r="B4050" t="str">
        <v>OAS Jumbo</v>
      </c>
      <c r="C4050" t="str">
        <v>Farm</v>
      </c>
      <c r="D4050" t="str">
        <v>-</v>
      </c>
      <c r="E4050">
        <v>10143.465065525503</v>
      </c>
      <c r="F4050">
        <v>0</v>
      </c>
    </row>
    <row r="4051" spans="2:6" ht="15.75" customHeight="1" x14ac:dyDescent="0.25">
      <c r="B4051" t="str">
        <v>OasisSwap</v>
      </c>
      <c r="C4051" t="str">
        <v>Dexs</v>
      </c>
      <c r="D4051" t="str">
        <v>PSI</v>
      </c>
      <c r="E4051">
        <v>13686.850811515274</v>
      </c>
      <c r="F4051">
        <v>6424.5624882528373</v>
      </c>
    </row>
    <row r="4052" spans="2:6" ht="15.75" customHeight="1" x14ac:dyDescent="0.25">
      <c r="B4052" t="str">
        <v>Oaswap</v>
      </c>
      <c r="C4052" t="str">
        <v>Dexs</v>
      </c>
      <c r="D4052" t="str">
        <v>OAS</v>
      </c>
      <c r="E4052">
        <v>539.0343948922789</v>
      </c>
      <c r="F4052">
        <v>0</v>
      </c>
    </row>
    <row r="4053" spans="2:6" ht="15.75" customHeight="1" x14ac:dyDescent="0.25">
      <c r="B4053" t="str">
        <v>Oasys</v>
      </c>
      <c r="C4053" t="str">
        <v>Gaming</v>
      </c>
      <c r="D4053" t="str">
        <v>OAS</v>
      </c>
      <c r="E4053">
        <v>0</v>
      </c>
      <c r="F4053">
        <v>12064253.982166719</v>
      </c>
    </row>
    <row r="4054" spans="2:6" ht="15.75" customHeight="1" x14ac:dyDescent="0.25">
      <c r="B4054" t="str">
        <v>ObeliskBTC</v>
      </c>
      <c r="C4054" t="str">
        <v>Bridge</v>
      </c>
      <c r="D4054" t="str">
        <v>-</v>
      </c>
      <c r="E4054">
        <v>6199535.0905916896</v>
      </c>
      <c r="F4054">
        <v>0</v>
      </c>
    </row>
    <row r="4055" spans="2:6" ht="15.75" customHeight="1" x14ac:dyDescent="0.25">
      <c r="B4055" t="str">
        <v>Obol</v>
      </c>
      <c r="C4055" t="str">
        <v>Staking Pool</v>
      </c>
      <c r="D4055" t="str">
        <v>OBOL</v>
      </c>
      <c r="E4055">
        <v>1848933209.7511582</v>
      </c>
      <c r="F4055">
        <v>4023830.0696859416</v>
      </c>
    </row>
    <row r="4056" spans="2:6" ht="15.75" customHeight="1" x14ac:dyDescent="0.25">
      <c r="B4056" t="str">
        <v>Obric</v>
      </c>
      <c r="C4056" t="str">
        <v>Dexs</v>
      </c>
      <c r="D4056" t="str">
        <v>-</v>
      </c>
      <c r="E4056">
        <v>2540.340486056708</v>
      </c>
      <c r="F4056">
        <v>0</v>
      </c>
    </row>
    <row r="4057" spans="2:6" ht="15.75" customHeight="1" x14ac:dyDescent="0.25">
      <c r="B4057" t="str">
        <v>Obsidian</v>
      </c>
      <c r="C4057" t="str">
        <v>Dexs</v>
      </c>
      <c r="D4057" t="str">
        <v>-</v>
      </c>
      <c r="E4057">
        <v>263038.5807981937</v>
      </c>
      <c r="F4057">
        <v>0</v>
      </c>
    </row>
    <row r="4058" spans="2:6" ht="15.75" customHeight="1" x14ac:dyDescent="0.25">
      <c r="B4058" t="str">
        <v>OBSwap</v>
      </c>
      <c r="C4058" t="str">
        <v>Dexs</v>
      </c>
      <c r="D4058" t="str">
        <v>OBT</v>
      </c>
      <c r="E4058">
        <v>8.9934793926158746E-2</v>
      </c>
      <c r="F4058">
        <v>0</v>
      </c>
    </row>
    <row r="4059" spans="2:6" ht="15.75" customHeight="1" x14ac:dyDescent="0.25">
      <c r="B4059" t="str">
        <v>OccamX</v>
      </c>
      <c r="C4059" t="str">
        <v>Dexs</v>
      </c>
      <c r="D4059" t="str">
        <v>OCX</v>
      </c>
      <c r="E4059">
        <v>0</v>
      </c>
      <c r="F4059">
        <v>0</v>
      </c>
    </row>
    <row r="4060" spans="2:6" ht="15.75" customHeight="1" x14ac:dyDescent="0.25">
      <c r="B4060" t="str">
        <v>Ocean One</v>
      </c>
      <c r="C4060" t="str">
        <v>Dexs</v>
      </c>
      <c r="D4060" t="str">
        <v>-</v>
      </c>
      <c r="E4060">
        <v>839656.22</v>
      </c>
      <c r="F4060">
        <v>0</v>
      </c>
    </row>
    <row r="4061" spans="2:6" ht="15.75" customHeight="1" x14ac:dyDescent="0.25">
      <c r="B4061" t="str">
        <v>Ocean Point</v>
      </c>
      <c r="C4061" t="str">
        <v>Farm</v>
      </c>
      <c r="D4061" t="str">
        <v>BST</v>
      </c>
      <c r="E4061">
        <v>0</v>
      </c>
      <c r="F4061">
        <v>1504013.049389662</v>
      </c>
    </row>
    <row r="4062" spans="2:6" ht="15.75" customHeight="1" x14ac:dyDescent="0.25">
      <c r="B4062" t="str">
        <v>Oceanos</v>
      </c>
      <c r="C4062" t="str">
        <v>CDP</v>
      </c>
      <c r="D4062" t="str">
        <v>-</v>
      </c>
      <c r="E4062">
        <v>229.21496825210835</v>
      </c>
      <c r="F4062">
        <v>0</v>
      </c>
    </row>
    <row r="4063" spans="2:6" ht="15.75" customHeight="1" x14ac:dyDescent="0.25">
      <c r="B4063" t="str">
        <v>Oceanus</v>
      </c>
      <c r="C4063" t="str">
        <v>Algo-Stables</v>
      </c>
      <c r="D4063" t="str">
        <v>SEA</v>
      </c>
      <c r="E4063">
        <v>0</v>
      </c>
      <c r="F4063">
        <v>0</v>
      </c>
    </row>
    <row r="4064" spans="2:6" ht="15.75" customHeight="1" x14ac:dyDescent="0.25">
      <c r="B4064" t="str">
        <v>Ocelex V1</v>
      </c>
      <c r="C4064" t="str">
        <v>Dexs</v>
      </c>
      <c r="D4064" t="str">
        <v>-</v>
      </c>
      <c r="E4064">
        <v>3016.4252446498153</v>
      </c>
      <c r="F4064">
        <v>0</v>
      </c>
    </row>
    <row r="4065" spans="2:6" ht="15.75" customHeight="1" x14ac:dyDescent="0.25">
      <c r="B4065" t="str">
        <v>Ocelex V2</v>
      </c>
      <c r="C4065" t="str">
        <v>Dexs</v>
      </c>
      <c r="D4065" t="str">
        <v>-</v>
      </c>
      <c r="E4065">
        <v>340968.02220934461</v>
      </c>
      <c r="F4065">
        <v>0</v>
      </c>
    </row>
    <row r="4066" spans="2:6" ht="15.75" customHeight="1" x14ac:dyDescent="0.25">
      <c r="B4066" t="str">
        <v>OcelotDex</v>
      </c>
      <c r="C4066" t="str">
        <v>Dexs</v>
      </c>
      <c r="D4066" t="str">
        <v>-</v>
      </c>
      <c r="E4066">
        <v>6.7232774330636511</v>
      </c>
      <c r="F4066">
        <v>0</v>
      </c>
    </row>
    <row r="4067" spans="2:6" ht="15.75" customHeight="1" x14ac:dyDescent="0.25">
      <c r="B4067" t="str">
        <v>Ociswap Basic</v>
      </c>
      <c r="C4067" t="str">
        <v>Dexs</v>
      </c>
      <c r="D4067" t="str">
        <v>OCI</v>
      </c>
      <c r="E4067">
        <v>59963.526312490132</v>
      </c>
      <c r="F4067">
        <v>0</v>
      </c>
    </row>
    <row r="4068" spans="2:6" ht="15.75" customHeight="1" x14ac:dyDescent="0.25">
      <c r="B4068" t="str">
        <v>Ociswap Precision</v>
      </c>
      <c r="C4068" t="str">
        <v>Dexs</v>
      </c>
      <c r="D4068" t="str">
        <v>OCI</v>
      </c>
      <c r="E4068">
        <v>156699.28082769189</v>
      </c>
      <c r="F4068">
        <v>0</v>
      </c>
    </row>
    <row r="4069" spans="2:6" ht="15.75" customHeight="1" x14ac:dyDescent="0.25">
      <c r="B4069" t="str">
        <v>OCP Finance</v>
      </c>
      <c r="C4069" t="str">
        <v>Lending</v>
      </c>
      <c r="D4069" t="str">
        <v>OCP</v>
      </c>
      <c r="E4069">
        <v>20415.726138638616</v>
      </c>
      <c r="F4069">
        <v>44578.679313263994</v>
      </c>
    </row>
    <row r="4070" spans="2:6" ht="15.75" customHeight="1" x14ac:dyDescent="0.25">
      <c r="B4070" t="str">
        <v>Octane Finance</v>
      </c>
      <c r="C4070" t="str">
        <v>Dexs</v>
      </c>
      <c r="D4070" t="str">
        <v>OCTANE</v>
      </c>
      <c r="E4070">
        <v>1338.9541360926407</v>
      </c>
      <c r="F4070">
        <v>0</v>
      </c>
    </row>
    <row r="4071" spans="2:6" ht="15.75" customHeight="1" x14ac:dyDescent="0.25">
      <c r="B4071" t="str">
        <v>OctoLSD</v>
      </c>
      <c r="C4071" t="str">
        <v>Yield</v>
      </c>
      <c r="D4071" t="str">
        <v>-</v>
      </c>
      <c r="E4071">
        <v>197.22923521796758</v>
      </c>
      <c r="F4071">
        <v>0</v>
      </c>
    </row>
    <row r="4072" spans="2:6" ht="15.75" customHeight="1" x14ac:dyDescent="0.25">
      <c r="B4072" t="str">
        <v>OCTOplace</v>
      </c>
      <c r="C4072" t="str">
        <v>NFT Marketplace</v>
      </c>
      <c r="D4072" t="str">
        <v>GLCR</v>
      </c>
      <c r="E4072">
        <v>1.0765283492465829</v>
      </c>
      <c r="F4072">
        <v>0</v>
      </c>
    </row>
    <row r="4073" spans="2:6" ht="15.75" customHeight="1" x14ac:dyDescent="0.25">
      <c r="B4073" t="str">
        <v>OctoPow Finance</v>
      </c>
      <c r="C4073" t="str">
        <v>Dexs</v>
      </c>
      <c r="D4073" t="str">
        <v>OTP</v>
      </c>
      <c r="E4073">
        <v>4.5940832785812633</v>
      </c>
      <c r="F4073">
        <v>0</v>
      </c>
    </row>
    <row r="4074" spans="2:6" ht="15.75" customHeight="1" x14ac:dyDescent="0.25">
      <c r="B4074" t="str">
        <v>Octopus Finance</v>
      </c>
      <c r="C4074" t="str">
        <v>Yield Aggregator</v>
      </c>
      <c r="D4074" t="str">
        <v>OC</v>
      </c>
      <c r="E4074">
        <v>3.5012747789135582E-5</v>
      </c>
      <c r="F4074">
        <v>0</v>
      </c>
    </row>
    <row r="4075" spans="2:6" ht="15.75" customHeight="1" x14ac:dyDescent="0.25">
      <c r="B4075" t="str">
        <v>Octopus Network</v>
      </c>
      <c r="C4075" t="str">
        <v>Restaking</v>
      </c>
      <c r="D4075" t="str">
        <v>OCT</v>
      </c>
      <c r="E4075">
        <v>0</v>
      </c>
      <c r="F4075">
        <v>2771411.3180164732</v>
      </c>
    </row>
    <row r="4076" spans="2:6" ht="15.75" customHeight="1" x14ac:dyDescent="0.25">
      <c r="B4076" t="str">
        <v>OctoSwap CL</v>
      </c>
      <c r="C4076" t="str">
        <v>Dexs</v>
      </c>
      <c r="D4076" t="str">
        <v>-</v>
      </c>
      <c r="E4076">
        <v>31560.373909411133</v>
      </c>
      <c r="F4076">
        <v>0</v>
      </c>
    </row>
    <row r="4077" spans="2:6" ht="15.75" customHeight="1" x14ac:dyDescent="0.25">
      <c r="B4077" t="str">
        <v>OctoSwap Classic</v>
      </c>
      <c r="C4077" t="str">
        <v>Dexs</v>
      </c>
      <c r="D4077" t="str">
        <v>-</v>
      </c>
      <c r="E4077">
        <v>2115.8545499621296</v>
      </c>
      <c r="F4077">
        <v>0</v>
      </c>
    </row>
    <row r="4078" spans="2:6" ht="15.75" customHeight="1" x14ac:dyDescent="0.25">
      <c r="B4078" t="str">
        <v>Octus Bridge</v>
      </c>
      <c r="C4078" t="str">
        <v>Bridge</v>
      </c>
      <c r="D4078" t="str">
        <v>BRIDGE</v>
      </c>
      <c r="E4078">
        <v>23429028.654593647</v>
      </c>
      <c r="F4078">
        <v>108388.2914552346</v>
      </c>
    </row>
    <row r="4079" spans="2:6" ht="15.75" customHeight="1" x14ac:dyDescent="0.25">
      <c r="B4079" t="str">
        <v>Oddz</v>
      </c>
      <c r="C4079" t="str">
        <v>Options</v>
      </c>
      <c r="D4079" t="str">
        <v>ODDZ</v>
      </c>
      <c r="E4079">
        <v>59185.550739256301</v>
      </c>
      <c r="F4079">
        <v>38242.681927212798</v>
      </c>
    </row>
    <row r="4080" spans="2:6" ht="15.75" customHeight="1" x14ac:dyDescent="0.25">
      <c r="B4080" t="str">
        <v>ODOS</v>
      </c>
      <c r="C4080" t="str">
        <v>DEX Aggregator</v>
      </c>
      <c r="D4080" t="str">
        <v>ODOS</v>
      </c>
      <c r="E4080">
        <v>0</v>
      </c>
      <c r="F4080">
        <v>3795466.9685807084</v>
      </c>
    </row>
    <row r="4081" spans="2:6" ht="15.75" customHeight="1" x14ac:dyDescent="0.25">
      <c r="B4081" t="str">
        <v>Odyssey Finance</v>
      </c>
      <c r="C4081" t="str">
        <v>Yield Aggregator</v>
      </c>
      <c r="D4081" t="str">
        <v>-</v>
      </c>
      <c r="E4081">
        <v>12440158</v>
      </c>
      <c r="F4081">
        <v>0</v>
      </c>
    </row>
    <row r="4082" spans="2:6" ht="15.75" customHeight="1" x14ac:dyDescent="0.25">
      <c r="B4082" t="str">
        <v>Official Trump</v>
      </c>
      <c r="C4082" t="str">
        <v>Meme</v>
      </c>
      <c r="D4082" t="str">
        <v>TRUMP</v>
      </c>
      <c r="E4082">
        <v>0</v>
      </c>
      <c r="F4082">
        <v>1075380486.9266548</v>
      </c>
    </row>
    <row r="4083" spans="2:6" ht="15.75" customHeight="1" x14ac:dyDescent="0.25">
      <c r="B4083" t="str">
        <v>OGX</v>
      </c>
      <c r="C4083" t="str">
        <v>Synthetics</v>
      </c>
      <c r="D4083" t="str">
        <v>OGX</v>
      </c>
      <c r="E4083">
        <v>0</v>
      </c>
      <c r="F4083">
        <v>0</v>
      </c>
    </row>
    <row r="4084" spans="2:6" ht="15.75" customHeight="1" x14ac:dyDescent="0.25">
      <c r="B4084" t="str">
        <v>Oh Finance</v>
      </c>
      <c r="C4084" t="str">
        <v>Yield</v>
      </c>
      <c r="D4084" t="str">
        <v>OH</v>
      </c>
      <c r="E4084">
        <v>3019.4227085506045</v>
      </c>
      <c r="F4084">
        <v>0</v>
      </c>
    </row>
    <row r="4085" spans="2:6" ht="15.75" customHeight="1" x14ac:dyDescent="0.25">
      <c r="B4085" t="str">
        <v>OHMPOW</v>
      </c>
      <c r="C4085" t="str">
        <v>Dexs</v>
      </c>
      <c r="D4085" t="str">
        <v>OHMW</v>
      </c>
      <c r="E4085">
        <v>0</v>
      </c>
      <c r="F4085">
        <v>0</v>
      </c>
    </row>
    <row r="4086" spans="2:6" ht="15.75" customHeight="1" x14ac:dyDescent="0.25">
      <c r="B4086" t="str">
        <v>OhMyCrypt</v>
      </c>
      <c r="C4086" t="str">
        <v>Dexs</v>
      </c>
      <c r="D4086" t="str">
        <v>-</v>
      </c>
      <c r="E4086">
        <v>11.219369243408398</v>
      </c>
      <c r="F4086">
        <v>0</v>
      </c>
    </row>
    <row r="4087" spans="2:6" ht="15.75" customHeight="1" x14ac:dyDescent="0.25">
      <c r="B4087" t="str">
        <v>Oin Finance</v>
      </c>
      <c r="C4087" t="str">
        <v>Algo-Stables</v>
      </c>
      <c r="D4087" t="str">
        <v>OIN</v>
      </c>
      <c r="E4087">
        <v>35699.346376981339</v>
      </c>
      <c r="F4087">
        <v>372815.90990761202</v>
      </c>
    </row>
    <row r="4088" spans="2:6" ht="15.75" customHeight="1" x14ac:dyDescent="0.25">
      <c r="B4088" t="str">
        <v>OKC Liquid Staking</v>
      </c>
      <c r="C4088" t="str">
        <v>Liquid Staking</v>
      </c>
      <c r="D4088" t="str">
        <v>-</v>
      </c>
      <c r="E4088">
        <v>0</v>
      </c>
      <c r="F4088">
        <v>0</v>
      </c>
    </row>
    <row r="4089" spans="2:6" ht="15.75" customHeight="1" x14ac:dyDescent="0.25">
      <c r="B4089" t="str">
        <v>OKCSwap</v>
      </c>
      <c r="C4089" t="str">
        <v>Dexs</v>
      </c>
      <c r="D4089" t="str">
        <v>-</v>
      </c>
      <c r="E4089">
        <v>69019.599631116303</v>
      </c>
      <c r="F4089">
        <v>0</v>
      </c>
    </row>
    <row r="4090" spans="2:6" ht="15.75" customHeight="1" x14ac:dyDescent="0.25">
      <c r="B4090" t="str">
        <v>OkieLaunch</v>
      </c>
      <c r="C4090" t="str">
        <v>Launchpad</v>
      </c>
      <c r="D4090" t="str">
        <v>-</v>
      </c>
      <c r="E4090">
        <v>842.70879906834148</v>
      </c>
      <c r="F4090">
        <v>0</v>
      </c>
    </row>
    <row r="4091" spans="2:6" ht="15.75" customHeight="1" x14ac:dyDescent="0.25">
      <c r="B4091" t="str">
        <v>OkieSwap Stableswap</v>
      </c>
      <c r="C4091" t="str">
        <v>Dexs</v>
      </c>
      <c r="D4091" t="str">
        <v>-</v>
      </c>
      <c r="E4091">
        <v>31233.180578622658</v>
      </c>
      <c r="F4091">
        <v>0</v>
      </c>
    </row>
    <row r="4092" spans="2:6" ht="15.75" customHeight="1" x14ac:dyDescent="0.25">
      <c r="B4092" t="str">
        <v>OkieSwap V2</v>
      </c>
      <c r="C4092" t="str">
        <v>Dexs</v>
      </c>
      <c r="D4092" t="str">
        <v>-</v>
      </c>
      <c r="E4092">
        <v>108758.26824678699</v>
      </c>
      <c r="F4092">
        <v>0</v>
      </c>
    </row>
    <row r="4093" spans="2:6" ht="15.75" customHeight="1" x14ac:dyDescent="0.25">
      <c r="B4093" t="str">
        <v>OkieSwap V3</v>
      </c>
      <c r="C4093" t="str">
        <v>Dexs</v>
      </c>
      <c r="D4093" t="str">
        <v>-</v>
      </c>
      <c r="E4093">
        <v>181913.48754472451</v>
      </c>
      <c r="F4093">
        <v>0</v>
      </c>
    </row>
    <row r="4094" spans="2:6" ht="15.75" customHeight="1" x14ac:dyDescent="0.25">
      <c r="B4094" t="str">
        <v>Okto Wallet Perps</v>
      </c>
      <c r="C4094" t="str">
        <v>Interface</v>
      </c>
      <c r="D4094" t="str">
        <v>-</v>
      </c>
      <c r="E4094">
        <v>0</v>
      </c>
      <c r="F4094">
        <v>0</v>
      </c>
    </row>
    <row r="4095" spans="2:6" ht="15.75" customHeight="1" x14ac:dyDescent="0.25">
      <c r="B4095" t="str">
        <v>OKX Bridge</v>
      </c>
      <c r="C4095" t="str">
        <v>Bridge Aggregator</v>
      </c>
      <c r="D4095" t="str">
        <v>-</v>
      </c>
      <c r="E4095">
        <v>0</v>
      </c>
      <c r="F4095">
        <v>0</v>
      </c>
    </row>
    <row r="4096" spans="2:6" ht="15.75" customHeight="1" x14ac:dyDescent="0.25">
      <c r="B4096" t="str">
        <v>OKX Swap</v>
      </c>
      <c r="C4096" t="str">
        <v>DEX Aggregator</v>
      </c>
      <c r="D4096" t="str">
        <v>-</v>
      </c>
      <c r="E4096">
        <v>0</v>
      </c>
      <c r="F4096">
        <v>0</v>
      </c>
    </row>
    <row r="4097" spans="2:6" ht="15.75" customHeight="1" x14ac:dyDescent="0.25">
      <c r="B4097" t="str">
        <v>OKX xBTC</v>
      </c>
      <c r="C4097" t="str">
        <v>Bridge</v>
      </c>
      <c r="D4097" t="str">
        <v>-</v>
      </c>
      <c r="E4097">
        <v>74770380.832530394</v>
      </c>
      <c r="F4097">
        <v>0</v>
      </c>
    </row>
    <row r="4098" spans="2:6" ht="15.75" customHeight="1" x14ac:dyDescent="0.25">
      <c r="B4098" t="str">
        <v>Olive</v>
      </c>
      <c r="C4098" t="str">
        <v>Options Vault</v>
      </c>
      <c r="D4098" t="str">
        <v>-</v>
      </c>
      <c r="E4098">
        <v>52596.731020041385</v>
      </c>
      <c r="F4098">
        <v>0</v>
      </c>
    </row>
    <row r="4099" spans="2:6" ht="15.75" customHeight="1" x14ac:dyDescent="0.25">
      <c r="B4099" t="str">
        <v>Olive Cash</v>
      </c>
      <c r="C4099" t="str">
        <v>Yield</v>
      </c>
      <c r="D4099" t="str">
        <v>OLIVE</v>
      </c>
      <c r="E4099">
        <v>127940.67050743563</v>
      </c>
      <c r="F4099">
        <v>37042.286876095648</v>
      </c>
    </row>
    <row r="4100" spans="2:6" ht="15.75" customHeight="1" x14ac:dyDescent="0.25">
      <c r="B4100" t="str">
        <v>Olive Network</v>
      </c>
      <c r="C4100" t="str">
        <v>Farm</v>
      </c>
      <c r="D4100" t="str">
        <v>-</v>
      </c>
      <c r="E4100">
        <v>139984.66956619438</v>
      </c>
      <c r="F4100">
        <v>0</v>
      </c>
    </row>
    <row r="4101" spans="2:6" ht="15.75" customHeight="1" x14ac:dyDescent="0.25">
      <c r="B4101" t="str">
        <v>OliveDAO</v>
      </c>
      <c r="C4101" t="str">
        <v>Yield</v>
      </c>
      <c r="D4101" t="str">
        <v>-</v>
      </c>
      <c r="E4101">
        <v>13977.028136757261</v>
      </c>
      <c r="F4101">
        <v>0</v>
      </c>
    </row>
    <row r="4102" spans="2:6" ht="15.75" customHeight="1" x14ac:dyDescent="0.25">
      <c r="B4102" t="str">
        <v>OlympulseX</v>
      </c>
      <c r="C4102" t="str">
        <v>Reserve Currency</v>
      </c>
      <c r="D4102" t="str">
        <v>SEX</v>
      </c>
      <c r="E4102">
        <v>0</v>
      </c>
      <c r="F4102">
        <v>0</v>
      </c>
    </row>
    <row r="4103" spans="2:6" ht="15.75" customHeight="1" x14ac:dyDescent="0.25">
      <c r="B4103" t="str">
        <v>Olympus DAO</v>
      </c>
      <c r="C4103" t="str">
        <v>Reserve Currency</v>
      </c>
      <c r="D4103" t="str">
        <v>OHM</v>
      </c>
      <c r="E4103">
        <v>0</v>
      </c>
      <c r="F4103">
        <v>354377981.91400999</v>
      </c>
    </row>
    <row r="4104" spans="2:6" ht="15.75" customHeight="1" x14ac:dyDescent="0.25">
      <c r="B4104" t="str">
        <v>Olympus Finance</v>
      </c>
      <c r="C4104" t="str">
        <v>Algo-Stables</v>
      </c>
      <c r="D4104" t="str">
        <v>THERMES</v>
      </c>
      <c r="E4104">
        <v>0</v>
      </c>
      <c r="F4104">
        <v>0</v>
      </c>
    </row>
    <row r="4105" spans="2:6" ht="15.75" customHeight="1" x14ac:dyDescent="0.25">
      <c r="B4105" t="str">
        <v>Omax Swap</v>
      </c>
      <c r="C4105" t="str">
        <v>Dexs</v>
      </c>
      <c r="D4105" t="str">
        <v>-</v>
      </c>
      <c r="E4105">
        <v>13534.779629091674</v>
      </c>
      <c r="F4105">
        <v>0</v>
      </c>
    </row>
    <row r="4106" spans="2:6" ht="15.75" customHeight="1" x14ac:dyDescent="0.25">
      <c r="B4106" t="str">
        <v>Omega</v>
      </c>
      <c r="C4106" t="str">
        <v>Leveraged Farming</v>
      </c>
      <c r="D4106" t="str">
        <v>-</v>
      </c>
      <c r="E4106">
        <v>13567.301874463088</v>
      </c>
      <c r="F4106">
        <v>0</v>
      </c>
    </row>
    <row r="4107" spans="2:6" ht="15.75" customHeight="1" x14ac:dyDescent="0.25">
      <c r="B4107" t="str">
        <v>Omicron</v>
      </c>
      <c r="C4107" t="str">
        <v>Reserve Currency</v>
      </c>
      <c r="D4107" t="str">
        <v>OMIC</v>
      </c>
      <c r="E4107">
        <v>0</v>
      </c>
      <c r="F4107">
        <v>0</v>
      </c>
    </row>
    <row r="4108" spans="2:6" ht="15.75" customHeight="1" x14ac:dyDescent="0.25">
      <c r="B4108" t="str">
        <v>Omm</v>
      </c>
      <c r="C4108" t="str">
        <v>Lending</v>
      </c>
      <c r="D4108" t="str">
        <v>OMM</v>
      </c>
      <c r="E4108">
        <v>150405.42025776103</v>
      </c>
      <c r="F4108">
        <v>0</v>
      </c>
    </row>
    <row r="4109" spans="2:6" ht="15.75" customHeight="1" x14ac:dyDescent="0.25">
      <c r="B4109" t="str">
        <v>Omni Exchange Flux</v>
      </c>
      <c r="C4109" t="str">
        <v>Dexs</v>
      </c>
      <c r="D4109" t="str">
        <v>OMNI</v>
      </c>
      <c r="E4109">
        <v>1171.1600915088598</v>
      </c>
      <c r="F4109">
        <v>0</v>
      </c>
    </row>
    <row r="4110" spans="2:6" ht="15.75" customHeight="1" x14ac:dyDescent="0.25">
      <c r="B4110" t="str">
        <v>Omni Exchange V2</v>
      </c>
      <c r="C4110" t="str">
        <v>Dexs</v>
      </c>
      <c r="D4110" t="str">
        <v>OMNI</v>
      </c>
      <c r="E4110">
        <v>18011.311049094118</v>
      </c>
      <c r="F4110">
        <v>0</v>
      </c>
    </row>
    <row r="4111" spans="2:6" ht="15.75" customHeight="1" x14ac:dyDescent="0.25">
      <c r="B4111" t="str">
        <v>Omni Exchange V3</v>
      </c>
      <c r="C4111" t="str">
        <v>Dexs</v>
      </c>
      <c r="D4111" t="str">
        <v>OMNI</v>
      </c>
      <c r="E4111">
        <v>182170.95339959121</v>
      </c>
      <c r="F4111">
        <v>0</v>
      </c>
    </row>
    <row r="4112" spans="2:6" ht="15.75" customHeight="1" x14ac:dyDescent="0.25">
      <c r="B4112" t="str">
        <v>Omni Liquid Staking</v>
      </c>
      <c r="C4112" t="str">
        <v>Liquid Staking</v>
      </c>
      <c r="D4112" t="str">
        <v>-</v>
      </c>
      <c r="E4112">
        <v>506740.64203338546</v>
      </c>
      <c r="F4112">
        <v>0</v>
      </c>
    </row>
    <row r="4113" spans="2:6" ht="15.75" customHeight="1" x14ac:dyDescent="0.25">
      <c r="B4113" t="str">
        <v>Omni Protocol</v>
      </c>
      <c r="C4113" t="str">
        <v>Lending</v>
      </c>
      <c r="D4113" t="str">
        <v>-</v>
      </c>
      <c r="E4113">
        <v>24.71523039619046</v>
      </c>
      <c r="F4113">
        <v>0</v>
      </c>
    </row>
    <row r="4114" spans="2:6" ht="15.75" customHeight="1" x14ac:dyDescent="0.25">
      <c r="B4114" t="str">
        <v>OmniBTC</v>
      </c>
      <c r="C4114" t="str">
        <v>Lending</v>
      </c>
      <c r="D4114" t="str">
        <v>-</v>
      </c>
      <c r="E4114">
        <v>2848329.7733664187</v>
      </c>
      <c r="F4114">
        <v>0</v>
      </c>
    </row>
    <row r="4115" spans="2:6" ht="15.75" customHeight="1" x14ac:dyDescent="0.25">
      <c r="B4115" t="str">
        <v>Omnidex Lend</v>
      </c>
      <c r="C4115" t="str">
        <v>Lending</v>
      </c>
      <c r="D4115" t="str">
        <v>CHARM</v>
      </c>
      <c r="E4115">
        <v>1.6333459164284097E-3</v>
      </c>
      <c r="F4115">
        <v>0</v>
      </c>
    </row>
    <row r="4116" spans="2:6" ht="15.75" customHeight="1" x14ac:dyDescent="0.25">
      <c r="B4116" t="str">
        <v>OmniDex Perpetuals</v>
      </c>
      <c r="C4116" t="str">
        <v>Derivatives</v>
      </c>
      <c r="D4116" t="str">
        <v>CHARM</v>
      </c>
      <c r="E4116">
        <v>139.0522118867691</v>
      </c>
      <c r="F4116">
        <v>0</v>
      </c>
    </row>
    <row r="4117" spans="2:6" ht="15.75" customHeight="1" x14ac:dyDescent="0.25">
      <c r="B4117" t="str">
        <v>OmniDex Swap</v>
      </c>
      <c r="C4117" t="str">
        <v>Dexs</v>
      </c>
      <c r="D4117" t="str">
        <v>CHARM</v>
      </c>
      <c r="E4117">
        <v>896.15819676803949</v>
      </c>
      <c r="F4117">
        <v>0</v>
      </c>
    </row>
    <row r="4118" spans="2:6" ht="15.75" customHeight="1" x14ac:dyDescent="0.25">
      <c r="B4118" t="str">
        <v>Omnidrome</v>
      </c>
      <c r="C4118" t="str">
        <v>Dexs</v>
      </c>
      <c r="D4118" t="str">
        <v>OMNI</v>
      </c>
      <c r="E4118">
        <v>4048.1685521358854</v>
      </c>
      <c r="F4118">
        <v>0</v>
      </c>
    </row>
    <row r="4119" spans="2:6" ht="15.75" customHeight="1" x14ac:dyDescent="0.25">
      <c r="B4119" t="str">
        <v>OmniHub</v>
      </c>
      <c r="C4119" t="str">
        <v>NFT Marketplace</v>
      </c>
      <c r="D4119" t="str">
        <v>-</v>
      </c>
      <c r="E4119">
        <v>0</v>
      </c>
      <c r="F4119">
        <v>0</v>
      </c>
    </row>
    <row r="4120" spans="2:6" ht="15.75" customHeight="1" x14ac:dyDescent="0.25">
      <c r="B4120" t="str">
        <v>Omnipool</v>
      </c>
      <c r="C4120" t="str">
        <v>Liquid Staking</v>
      </c>
      <c r="D4120" t="str">
        <v>-</v>
      </c>
      <c r="E4120">
        <v>656.41947504310042</v>
      </c>
      <c r="F4120">
        <v>0</v>
      </c>
    </row>
    <row r="4121" spans="2:6" ht="15.75" customHeight="1" x14ac:dyDescent="0.25">
      <c r="B4121" t="str">
        <v>OmniSwap</v>
      </c>
      <c r="C4121" t="str">
        <v>Dexs</v>
      </c>
      <c r="D4121" t="str">
        <v>-</v>
      </c>
      <c r="E4121">
        <v>89.305117557477033</v>
      </c>
      <c r="F4121">
        <v>0</v>
      </c>
    </row>
    <row r="4122" spans="2:6" ht="15.75" customHeight="1" x14ac:dyDescent="0.25">
      <c r="B4122" t="str">
        <v>OmniYield</v>
      </c>
      <c r="C4122" t="str">
        <v>Yield Aggregator</v>
      </c>
      <c r="D4122" t="str">
        <v>-</v>
      </c>
      <c r="E4122">
        <v>2844993.115873002</v>
      </c>
      <c r="F4122">
        <v>0</v>
      </c>
    </row>
    <row r="4123" spans="2:6" ht="15.75" customHeight="1" x14ac:dyDescent="0.25">
      <c r="B4123" t="str">
        <v>OMT Finance</v>
      </c>
      <c r="C4123" t="str">
        <v>Derivatives</v>
      </c>
      <c r="D4123" t="str">
        <v>OMT</v>
      </c>
      <c r="E4123">
        <v>0</v>
      </c>
      <c r="F4123">
        <v>0</v>
      </c>
    </row>
    <row r="4124" spans="2:6" ht="15.75" customHeight="1" x14ac:dyDescent="0.25">
      <c r="B4124" t="str">
        <v>On-Chain Check-in</v>
      </c>
      <c r="C4124" t="str">
        <v>Gaming</v>
      </c>
      <c r="D4124" t="str">
        <v>-</v>
      </c>
      <c r="E4124">
        <v>0</v>
      </c>
      <c r="F4124">
        <v>0</v>
      </c>
    </row>
    <row r="4125" spans="2:6" ht="15.75" customHeight="1" x14ac:dyDescent="0.25">
      <c r="B4125" t="str">
        <v>onAVAX</v>
      </c>
      <c r="C4125" t="str">
        <v>Dexs</v>
      </c>
      <c r="D4125" t="str">
        <v>OVX</v>
      </c>
      <c r="E4125">
        <v>633.63638511070053</v>
      </c>
      <c r="F4125">
        <v>0</v>
      </c>
    </row>
    <row r="4126" spans="2:6" ht="15.75" customHeight="1" x14ac:dyDescent="0.25">
      <c r="B4126" t="str">
        <v>Onchain Trade</v>
      </c>
      <c r="C4126" t="str">
        <v>Derivatives</v>
      </c>
      <c r="D4126" t="str">
        <v>OT</v>
      </c>
      <c r="E4126">
        <v>41368.047296036151</v>
      </c>
      <c r="F4126">
        <v>0</v>
      </c>
    </row>
    <row r="4127" spans="2:6" ht="15.75" customHeight="1" x14ac:dyDescent="0.25">
      <c r="B4127" t="str">
        <v>OnChainGM</v>
      </c>
      <c r="C4127" t="str">
        <v>Services</v>
      </c>
      <c r="D4127" t="str">
        <v>-</v>
      </c>
      <c r="E4127">
        <v>0</v>
      </c>
      <c r="F4127">
        <v>0</v>
      </c>
    </row>
    <row r="4128" spans="2:6" ht="15.75" customHeight="1" x14ac:dyDescent="0.25">
      <c r="B4128" t="str">
        <v>Ondo Global Markets</v>
      </c>
      <c r="C4128" t="str">
        <v>RWA</v>
      </c>
      <c r="D4128" t="str">
        <v>ONDO</v>
      </c>
      <c r="E4128">
        <v>460945890.59932214</v>
      </c>
      <c r="F4128">
        <v>0</v>
      </c>
    </row>
    <row r="4129" spans="2:6" ht="15.75" customHeight="1" x14ac:dyDescent="0.25">
      <c r="B4129" t="str">
        <v>Ondo v1 (Legacy)</v>
      </c>
      <c r="C4129" t="str">
        <v>Yield</v>
      </c>
      <c r="D4129" t="str">
        <v>-</v>
      </c>
      <c r="E4129">
        <v>0</v>
      </c>
      <c r="F4129">
        <v>0</v>
      </c>
    </row>
    <row r="4130" spans="2:6" ht="15.75" customHeight="1" x14ac:dyDescent="0.25">
      <c r="B4130" t="str">
        <v>Ondo Yield Assets</v>
      </c>
      <c r="C4130" t="str">
        <v>RWA</v>
      </c>
      <c r="D4130" t="str">
        <v>ONDO</v>
      </c>
      <c r="E4130">
        <v>1526163165.6852198</v>
      </c>
      <c r="F4130">
        <v>0</v>
      </c>
    </row>
    <row r="4131" spans="2:6" ht="15.75" customHeight="1" x14ac:dyDescent="0.25">
      <c r="B4131" t="str">
        <v>One Cash</v>
      </c>
      <c r="C4131" t="str">
        <v>Yield</v>
      </c>
      <c r="D4131" t="str">
        <v>ONC</v>
      </c>
      <c r="E4131">
        <v>0</v>
      </c>
      <c r="F4131">
        <v>37326.100697034271</v>
      </c>
    </row>
    <row r="4132" spans="2:6" ht="15.75" customHeight="1" x14ac:dyDescent="0.25">
      <c r="B4132" t="str">
        <v>One Dex</v>
      </c>
      <c r="C4132" t="str">
        <v>Dexs</v>
      </c>
      <c r="D4132" t="str">
        <v>ONE</v>
      </c>
      <c r="E4132">
        <v>234999.37124083139</v>
      </c>
      <c r="F4132">
        <v>1189485.5952057061</v>
      </c>
    </row>
    <row r="4133" spans="2:6" ht="15.75" customHeight="1" x14ac:dyDescent="0.25">
      <c r="B4133" t="str">
        <v>One guy Finance</v>
      </c>
      <c r="C4133" t="str">
        <v>Prediction Market</v>
      </c>
      <c r="D4133" t="str">
        <v>-</v>
      </c>
      <c r="E4133">
        <v>0</v>
      </c>
      <c r="F4133">
        <v>0</v>
      </c>
    </row>
    <row r="4134" spans="2:6" ht="15.75" customHeight="1" x14ac:dyDescent="0.25">
      <c r="B4134" t="str">
        <v>OneDAO Finance</v>
      </c>
      <c r="C4134" t="str">
        <v>Reserve Currency</v>
      </c>
      <c r="D4134" t="str">
        <v>ODAO</v>
      </c>
      <c r="E4134">
        <v>0</v>
      </c>
      <c r="F4134">
        <v>0</v>
      </c>
    </row>
    <row r="4135" spans="2:6" ht="15.75" customHeight="1" x14ac:dyDescent="0.25">
      <c r="B4135" t="str">
        <v>OneDollarDCAE</v>
      </c>
      <c r="C4135" t="str">
        <v>DCA Tools</v>
      </c>
      <c r="D4135" t="str">
        <v>DCAE</v>
      </c>
      <c r="E4135">
        <v>119.20617931932416</v>
      </c>
      <c r="F4135">
        <v>0</v>
      </c>
    </row>
    <row r="4136" spans="2:6" ht="15.75" customHeight="1" x14ac:dyDescent="0.25">
      <c r="B4136" t="str">
        <v>OnePunchSwap</v>
      </c>
      <c r="C4136" t="str">
        <v>Dexs</v>
      </c>
      <c r="D4136" t="str">
        <v>-</v>
      </c>
      <c r="E4136">
        <v>0</v>
      </c>
      <c r="F4136">
        <v>0</v>
      </c>
    </row>
    <row r="4137" spans="2:6" ht="15.75" customHeight="1" x14ac:dyDescent="0.25">
      <c r="B4137" t="str">
        <v>OneRing V1</v>
      </c>
      <c r="C4137" t="str">
        <v>Yield</v>
      </c>
      <c r="D4137" t="str">
        <v>RING</v>
      </c>
      <c r="E4137">
        <v>4651.2595352873486</v>
      </c>
      <c r="F4137">
        <v>35486.075928004189</v>
      </c>
    </row>
    <row r="4138" spans="2:6" ht="15.75" customHeight="1" x14ac:dyDescent="0.25">
      <c r="B4138" t="str">
        <v>OneRing V2</v>
      </c>
      <c r="C4138" t="str">
        <v>Yield</v>
      </c>
      <c r="D4138" t="str">
        <v>RING</v>
      </c>
      <c r="E4138">
        <v>0</v>
      </c>
      <c r="F4138">
        <v>0</v>
      </c>
    </row>
    <row r="4139" spans="2:6" ht="15.75" customHeight="1" x14ac:dyDescent="0.25">
      <c r="B4139" t="str">
        <v>OneSwap</v>
      </c>
      <c r="C4139" t="str">
        <v>Dexs</v>
      </c>
      <c r="D4139" t="str">
        <v>ONES</v>
      </c>
      <c r="E4139">
        <v>385139.86815209541</v>
      </c>
      <c r="F4139">
        <v>1750361.9465908713</v>
      </c>
    </row>
    <row r="4140" spans="2:6" ht="15.75" customHeight="1" x14ac:dyDescent="0.25">
      <c r="B4140" t="str">
        <v>Oni Exchange</v>
      </c>
      <c r="C4140" t="str">
        <v>Dexs</v>
      </c>
      <c r="D4140" t="str">
        <v>ONI</v>
      </c>
      <c r="E4140">
        <v>1921.6257424978517</v>
      </c>
      <c r="F4140">
        <v>0</v>
      </c>
    </row>
    <row r="4141" spans="2:6" ht="15.75" customHeight="1" x14ac:dyDescent="0.25">
      <c r="B4141" t="str">
        <v>Onino Farm</v>
      </c>
      <c r="C4141" t="str">
        <v>Farm</v>
      </c>
      <c r="D4141" t="str">
        <v>ONI</v>
      </c>
      <c r="E4141">
        <v>0</v>
      </c>
      <c r="F4141">
        <v>704280.55619968462</v>
      </c>
    </row>
    <row r="4142" spans="2:6" ht="15.75" customHeight="1" x14ac:dyDescent="0.25">
      <c r="B4142" t="str">
        <v>OnionSwap</v>
      </c>
      <c r="C4142" t="str">
        <v>Dexs</v>
      </c>
      <c r="D4142" t="str">
        <v>-</v>
      </c>
      <c r="E4142">
        <v>1.047485443864933E-6</v>
      </c>
      <c r="F4142">
        <v>0</v>
      </c>
    </row>
    <row r="4143" spans="2:6" ht="15.75" customHeight="1" x14ac:dyDescent="0.25">
      <c r="B4143" t="str">
        <v>Only1</v>
      </c>
      <c r="C4143" t="str">
        <v>NFT Marketplace</v>
      </c>
      <c r="D4143" t="str">
        <v>LIKE</v>
      </c>
      <c r="E4143">
        <v>0</v>
      </c>
      <c r="F4143">
        <v>1080612.0945162785</v>
      </c>
    </row>
    <row r="4144" spans="2:6" ht="15.75" customHeight="1" x14ac:dyDescent="0.25">
      <c r="B4144" t="str">
        <v>OnRe</v>
      </c>
      <c r="C4144" t="str">
        <v>RWA</v>
      </c>
      <c r="D4144" t="str">
        <v>-</v>
      </c>
      <c r="E4144">
        <v>71798627.707012862</v>
      </c>
      <c r="F4144">
        <v>0</v>
      </c>
    </row>
    <row r="4145" spans="2:6" ht="15.75" customHeight="1" x14ac:dyDescent="0.25">
      <c r="B4145" t="str">
        <v>Onsen Swap</v>
      </c>
      <c r="C4145" t="str">
        <v>Dexs</v>
      </c>
      <c r="D4145" t="str">
        <v>ON</v>
      </c>
      <c r="E4145">
        <v>23657.901705217264</v>
      </c>
      <c r="F4145">
        <v>0</v>
      </c>
    </row>
    <row r="4146" spans="2:6" ht="15.75" customHeight="1" x14ac:dyDescent="0.25">
      <c r="B4146" t="str">
        <v>OnX Finance</v>
      </c>
      <c r="C4146" t="str">
        <v>Yield Aggregator</v>
      </c>
      <c r="D4146" t="str">
        <v>ONX</v>
      </c>
      <c r="E4146">
        <v>402328.18017971737</v>
      </c>
      <c r="F4146">
        <v>46402.62676718337</v>
      </c>
    </row>
    <row r="4147" spans="2:6" ht="15.75" customHeight="1" x14ac:dyDescent="0.25">
      <c r="B4147" t="str">
        <v>Onyx Protocol</v>
      </c>
      <c r="C4147" t="str">
        <v>Lending</v>
      </c>
      <c r="D4147" t="str">
        <v>XCN</v>
      </c>
      <c r="E4147">
        <v>66111.480184826985</v>
      </c>
      <c r="F4147">
        <v>0</v>
      </c>
    </row>
    <row r="4148" spans="2:6" ht="15.75" customHeight="1" x14ac:dyDescent="0.25">
      <c r="B4148" t="str">
        <v>Onyx V2</v>
      </c>
      <c r="C4148" t="str">
        <v>Lending</v>
      </c>
      <c r="D4148" t="str">
        <v>XCN</v>
      </c>
      <c r="E4148">
        <v>17.370446977270813</v>
      </c>
      <c r="F4148">
        <v>0</v>
      </c>
    </row>
    <row r="4149" spans="2:6" ht="15.75" customHeight="1" x14ac:dyDescent="0.25">
      <c r="B4149" t="str">
        <v>OnyxDAO</v>
      </c>
      <c r="C4149" t="str">
        <v>Farm</v>
      </c>
      <c r="D4149" t="str">
        <v>ONYX</v>
      </c>
      <c r="E4149">
        <v>1590.6829846983285</v>
      </c>
      <c r="F4149">
        <v>0</v>
      </c>
    </row>
    <row r="4150" spans="2:6" ht="15.75" customHeight="1" x14ac:dyDescent="0.25">
      <c r="B4150" t="str">
        <v>Ooga Booga</v>
      </c>
      <c r="C4150" t="str">
        <v>DEX Aggregator</v>
      </c>
      <c r="D4150" t="str">
        <v>OOGA</v>
      </c>
      <c r="E4150">
        <v>0</v>
      </c>
      <c r="F4150">
        <v>115045.76124705595</v>
      </c>
    </row>
    <row r="4151" spans="2:6" ht="15.75" customHeight="1" x14ac:dyDescent="0.25">
      <c r="B4151" t="str">
        <v>OOIA</v>
      </c>
      <c r="C4151" t="str">
        <v>NFT Marketplace</v>
      </c>
      <c r="D4151" t="str">
        <v>-</v>
      </c>
      <c r="E4151">
        <v>0</v>
      </c>
      <c r="F4151">
        <v>0</v>
      </c>
    </row>
    <row r="4152" spans="2:6" ht="15.75" customHeight="1" x14ac:dyDescent="0.25">
      <c r="B4152" t="str">
        <v>Ooki</v>
      </c>
      <c r="C4152" t="str">
        <v>Lending</v>
      </c>
      <c r="D4152" t="str">
        <v>OOKI</v>
      </c>
      <c r="E4152">
        <v>27516.326528655511</v>
      </c>
      <c r="F4152">
        <v>2.4294087292206886E-2</v>
      </c>
    </row>
    <row r="4153" spans="2:6" ht="15.75" customHeight="1" x14ac:dyDescent="0.25">
      <c r="B4153" t="str">
        <v>OolongSwap</v>
      </c>
      <c r="C4153" t="str">
        <v>Dexs</v>
      </c>
      <c r="D4153" t="str">
        <v>OLO</v>
      </c>
      <c r="E4153">
        <v>307309.82663394342</v>
      </c>
      <c r="F4153">
        <v>118625.96313790591</v>
      </c>
    </row>
    <row r="4154" spans="2:6" ht="15.75" customHeight="1" x14ac:dyDescent="0.25">
      <c r="B4154" t="str">
        <v>OortSwap</v>
      </c>
      <c r="C4154" t="str">
        <v>Dexs</v>
      </c>
      <c r="D4154" t="str">
        <v>OORT</v>
      </c>
      <c r="E4154">
        <v>1257.848659574257</v>
      </c>
      <c r="F4154">
        <v>0</v>
      </c>
    </row>
    <row r="4155" spans="2:6" ht="15.75" customHeight="1" x14ac:dyDescent="0.25">
      <c r="B4155" t="str">
        <v>Opal DeFi</v>
      </c>
      <c r="C4155" t="str">
        <v>Yield Aggregator</v>
      </c>
      <c r="D4155" t="str">
        <v>GEM</v>
      </c>
      <c r="E4155">
        <v>10.350791281125179</v>
      </c>
      <c r="F4155">
        <v>0</v>
      </c>
    </row>
    <row r="4156" spans="2:6" ht="15.75" customHeight="1" x14ac:dyDescent="0.25">
      <c r="B4156" t="str">
        <v>Opankeswap</v>
      </c>
      <c r="C4156" t="str">
        <v>Dexs</v>
      </c>
      <c r="D4156" t="str">
        <v>-</v>
      </c>
      <c r="E4156">
        <v>60.471320671762406</v>
      </c>
      <c r="F4156">
        <v>0</v>
      </c>
    </row>
    <row r="4157" spans="2:6" ht="15.75" customHeight="1" x14ac:dyDescent="0.25">
      <c r="B4157" t="str">
        <v>opBANANA</v>
      </c>
      <c r="C4157" t="str">
        <v>Dexs</v>
      </c>
      <c r="D4157" t="str">
        <v>-</v>
      </c>
      <c r="E4157">
        <v>89.157855666847311</v>
      </c>
      <c r="F4157">
        <v>0</v>
      </c>
    </row>
    <row r="4158" spans="2:6" ht="15.75" customHeight="1" x14ac:dyDescent="0.25">
      <c r="B4158" t="str">
        <v>Open Dollar</v>
      </c>
      <c r="C4158" t="str">
        <v>CDP</v>
      </c>
      <c r="D4158" t="str">
        <v>ODG</v>
      </c>
      <c r="E4158">
        <v>9469.7898649511844</v>
      </c>
      <c r="F4158">
        <v>0</v>
      </c>
    </row>
    <row r="4159" spans="2:6" ht="15.75" customHeight="1" x14ac:dyDescent="0.25">
      <c r="B4159" t="str">
        <v>Open Stablecoin Index</v>
      </c>
      <c r="C4159" t="str">
        <v>Indexes</v>
      </c>
      <c r="D4159" t="str">
        <v>SQUILL</v>
      </c>
      <c r="E4159">
        <v>0</v>
      </c>
      <c r="F4159">
        <v>222582.96469211802</v>
      </c>
    </row>
    <row r="4160" spans="2:6" ht="15.75" customHeight="1" x14ac:dyDescent="0.25">
      <c r="B4160" t="str">
        <v>OPEN Ticketing Ecosystem</v>
      </c>
      <c r="C4160" t="str">
        <v>Farm</v>
      </c>
      <c r="D4160" t="str">
        <v>OPN</v>
      </c>
      <c r="E4160">
        <v>0</v>
      </c>
      <c r="F4160">
        <v>1490958.4056763365</v>
      </c>
    </row>
    <row r="4161" spans="2:6" ht="15.75" customHeight="1" x14ac:dyDescent="0.25">
      <c r="B4161" t="str">
        <v>OpenBiSea</v>
      </c>
      <c r="C4161" t="str">
        <v>Dexs</v>
      </c>
      <c r="D4161" t="str">
        <v>-</v>
      </c>
      <c r="E4161">
        <v>21821.74976893876</v>
      </c>
      <c r="F4161">
        <v>0</v>
      </c>
    </row>
    <row r="4162" spans="2:6" ht="15.75" customHeight="1" x14ac:dyDescent="0.25">
      <c r="B4162" t="str">
        <v>OpenBook</v>
      </c>
      <c r="C4162" t="str">
        <v>Dexs</v>
      </c>
      <c r="D4162" t="str">
        <v>-</v>
      </c>
      <c r="E4162">
        <v>1173383.7660027912</v>
      </c>
      <c r="F4162">
        <v>0</v>
      </c>
    </row>
    <row r="4163" spans="2:6" ht="15.75" customHeight="1" x14ac:dyDescent="0.25">
      <c r="B4163" t="str">
        <v>OpenDAO</v>
      </c>
      <c r="C4163" t="str">
        <v>Algo-Stables</v>
      </c>
      <c r="D4163" t="str">
        <v>pOPEN</v>
      </c>
      <c r="E4163">
        <v>1362.8681706593175</v>
      </c>
      <c r="F4163">
        <v>0</v>
      </c>
    </row>
    <row r="4164" spans="2:6" ht="15.75" customHeight="1" x14ac:dyDescent="0.25">
      <c r="B4164" t="str">
        <v>OpenDelta Perpetual Bond</v>
      </c>
      <c r="C4164" t="str">
        <v>Basis Trading</v>
      </c>
      <c r="D4164" t="str">
        <v>OPB</v>
      </c>
      <c r="E4164">
        <v>12.297412325571161</v>
      </c>
      <c r="F4164">
        <v>0</v>
      </c>
    </row>
    <row r="4165" spans="2:6" ht="15.75" customHeight="1" x14ac:dyDescent="0.25">
      <c r="B4165" t="str">
        <v>OpenEden TBILL</v>
      </c>
      <c r="C4165" t="str">
        <v>RWA</v>
      </c>
      <c r="D4165" t="str">
        <v>-</v>
      </c>
      <c r="E4165">
        <v>104974903.54904225</v>
      </c>
      <c r="F4165">
        <v>0</v>
      </c>
    </row>
    <row r="4166" spans="2:6" ht="15.75" customHeight="1" x14ac:dyDescent="0.25">
      <c r="B4166" t="str">
        <v>OpenEden USDO</v>
      </c>
      <c r="C4166" t="str">
        <v>RWA</v>
      </c>
      <c r="D4166" t="str">
        <v>-</v>
      </c>
      <c r="E4166">
        <v>82246029.918464452</v>
      </c>
      <c r="F4166">
        <v>0</v>
      </c>
    </row>
    <row r="4167" spans="2:6" ht="15.75" customHeight="1" x14ac:dyDescent="0.25">
      <c r="B4167" t="str">
        <v>OpenEX</v>
      </c>
      <c r="C4167" t="str">
        <v>Dexs</v>
      </c>
      <c r="D4167" t="str">
        <v>OEX</v>
      </c>
      <c r="E4167">
        <v>28750.337433653567</v>
      </c>
      <c r="F4167">
        <v>0</v>
      </c>
    </row>
    <row r="4168" spans="2:6" ht="15.75" customHeight="1" x14ac:dyDescent="0.25">
      <c r="B4168" t="str">
        <v>OpenGDP Shared Security</v>
      </c>
      <c r="C4168" t="str">
        <v>Restaking</v>
      </c>
      <c r="D4168" t="str">
        <v>-</v>
      </c>
      <c r="E4168">
        <v>79482928.605994076</v>
      </c>
      <c r="F4168">
        <v>0</v>
      </c>
    </row>
    <row r="4169" spans="2:6" ht="15.75" customHeight="1" x14ac:dyDescent="0.25">
      <c r="B4169" t="str">
        <v>OpenGPU</v>
      </c>
      <c r="C4169" t="str">
        <v>Staking Pool</v>
      </c>
      <c r="D4169" t="str">
        <v>oGPU</v>
      </c>
      <c r="E4169">
        <v>395.00729453746067</v>
      </c>
      <c r="F4169">
        <v>0</v>
      </c>
    </row>
    <row r="4170" spans="2:6" ht="15.75" customHeight="1" x14ac:dyDescent="0.25">
      <c r="B4170" t="str">
        <v>OpenLedger</v>
      </c>
      <c r="C4170" t="str">
        <v>Decentralized AI</v>
      </c>
      <c r="D4170" t="str">
        <v>OPEN</v>
      </c>
      <c r="E4170">
        <v>0</v>
      </c>
      <c r="F4170">
        <v>35547449.838817067</v>
      </c>
    </row>
    <row r="4171" spans="2:6" ht="15.75" customHeight="1" x14ac:dyDescent="0.25">
      <c r="B4171" t="str">
        <v>OpenLeverage</v>
      </c>
      <c r="C4171" t="str">
        <v>Dexs</v>
      </c>
      <c r="D4171" t="str">
        <v>OLE</v>
      </c>
      <c r="E4171">
        <v>120968.87033942254</v>
      </c>
      <c r="F4171">
        <v>0</v>
      </c>
    </row>
    <row r="4172" spans="2:6" ht="15.75" customHeight="1" x14ac:dyDescent="0.25">
      <c r="B4172" t="str">
        <v>OpenOcean</v>
      </c>
      <c r="C4172" t="str">
        <v>DEX Aggregator</v>
      </c>
      <c r="D4172" t="str">
        <v>OOE</v>
      </c>
      <c r="E4172">
        <v>316363.82046596403</v>
      </c>
      <c r="F4172">
        <v>1306205.9592544348</v>
      </c>
    </row>
    <row r="4173" spans="2:6" ht="15.75" customHeight="1" x14ac:dyDescent="0.25">
      <c r="B4173" t="str">
        <v>OpenSea Bridge Aggregator</v>
      </c>
      <c r="C4173" t="str">
        <v>Bridge Aggregator</v>
      </c>
      <c r="D4173" t="str">
        <v>-</v>
      </c>
      <c r="E4173">
        <v>0</v>
      </c>
      <c r="F4173">
        <v>0</v>
      </c>
    </row>
    <row r="4174" spans="2:6" ht="15.75" customHeight="1" x14ac:dyDescent="0.25">
      <c r="B4174" t="str">
        <v>OpenSea DEX Aggregator</v>
      </c>
      <c r="C4174" t="str">
        <v>DEX Aggregator</v>
      </c>
      <c r="D4174" t="str">
        <v>-</v>
      </c>
      <c r="E4174">
        <v>0</v>
      </c>
      <c r="F4174">
        <v>0</v>
      </c>
    </row>
    <row r="4175" spans="2:6" ht="15.75" customHeight="1" x14ac:dyDescent="0.25">
      <c r="B4175" t="str">
        <v>Opensea Seaport</v>
      </c>
      <c r="C4175" t="str">
        <v>NFT Marketplace</v>
      </c>
      <c r="D4175" t="str">
        <v>-</v>
      </c>
      <c r="E4175">
        <v>0</v>
      </c>
      <c r="F4175">
        <v>0</v>
      </c>
    </row>
    <row r="4176" spans="2:6" ht="15.75" customHeight="1" x14ac:dyDescent="0.25">
      <c r="B4176" t="str">
        <v>OpenSea V1</v>
      </c>
      <c r="C4176" t="str">
        <v>NFT Marketplace</v>
      </c>
      <c r="D4176" t="str">
        <v>-</v>
      </c>
      <c r="E4176">
        <v>0</v>
      </c>
      <c r="F4176">
        <v>0</v>
      </c>
    </row>
    <row r="4177" spans="2:6" ht="15.75" customHeight="1" x14ac:dyDescent="0.25">
      <c r="B4177" t="str">
        <v>OpenSea V2</v>
      </c>
      <c r="C4177" t="str">
        <v>NFT Marketplace</v>
      </c>
      <c r="D4177" t="str">
        <v>-</v>
      </c>
      <c r="E4177">
        <v>0</v>
      </c>
      <c r="F4177">
        <v>0</v>
      </c>
    </row>
    <row r="4178" spans="2:6" ht="15.75" customHeight="1" x14ac:dyDescent="0.25">
      <c r="B4178" t="str">
        <v>OpenSky Finance</v>
      </c>
      <c r="C4178" t="str">
        <v>NFT Lending</v>
      </c>
      <c r="D4178" t="str">
        <v>OSKY</v>
      </c>
      <c r="E4178">
        <v>25132.842134951708</v>
      </c>
      <c r="F4178">
        <v>0</v>
      </c>
    </row>
    <row r="4179" spans="2:6" ht="15.75" customHeight="1" x14ac:dyDescent="0.25">
      <c r="B4179" t="str">
        <v>OpenSwap</v>
      </c>
      <c r="C4179" t="str">
        <v>Dexs</v>
      </c>
      <c r="D4179" t="str">
        <v>OPENX</v>
      </c>
      <c r="E4179">
        <v>6609.7562547087209</v>
      </c>
      <c r="F4179">
        <v>0</v>
      </c>
    </row>
    <row r="4180" spans="2:6" ht="15.75" customHeight="1" x14ac:dyDescent="0.25">
      <c r="B4180" t="str">
        <v>Openswap VSL</v>
      </c>
      <c r="C4180" t="str">
        <v>Dexs</v>
      </c>
      <c r="D4180" t="str">
        <v>-</v>
      </c>
      <c r="E4180">
        <v>0</v>
      </c>
      <c r="F4180">
        <v>0</v>
      </c>
    </row>
    <row r="4181" spans="2:6" ht="15.75" customHeight="1" x14ac:dyDescent="0.25">
      <c r="B4181" t="str">
        <v>OpenTrade</v>
      </c>
      <c r="C4181" t="str">
        <v>RWA</v>
      </c>
      <c r="D4181" t="str">
        <v>-</v>
      </c>
      <c r="E4181">
        <v>18640038.547561947</v>
      </c>
      <c r="F4181">
        <v>0</v>
      </c>
    </row>
    <row r="4182" spans="2:6" ht="15.75" customHeight="1" x14ac:dyDescent="0.25">
      <c r="B4182" t="str">
        <v>OpenWorld Farm</v>
      </c>
      <c r="C4182" t="str">
        <v>Leveraged Farming</v>
      </c>
      <c r="D4182" t="str">
        <v>OPEN</v>
      </c>
      <c r="E4182">
        <v>826.560803335125</v>
      </c>
      <c r="F4182">
        <v>0</v>
      </c>
    </row>
    <row r="4183" spans="2:6" ht="15.75" customHeight="1" x14ac:dyDescent="0.25">
      <c r="B4183" t="str">
        <v>Openworld Perps</v>
      </c>
      <c r="C4183" t="str">
        <v>Derivatives</v>
      </c>
      <c r="D4183" t="str">
        <v>OPEN</v>
      </c>
      <c r="E4183">
        <v>407.2795187884459</v>
      </c>
      <c r="F4183">
        <v>0</v>
      </c>
    </row>
    <row r="4184" spans="2:6" ht="15.75" customHeight="1" x14ac:dyDescent="0.25">
      <c r="B4184" t="str">
        <v>OpenXswap</v>
      </c>
      <c r="C4184" t="str">
        <v>Dexs</v>
      </c>
      <c r="D4184" t="str">
        <v>OpenX</v>
      </c>
      <c r="E4184">
        <v>49756.126332885011</v>
      </c>
      <c r="F4184">
        <v>0</v>
      </c>
    </row>
    <row r="4185" spans="2:6" ht="15.75" customHeight="1" x14ac:dyDescent="0.25">
      <c r="B4185" t="str">
        <v>OpenZK</v>
      </c>
      <c r="C4185" t="str">
        <v>Canonical Bridge</v>
      </c>
      <c r="D4185" t="str">
        <v>-</v>
      </c>
      <c r="E4185">
        <v>18.867325570076279</v>
      </c>
      <c r="F4185">
        <v>0</v>
      </c>
    </row>
    <row r="4186" spans="2:6" ht="15.75" customHeight="1" x14ac:dyDescent="0.25">
      <c r="B4186" t="str">
        <v>OPINION</v>
      </c>
      <c r="C4186" t="str">
        <v>Prediction Market</v>
      </c>
      <c r="D4186" t="str">
        <v>-</v>
      </c>
      <c r="E4186">
        <v>123455714.00209892</v>
      </c>
      <c r="F4186">
        <v>0</v>
      </c>
    </row>
    <row r="4187" spans="2:6" ht="15.75" customHeight="1" x14ac:dyDescent="0.25">
      <c r="B4187" t="str">
        <v>Opium</v>
      </c>
      <c r="C4187" t="str">
        <v>Options</v>
      </c>
      <c r="D4187" t="str">
        <v>OPIUM</v>
      </c>
      <c r="E4187">
        <v>185073.37877044792</v>
      </c>
      <c r="F4187">
        <v>509955.02715483354</v>
      </c>
    </row>
    <row r="4188" spans="2:6" ht="15.75" customHeight="1" x14ac:dyDescent="0.25">
      <c r="B4188" t="str">
        <v>OPT Finance</v>
      </c>
      <c r="C4188" t="str">
        <v>DEX Aggregator</v>
      </c>
      <c r="D4188" t="str">
        <v>-</v>
      </c>
      <c r="E4188">
        <v>0</v>
      </c>
      <c r="F4188">
        <v>0</v>
      </c>
    </row>
    <row r="4189" spans="2:6" ht="15.75" customHeight="1" x14ac:dyDescent="0.25">
      <c r="B4189" t="str">
        <v>Optidoge</v>
      </c>
      <c r="C4189" t="str">
        <v>Yield</v>
      </c>
      <c r="D4189" t="str">
        <v>OPTIDOGE</v>
      </c>
      <c r="E4189">
        <v>0</v>
      </c>
      <c r="F4189">
        <v>0</v>
      </c>
    </row>
    <row r="4190" spans="2:6" ht="15.75" customHeight="1" x14ac:dyDescent="0.25">
      <c r="B4190" t="str">
        <v>OptiFi</v>
      </c>
      <c r="C4190" t="str">
        <v>Options</v>
      </c>
      <c r="D4190" t="str">
        <v>-</v>
      </c>
      <c r="E4190">
        <v>0</v>
      </c>
      <c r="F4190">
        <v>0</v>
      </c>
    </row>
    <row r="4191" spans="2:6" ht="15.75" customHeight="1" x14ac:dyDescent="0.25">
      <c r="B4191" t="str">
        <v>Optim Finance</v>
      </c>
      <c r="C4191" t="str">
        <v>Staking Rental</v>
      </c>
      <c r="D4191" t="str">
        <v>O</v>
      </c>
      <c r="E4191">
        <v>1500189.908939573</v>
      </c>
      <c r="F4191">
        <v>696443.10875256953</v>
      </c>
    </row>
    <row r="4192" spans="2:6" ht="15.75" customHeight="1" x14ac:dyDescent="0.25">
      <c r="B4192" t="str">
        <v>Optimism Bridge</v>
      </c>
      <c r="C4192" t="str">
        <v>Canonical Bridge</v>
      </c>
      <c r="D4192" t="str">
        <v>OP</v>
      </c>
      <c r="E4192">
        <v>668871968.90707064</v>
      </c>
      <c r="F4192">
        <v>0</v>
      </c>
    </row>
    <row r="4193" spans="2:6" ht="15.75" customHeight="1" x14ac:dyDescent="0.25">
      <c r="B4193" t="str">
        <v>Optimism Foundation</v>
      </c>
      <c r="C4193" t="str">
        <v>Foundation</v>
      </c>
      <c r="D4193" t="str">
        <v>OP</v>
      </c>
      <c r="E4193">
        <v>0</v>
      </c>
      <c r="F4193">
        <v>609114981.1832751</v>
      </c>
    </row>
    <row r="4194" spans="2:6" ht="15.75" customHeight="1" x14ac:dyDescent="0.25">
      <c r="B4194" t="str">
        <v>Optimus</v>
      </c>
      <c r="C4194" t="str">
        <v>Yield</v>
      </c>
      <c r="D4194" t="str">
        <v>FIN</v>
      </c>
      <c r="E4194">
        <v>20691</v>
      </c>
      <c r="F4194">
        <v>133772.30358271161</v>
      </c>
    </row>
    <row r="4195" spans="2:6" ht="15.75" customHeight="1" x14ac:dyDescent="0.25">
      <c r="B4195" t="str">
        <v>OptiNyan</v>
      </c>
      <c r="C4195" t="str">
        <v>Yield</v>
      </c>
      <c r="D4195" t="str">
        <v>NYAN</v>
      </c>
      <c r="E4195">
        <v>2275.4264403137981</v>
      </c>
      <c r="F4195">
        <v>0</v>
      </c>
    </row>
    <row r="4196" spans="2:6" ht="15.75" customHeight="1" x14ac:dyDescent="0.25">
      <c r="B4196" t="str">
        <v>Option Dance</v>
      </c>
      <c r="C4196" t="str">
        <v>Options</v>
      </c>
      <c r="D4196" t="str">
        <v>-</v>
      </c>
      <c r="E4196">
        <v>0.01</v>
      </c>
      <c r="F4196">
        <v>0</v>
      </c>
    </row>
    <row r="4197" spans="2:6" ht="15.75" customHeight="1" x14ac:dyDescent="0.25">
      <c r="B4197" t="str">
        <v>OptionBlitz</v>
      </c>
      <c r="C4197" t="str">
        <v>Options</v>
      </c>
      <c r="D4197" t="str">
        <v>BLX</v>
      </c>
      <c r="E4197">
        <v>0</v>
      </c>
      <c r="F4197">
        <v>0</v>
      </c>
    </row>
    <row r="4198" spans="2:6" ht="15.75" customHeight="1" x14ac:dyDescent="0.25">
      <c r="B4198" t="str">
        <v>Optitude Finance</v>
      </c>
      <c r="C4198" t="str">
        <v>Yield Aggregator</v>
      </c>
      <c r="D4198" t="str">
        <v>OPT</v>
      </c>
      <c r="E4198">
        <v>0</v>
      </c>
      <c r="F4198">
        <v>0</v>
      </c>
    </row>
    <row r="4199" spans="2:6" ht="15.75" customHeight="1" x14ac:dyDescent="0.25">
      <c r="B4199" t="str">
        <v>Optyfi</v>
      </c>
      <c r="C4199" t="str">
        <v>Yield Aggregator</v>
      </c>
      <c r="D4199" t="str">
        <v>-</v>
      </c>
      <c r="E4199">
        <v>0</v>
      </c>
      <c r="F4199">
        <v>0</v>
      </c>
    </row>
    <row r="4200" spans="2:6" ht="15.75" customHeight="1" x14ac:dyDescent="0.25">
      <c r="B4200" t="str">
        <v>Opulous</v>
      </c>
      <c r="C4200" t="str">
        <v>Farm</v>
      </c>
      <c r="D4200" t="str">
        <v>Opulous</v>
      </c>
      <c r="E4200">
        <v>0</v>
      </c>
      <c r="F4200">
        <v>4843826.1309231529</v>
      </c>
    </row>
    <row r="4201" spans="2:6" ht="15.75" customHeight="1" x14ac:dyDescent="0.25">
      <c r="B4201" t="str">
        <v>Opus</v>
      </c>
      <c r="C4201" t="str">
        <v>CDP</v>
      </c>
      <c r="D4201" t="str">
        <v>-</v>
      </c>
      <c r="E4201">
        <v>499281.68170282012</v>
      </c>
      <c r="F4201">
        <v>0</v>
      </c>
    </row>
    <row r="4202" spans="2:6" ht="15.75" customHeight="1" x14ac:dyDescent="0.25">
      <c r="B4202" t="str">
        <v>OPX Finance</v>
      </c>
      <c r="C4202" t="str">
        <v>Derivatives</v>
      </c>
      <c r="D4202" t="str">
        <v>OPX</v>
      </c>
      <c r="E4202">
        <v>0</v>
      </c>
      <c r="F4202">
        <v>0</v>
      </c>
    </row>
    <row r="4203" spans="2:6" ht="15.75" customHeight="1" x14ac:dyDescent="0.25">
      <c r="B4203" t="str">
        <v>Opyn Convexity</v>
      </c>
      <c r="C4203" t="str">
        <v>Options</v>
      </c>
      <c r="D4203" t="str">
        <v>-</v>
      </c>
      <c r="E4203">
        <v>761174.39311444049</v>
      </c>
      <c r="F4203">
        <v>0</v>
      </c>
    </row>
    <row r="4204" spans="2:6" ht="15.75" customHeight="1" x14ac:dyDescent="0.25">
      <c r="B4204" t="str">
        <v>Opyn Gamma</v>
      </c>
      <c r="C4204" t="str">
        <v>Options</v>
      </c>
      <c r="D4204" t="str">
        <v>-</v>
      </c>
      <c r="E4204">
        <v>1490577.2368963957</v>
      </c>
      <c r="F4204">
        <v>0</v>
      </c>
    </row>
    <row r="4205" spans="2:6" ht="15.75" customHeight="1" x14ac:dyDescent="0.25">
      <c r="B4205" t="str">
        <v>Opyn Squeeth</v>
      </c>
      <c r="C4205" t="str">
        <v>Derivatives</v>
      </c>
      <c r="D4205" t="str">
        <v>-</v>
      </c>
      <c r="E4205">
        <v>971955.34829007043</v>
      </c>
      <c r="F4205">
        <v>0</v>
      </c>
    </row>
    <row r="4206" spans="2:6" ht="15.75" customHeight="1" x14ac:dyDescent="0.25">
      <c r="B4206" t="str">
        <v>ORA Finance</v>
      </c>
      <c r="C4206" t="str">
        <v>Algo-Stables</v>
      </c>
      <c r="D4206" t="str">
        <v>ORA</v>
      </c>
      <c r="E4206">
        <v>0</v>
      </c>
      <c r="F4206">
        <v>0</v>
      </c>
    </row>
    <row r="4207" spans="2:6" ht="15.75" customHeight="1" x14ac:dyDescent="0.25">
      <c r="B4207" t="str">
        <v>Ora Protocol</v>
      </c>
      <c r="C4207" t="str">
        <v>Farm</v>
      </c>
      <c r="D4207" t="str">
        <v>OLM</v>
      </c>
      <c r="E4207">
        <v>3.1200358430113366E-15</v>
      </c>
      <c r="F4207">
        <v>0</v>
      </c>
    </row>
    <row r="4208" spans="2:6" ht="15.75" customHeight="1" x14ac:dyDescent="0.25">
      <c r="B4208" t="str">
        <v>Oracle Swap</v>
      </c>
      <c r="C4208" t="str">
        <v>Dexs</v>
      </c>
      <c r="D4208" t="str">
        <v>ORACLE</v>
      </c>
      <c r="E4208">
        <v>13587.714488898406</v>
      </c>
      <c r="F4208">
        <v>0</v>
      </c>
    </row>
    <row r="4209" spans="2:6" ht="15.75" customHeight="1" x14ac:dyDescent="0.25">
      <c r="B4209" t="str">
        <v>OracleFreeDollar</v>
      </c>
      <c r="C4209" t="str">
        <v>CDP</v>
      </c>
      <c r="D4209" t="str">
        <v>-</v>
      </c>
      <c r="E4209">
        <v>53530.914359521426</v>
      </c>
      <c r="F4209">
        <v>0</v>
      </c>
    </row>
    <row r="4210" spans="2:6" ht="15.75" customHeight="1" x14ac:dyDescent="0.25">
      <c r="B4210" t="str">
        <v>OraiChain</v>
      </c>
      <c r="C4210" t="str">
        <v>Yield</v>
      </c>
      <c r="D4210" t="str">
        <v>ORAI</v>
      </c>
      <c r="E4210">
        <v>0</v>
      </c>
      <c r="F4210">
        <v>12857243.781414375</v>
      </c>
    </row>
    <row r="4211" spans="2:6" ht="15.75" customHeight="1" x14ac:dyDescent="0.25">
      <c r="B4211" t="str">
        <v>OraiDEX</v>
      </c>
      <c r="C4211" t="str">
        <v>Dexs</v>
      </c>
      <c r="D4211" t="str">
        <v>ORAIX</v>
      </c>
      <c r="E4211">
        <v>201431.37835481888</v>
      </c>
      <c r="F4211">
        <v>62565.343313628735</v>
      </c>
    </row>
    <row r="4212" spans="2:6" ht="15.75" customHeight="1" x14ac:dyDescent="0.25">
      <c r="B4212" t="str">
        <v>OraiDEX Pool V3</v>
      </c>
      <c r="C4212" t="str">
        <v>Dexs</v>
      </c>
      <c r="D4212" t="str">
        <v>-</v>
      </c>
      <c r="E4212">
        <v>138792.36568865442</v>
      </c>
      <c r="F4212">
        <v>0</v>
      </c>
    </row>
    <row r="4213" spans="2:6" ht="15.75" customHeight="1" x14ac:dyDescent="0.25">
      <c r="B4213" t="str">
        <v>Orange Finance</v>
      </c>
      <c r="C4213" t="str">
        <v>Liquidity manager</v>
      </c>
      <c r="D4213" t="str">
        <v>-</v>
      </c>
      <c r="E4213">
        <v>46287.342734490303</v>
      </c>
      <c r="F4213">
        <v>0</v>
      </c>
    </row>
    <row r="4214" spans="2:6" ht="15.75" customHeight="1" x14ac:dyDescent="0.25">
      <c r="B4214" t="str">
        <v>Orbit</v>
      </c>
      <c r="C4214" t="str">
        <v>Liquidity Automation</v>
      </c>
      <c r="D4214" t="str">
        <v>-</v>
      </c>
      <c r="E4214">
        <v>1028.1164452038452</v>
      </c>
      <c r="F4214">
        <v>0</v>
      </c>
    </row>
    <row r="4215" spans="2:6" ht="15.75" customHeight="1" x14ac:dyDescent="0.25">
      <c r="B4215" t="str">
        <v>Orbit Bridge</v>
      </c>
      <c r="C4215" t="str">
        <v>Bridge</v>
      </c>
      <c r="D4215" t="str">
        <v>ORC</v>
      </c>
      <c r="E4215">
        <v>22481148.289668038</v>
      </c>
      <c r="F4215">
        <v>0</v>
      </c>
    </row>
    <row r="4216" spans="2:6" ht="15.75" customHeight="1" x14ac:dyDescent="0.25">
      <c r="B4216" t="str">
        <v>Orbit Protocol</v>
      </c>
      <c r="C4216" t="str">
        <v>Lending</v>
      </c>
      <c r="D4216" t="str">
        <v>ORBIT</v>
      </c>
      <c r="E4216">
        <v>765590.50239321252</v>
      </c>
      <c r="F4216">
        <v>44416.82778428137</v>
      </c>
    </row>
    <row r="4217" spans="2:6" ht="15.75" customHeight="1" x14ac:dyDescent="0.25">
      <c r="B4217" t="str">
        <v>OrbitalSwap</v>
      </c>
      <c r="C4217" t="str">
        <v>Dexs</v>
      </c>
      <c r="D4217" t="str">
        <v>ORB</v>
      </c>
      <c r="E4217">
        <v>26561.557410807145</v>
      </c>
      <c r="F4217">
        <v>0</v>
      </c>
    </row>
    <row r="4218" spans="2:6" ht="15.75" customHeight="1" x14ac:dyDescent="0.25">
      <c r="B4218" t="str">
        <v>Orbiter Finance</v>
      </c>
      <c r="C4218" t="str">
        <v>Bridge</v>
      </c>
      <c r="D4218" t="str">
        <v>-</v>
      </c>
      <c r="E4218">
        <v>0</v>
      </c>
      <c r="F4218">
        <v>0</v>
      </c>
    </row>
    <row r="4219" spans="2:6" ht="15.75" customHeight="1" x14ac:dyDescent="0.25">
      <c r="B4219" t="str">
        <v>Orbiter One</v>
      </c>
      <c r="C4219" t="str">
        <v>Lending</v>
      </c>
      <c r="D4219" t="str">
        <v>ORB</v>
      </c>
      <c r="E4219">
        <v>5197.8985525327034</v>
      </c>
      <c r="F4219">
        <v>0</v>
      </c>
    </row>
    <row r="4220" spans="2:6" ht="15.75" customHeight="1" x14ac:dyDescent="0.25">
      <c r="B4220" t="str">
        <v>Orbs</v>
      </c>
      <c r="C4220" t="str">
        <v>Farm</v>
      </c>
      <c r="D4220" t="str">
        <v>ORBS</v>
      </c>
      <c r="E4220">
        <v>0</v>
      </c>
      <c r="F4220">
        <v>55576016.785555318</v>
      </c>
    </row>
    <row r="4221" spans="2:6" ht="15.75" customHeight="1" x14ac:dyDescent="0.25">
      <c r="B4221" t="str">
        <v>Orby Network</v>
      </c>
      <c r="C4221" t="str">
        <v>CDP</v>
      </c>
      <c r="D4221" t="str">
        <v>ORB</v>
      </c>
      <c r="E4221">
        <v>3036924.5347658903</v>
      </c>
      <c r="F4221">
        <v>0</v>
      </c>
    </row>
    <row r="4222" spans="2:6" ht="15.75" customHeight="1" x14ac:dyDescent="0.25">
      <c r="B4222" t="str">
        <v>Orca DEX</v>
      </c>
      <c r="C4222" t="str">
        <v>Dexs</v>
      </c>
      <c r="D4222" t="str">
        <v>ORCA</v>
      </c>
      <c r="E4222">
        <v>399780569.3797912</v>
      </c>
      <c r="F4222">
        <v>0</v>
      </c>
    </row>
    <row r="4223" spans="2:6" ht="15.75" customHeight="1" x14ac:dyDescent="0.25">
      <c r="B4223" t="str">
        <v>Orca Wavebreak</v>
      </c>
      <c r="C4223" t="str">
        <v>Launchpad</v>
      </c>
      <c r="D4223" t="str">
        <v>ORCA</v>
      </c>
      <c r="E4223">
        <v>0</v>
      </c>
      <c r="F4223">
        <v>0</v>
      </c>
    </row>
    <row r="4224" spans="2:6" ht="15.75" customHeight="1" x14ac:dyDescent="0.25">
      <c r="B4224" t="str">
        <v>OrcaDAO</v>
      </c>
      <c r="C4224" t="str">
        <v>Lending</v>
      </c>
      <c r="D4224" t="str">
        <v>ORCA</v>
      </c>
      <c r="E4224">
        <v>11266.857893601838</v>
      </c>
      <c r="F4224">
        <v>0</v>
      </c>
    </row>
    <row r="4225" spans="2:6" ht="15.75" customHeight="1" x14ac:dyDescent="0.25">
      <c r="B4225" t="str">
        <v>Orcfax</v>
      </c>
      <c r="C4225" t="str">
        <v>Oracle</v>
      </c>
      <c r="D4225" t="str">
        <v>FACT</v>
      </c>
      <c r="E4225">
        <v>0</v>
      </c>
      <c r="F4225">
        <v>107244.75859466089</v>
      </c>
    </row>
    <row r="4226" spans="2:6" ht="15.75" customHeight="1" x14ac:dyDescent="0.25">
      <c r="B4226" t="str">
        <v>Orchai LST</v>
      </c>
      <c r="C4226" t="str">
        <v>Liquid Staking</v>
      </c>
      <c r="D4226" t="str">
        <v>OCH</v>
      </c>
      <c r="E4226">
        <v>347933.73669915227</v>
      </c>
      <c r="F4226">
        <v>0</v>
      </c>
    </row>
    <row r="4227" spans="2:6" ht="15.75" customHeight="1" x14ac:dyDescent="0.25">
      <c r="B4227" t="str">
        <v>Orchai Money Market</v>
      </c>
      <c r="C4227" t="str">
        <v>Lending</v>
      </c>
      <c r="D4227" t="str">
        <v>OCH</v>
      </c>
      <c r="E4227">
        <v>84173.84425733253</v>
      </c>
      <c r="F4227">
        <v>0</v>
      </c>
    </row>
    <row r="4228" spans="2:6" ht="15.75" customHeight="1" x14ac:dyDescent="0.25">
      <c r="B4228" t="str">
        <v>Orcus Finance</v>
      </c>
      <c r="C4228" t="str">
        <v>Algo-Stables</v>
      </c>
      <c r="D4228" t="str">
        <v>ORU</v>
      </c>
      <c r="E4228">
        <v>5.9645484167984275</v>
      </c>
      <c r="F4228">
        <v>0</v>
      </c>
    </row>
    <row r="4229" spans="2:6" ht="15.75" customHeight="1" x14ac:dyDescent="0.25">
      <c r="B4229" t="str">
        <v>Orderly AMM</v>
      </c>
      <c r="C4229" t="str">
        <v>Dexs</v>
      </c>
      <c r="D4229" t="str">
        <v>ORDER</v>
      </c>
      <c r="E4229">
        <v>0</v>
      </c>
      <c r="F4229">
        <v>0</v>
      </c>
    </row>
    <row r="4230" spans="2:6" ht="15.75" customHeight="1" x14ac:dyDescent="0.25">
      <c r="B4230" t="str">
        <v>Orderly Bridge</v>
      </c>
      <c r="C4230" t="str">
        <v>Bridge</v>
      </c>
      <c r="D4230" t="str">
        <v>ORDER</v>
      </c>
      <c r="E4230">
        <v>26829259.338664941</v>
      </c>
      <c r="F4230">
        <v>0</v>
      </c>
    </row>
    <row r="4231" spans="2:6" ht="15.75" customHeight="1" x14ac:dyDescent="0.25">
      <c r="B4231" t="str">
        <v>Orderly Chain</v>
      </c>
      <c r="C4231" t="str">
        <v>Canonical Bridge</v>
      </c>
      <c r="D4231" t="str">
        <v>ORDER</v>
      </c>
      <c r="E4231">
        <v>408197.88850313413</v>
      </c>
      <c r="F4231">
        <v>36635769.252228737</v>
      </c>
    </row>
    <row r="4232" spans="2:6" ht="15.75" customHeight="1" x14ac:dyDescent="0.25">
      <c r="B4232" t="str">
        <v>Orderly Perps</v>
      </c>
      <c r="C4232" t="str">
        <v>Derivatives</v>
      </c>
      <c r="D4232" t="str">
        <v>ORDER</v>
      </c>
      <c r="E4232">
        <v>0</v>
      </c>
      <c r="F4232">
        <v>0</v>
      </c>
    </row>
    <row r="4233" spans="2:6" ht="15.75" customHeight="1" x14ac:dyDescent="0.25">
      <c r="B4233" t="str">
        <v>OrderNChaos</v>
      </c>
      <c r="C4233" t="str">
        <v>Algo-Stables</v>
      </c>
      <c r="D4233" t="str">
        <v>CHAOS</v>
      </c>
      <c r="E4233">
        <v>60515.44833346019</v>
      </c>
      <c r="F4233">
        <v>0</v>
      </c>
    </row>
    <row r="4234" spans="2:6" ht="15.75" customHeight="1" x14ac:dyDescent="0.25">
      <c r="B4234" t="str">
        <v>ORE Protocol</v>
      </c>
      <c r="C4234" t="str">
        <v>Gamified Mining</v>
      </c>
      <c r="D4234" t="str">
        <v>ORE</v>
      </c>
      <c r="E4234">
        <v>0</v>
      </c>
      <c r="F4234">
        <v>70311478.647362694</v>
      </c>
    </row>
    <row r="4235" spans="2:6" ht="15.75" customHeight="1" x14ac:dyDescent="0.25">
      <c r="B4235" t="str">
        <v>OreoSwap</v>
      </c>
      <c r="C4235" t="str">
        <v>Dexs</v>
      </c>
      <c r="D4235" t="str">
        <v>OREO</v>
      </c>
      <c r="E4235">
        <v>98222.583909488501</v>
      </c>
      <c r="F4235">
        <v>0</v>
      </c>
    </row>
    <row r="4236" spans="2:6" ht="15.75" customHeight="1" x14ac:dyDescent="0.25">
      <c r="B4236" t="str">
        <v>OreSwap</v>
      </c>
      <c r="C4236" t="str">
        <v>Dexs</v>
      </c>
      <c r="D4236" t="str">
        <v>OST</v>
      </c>
      <c r="E4236">
        <v>0.73508632010444874</v>
      </c>
      <c r="F4236">
        <v>0</v>
      </c>
    </row>
    <row r="4237" spans="2:6" ht="15.75" customHeight="1" x14ac:dyDescent="0.25">
      <c r="B4237" t="str">
        <v>Organic Growth</v>
      </c>
      <c r="C4237" t="str">
        <v>Launchpad</v>
      </c>
      <c r="D4237" t="str">
        <v>-</v>
      </c>
      <c r="E4237">
        <v>54086.997352452083</v>
      </c>
      <c r="F4237">
        <v>0</v>
      </c>
    </row>
    <row r="4238" spans="2:6" ht="15.75" customHeight="1" x14ac:dyDescent="0.25">
      <c r="B4238" t="str">
        <v>Origami Finance</v>
      </c>
      <c r="C4238" t="str">
        <v>Leveraged Farming</v>
      </c>
      <c r="D4238" t="str">
        <v>-</v>
      </c>
      <c r="E4238">
        <v>72259487.805537015</v>
      </c>
      <c r="F4238">
        <v>0</v>
      </c>
    </row>
    <row r="4239" spans="2:6" ht="15.75" customHeight="1" x14ac:dyDescent="0.25">
      <c r="B4239" t="str">
        <v>Origin ARM</v>
      </c>
      <c r="C4239" t="str">
        <v>Yield</v>
      </c>
      <c r="D4239" t="str">
        <v>-</v>
      </c>
      <c r="E4239">
        <v>1630159.8432858428</v>
      </c>
      <c r="F4239">
        <v>0</v>
      </c>
    </row>
    <row r="4240" spans="2:6" ht="15.75" customHeight="1" x14ac:dyDescent="0.25">
      <c r="B4240" t="str">
        <v>Origin Dollar</v>
      </c>
      <c r="C4240" t="str">
        <v>Yield Aggregator</v>
      </c>
      <c r="D4240" t="str">
        <v>-</v>
      </c>
      <c r="E4240">
        <v>8915108.4304213561</v>
      </c>
      <c r="F4240">
        <v>0</v>
      </c>
    </row>
    <row r="4241" spans="2:6" ht="15.75" customHeight="1" x14ac:dyDescent="0.25">
      <c r="B4241" t="str">
        <v>Origin Ether</v>
      </c>
      <c r="C4241" t="str">
        <v>Liquid Staking</v>
      </c>
      <c r="D4241" t="str">
        <v>-</v>
      </c>
      <c r="E4241">
        <v>83646124.273505405</v>
      </c>
      <c r="F4241">
        <v>0</v>
      </c>
    </row>
    <row r="4242" spans="2:6" ht="15.75" customHeight="1" x14ac:dyDescent="0.25">
      <c r="B4242" t="str">
        <v>Origin Sonic</v>
      </c>
      <c r="C4242" t="str">
        <v>Liquid Staking</v>
      </c>
      <c r="D4242" t="str">
        <v>-</v>
      </c>
      <c r="E4242">
        <v>1244092.2680128086</v>
      </c>
      <c r="F4242">
        <v>0</v>
      </c>
    </row>
    <row r="4243" spans="2:6" ht="15.75" customHeight="1" x14ac:dyDescent="0.25">
      <c r="B4243" t="str">
        <v>ORIGYN</v>
      </c>
      <c r="C4243" t="str">
        <v>RWA</v>
      </c>
      <c r="D4243" t="str">
        <v>OGY</v>
      </c>
      <c r="E4243">
        <v>51252473.235424884</v>
      </c>
      <c r="F4243">
        <v>8847466.0484716669</v>
      </c>
    </row>
    <row r="4244" spans="2:6" ht="15.75" customHeight="1" x14ac:dyDescent="0.25">
      <c r="B4244" t="str">
        <v>ORIO</v>
      </c>
      <c r="C4244" t="str">
        <v>Yield</v>
      </c>
      <c r="D4244" t="str">
        <v>-</v>
      </c>
      <c r="E4244">
        <v>6.4287257920305168</v>
      </c>
      <c r="F4244">
        <v>0</v>
      </c>
    </row>
    <row r="4245" spans="2:6" ht="15.75" customHeight="1" x14ac:dyDescent="0.25">
      <c r="B4245" t="str">
        <v>Orion Aggregator</v>
      </c>
      <c r="C4245" t="str">
        <v>DEX Aggregator</v>
      </c>
      <c r="D4245" t="str">
        <v>ORN</v>
      </c>
      <c r="E4245">
        <v>0</v>
      </c>
      <c r="F4245">
        <v>0</v>
      </c>
    </row>
    <row r="4246" spans="2:6" ht="15.75" customHeight="1" x14ac:dyDescent="0.25">
      <c r="B4246" t="str">
        <v>Orion Liquidity Nodes</v>
      </c>
      <c r="C4246" t="str">
        <v>Dexs</v>
      </c>
      <c r="D4246" t="str">
        <v>ORN</v>
      </c>
      <c r="E4246">
        <v>134071.37440536584</v>
      </c>
      <c r="F4246">
        <v>0</v>
      </c>
    </row>
    <row r="4247" spans="2:6" ht="15.75" customHeight="1" x14ac:dyDescent="0.25">
      <c r="B4247" t="str">
        <v>Orion Money</v>
      </c>
      <c r="C4247" t="str">
        <v>Yield</v>
      </c>
      <c r="D4247" t="str">
        <v>ORION</v>
      </c>
      <c r="E4247">
        <v>57271.689357544077</v>
      </c>
      <c r="F4247">
        <v>50890.545421856375</v>
      </c>
    </row>
    <row r="4248" spans="2:6" ht="15.75" customHeight="1" x14ac:dyDescent="0.25">
      <c r="B4248" t="str">
        <v>Orion Pools</v>
      </c>
      <c r="C4248" t="str">
        <v>Dexs</v>
      </c>
      <c r="D4248" t="str">
        <v>ORN</v>
      </c>
      <c r="E4248">
        <v>405677.34479636129</v>
      </c>
      <c r="F4248">
        <v>0</v>
      </c>
    </row>
    <row r="4249" spans="2:6" ht="15.75" customHeight="1" x14ac:dyDescent="0.25">
      <c r="B4249" t="str">
        <v>Orki Finance</v>
      </c>
      <c r="C4249" t="str">
        <v>CDP</v>
      </c>
      <c r="D4249" t="str">
        <v>-</v>
      </c>
      <c r="E4249">
        <v>39419.548664514274</v>
      </c>
      <c r="F4249">
        <v>0</v>
      </c>
    </row>
    <row r="4250" spans="2:6" ht="15.75" customHeight="1" x14ac:dyDescent="0.25">
      <c r="B4250" t="str">
        <v>Oro Finance</v>
      </c>
      <c r="C4250" t="str">
        <v>RWA</v>
      </c>
      <c r="D4250" t="str">
        <v>-</v>
      </c>
      <c r="E4250">
        <v>0</v>
      </c>
      <c r="F4250">
        <v>0</v>
      </c>
    </row>
    <row r="4251" spans="2:6" ht="15.75" customHeight="1" x14ac:dyDescent="0.25">
      <c r="B4251" t="str">
        <v>OroSwap</v>
      </c>
      <c r="C4251" t="str">
        <v>Dexs</v>
      </c>
      <c r="D4251" t="str">
        <v>-</v>
      </c>
      <c r="E4251">
        <v>5390269.645337523</v>
      </c>
      <c r="F4251">
        <v>0</v>
      </c>
    </row>
    <row r="4252" spans="2:6" ht="15.75" customHeight="1" x14ac:dyDescent="0.25">
      <c r="B4252" t="str">
        <v>Osmosis DEX</v>
      </c>
      <c r="C4252" t="str">
        <v>Dexs</v>
      </c>
      <c r="D4252" t="str">
        <v>OSMO</v>
      </c>
      <c r="E4252">
        <v>22048121.807495434</v>
      </c>
      <c r="F4252">
        <v>42778108.446637705</v>
      </c>
    </row>
    <row r="4253" spans="2:6" ht="15.75" customHeight="1" x14ac:dyDescent="0.25">
      <c r="B4253" t="str">
        <v>Ostable</v>
      </c>
      <c r="C4253" t="str">
        <v>Algo-Stables</v>
      </c>
      <c r="D4253" t="str">
        <v>-</v>
      </c>
      <c r="E4253">
        <v>194863.82227093531</v>
      </c>
      <c r="F4253">
        <v>0</v>
      </c>
    </row>
    <row r="4254" spans="2:6" ht="15.75" customHeight="1" x14ac:dyDescent="0.25">
      <c r="B4254" t="str">
        <v>Ostium</v>
      </c>
      <c r="C4254" t="str">
        <v>Derivatives</v>
      </c>
      <c r="D4254" t="str">
        <v>-</v>
      </c>
      <c r="E4254">
        <v>59837410.273821689</v>
      </c>
      <c r="F4254">
        <v>0</v>
      </c>
    </row>
    <row r="4255" spans="2:6" ht="15.75" customHeight="1" x14ac:dyDescent="0.25">
      <c r="B4255" t="str">
        <v>Ostrich</v>
      </c>
      <c r="C4255" t="str">
        <v>Derivatives</v>
      </c>
      <c r="D4255" t="str">
        <v>-</v>
      </c>
      <c r="E4255">
        <v>11.286898615252827</v>
      </c>
      <c r="F4255">
        <v>0</v>
      </c>
    </row>
    <row r="4256" spans="2:6" ht="15.75" customHeight="1" x14ac:dyDescent="0.25">
      <c r="B4256" t="str">
        <v>Oswap AMM</v>
      </c>
      <c r="C4256" t="str">
        <v>Dexs</v>
      </c>
      <c r="D4256" t="str">
        <v>-</v>
      </c>
      <c r="E4256">
        <v>43126.734231057162</v>
      </c>
      <c r="F4256">
        <v>0</v>
      </c>
    </row>
    <row r="4257" spans="2:6" ht="15.75" customHeight="1" x14ac:dyDescent="0.25">
      <c r="B4257" t="str">
        <v>OSWAP Token</v>
      </c>
      <c r="C4257" t="str">
        <v>Yield</v>
      </c>
      <c r="D4257" t="str">
        <v>OSWAP</v>
      </c>
      <c r="E4257">
        <v>35054.710465311975</v>
      </c>
      <c r="F4257">
        <v>0</v>
      </c>
    </row>
    <row r="4258" spans="2:6" ht="15.75" customHeight="1" x14ac:dyDescent="0.25">
      <c r="B4258" t="str">
        <v>OTSea</v>
      </c>
      <c r="C4258" t="str">
        <v>Dexs</v>
      </c>
      <c r="D4258" t="str">
        <v>OTSEA</v>
      </c>
      <c r="E4258">
        <v>735076.87129210855</v>
      </c>
      <c r="F4258">
        <v>0</v>
      </c>
    </row>
    <row r="4259" spans="2:6" ht="15.75" customHeight="1" x14ac:dyDescent="0.25">
      <c r="B4259" t="str">
        <v>Ottopia</v>
      </c>
      <c r="C4259" t="str">
        <v>Yield</v>
      </c>
      <c r="D4259" t="str">
        <v>CLAM</v>
      </c>
      <c r="E4259">
        <v>24866.925997117345</v>
      </c>
      <c r="F4259">
        <v>426499.1591725201</v>
      </c>
    </row>
    <row r="4260" spans="2:6" ht="15.75" customHeight="1" x14ac:dyDescent="0.25">
      <c r="B4260" t="str">
        <v>Ouroboros Capital</v>
      </c>
      <c r="C4260" t="str">
        <v>Risk Curators</v>
      </c>
      <c r="D4260" t="str">
        <v>-</v>
      </c>
      <c r="E4260">
        <v>2581.3814353055359</v>
      </c>
      <c r="F4260">
        <v>0</v>
      </c>
    </row>
    <row r="4261" spans="2:6" ht="15.75" customHeight="1" x14ac:dyDescent="0.25">
      <c r="B4261" t="str">
        <v>Outcome Finance</v>
      </c>
      <c r="C4261" t="str">
        <v>Synthetics</v>
      </c>
      <c r="D4261" t="str">
        <v>-</v>
      </c>
      <c r="E4261">
        <v>1244522.6475587175</v>
      </c>
      <c r="F4261">
        <v>0</v>
      </c>
    </row>
    <row r="4262" spans="2:6" ht="15.75" customHeight="1" x14ac:dyDescent="0.25">
      <c r="B4262" t="str">
        <v>Overnight Finance</v>
      </c>
      <c r="C4262" t="str">
        <v>CDP</v>
      </c>
      <c r="D4262" t="str">
        <v>OVN</v>
      </c>
      <c r="E4262">
        <v>20478697.450447652</v>
      </c>
      <c r="F4262">
        <v>0</v>
      </c>
    </row>
    <row r="4263" spans="2:6" ht="15.75" customHeight="1" x14ac:dyDescent="0.25">
      <c r="B4263" t="str">
        <v>Overtime</v>
      </c>
      <c r="C4263" t="str">
        <v>Prediction Market</v>
      </c>
      <c r="D4263" t="str">
        <v>OVER</v>
      </c>
      <c r="E4263">
        <v>2164914.0365799977</v>
      </c>
      <c r="F4263">
        <v>16013549.641003141</v>
      </c>
    </row>
    <row r="4264" spans="2:6" ht="15.75" customHeight="1" x14ac:dyDescent="0.25">
      <c r="B4264" t="str">
        <v>OVR</v>
      </c>
      <c r="C4264" t="str">
        <v>Services</v>
      </c>
      <c r="D4264" t="str">
        <v>OVR</v>
      </c>
      <c r="E4264">
        <v>0</v>
      </c>
      <c r="F4264">
        <v>2808998.1591644306</v>
      </c>
    </row>
    <row r="4265" spans="2:6" ht="15.75" customHeight="1" x14ac:dyDescent="0.25">
      <c r="B4265" t="str">
        <v>Owna</v>
      </c>
      <c r="C4265" t="str">
        <v>Lending</v>
      </c>
      <c r="D4265" t="str">
        <v>-</v>
      </c>
      <c r="E4265">
        <v>133.98189533105801</v>
      </c>
      <c r="F4265">
        <v>0</v>
      </c>
    </row>
    <row r="4266" spans="2:6" ht="15.75" customHeight="1" x14ac:dyDescent="0.25">
      <c r="B4266" t="str">
        <v>Oxbull</v>
      </c>
      <c r="C4266" t="str">
        <v>Launchpad</v>
      </c>
      <c r="D4266" t="str">
        <v>OXB</v>
      </c>
      <c r="E4266">
        <v>0</v>
      </c>
      <c r="F4266">
        <v>0</v>
      </c>
    </row>
    <row r="4267" spans="2:6" ht="15.75" customHeight="1" x14ac:dyDescent="0.25">
      <c r="B4267" t="str">
        <v>Oxedium</v>
      </c>
      <c r="C4267" t="str">
        <v>Dexs</v>
      </c>
      <c r="D4267" t="str">
        <v>-</v>
      </c>
      <c r="E4267">
        <v>5445.6250453769699</v>
      </c>
      <c r="F4267">
        <v>0</v>
      </c>
    </row>
    <row r="4268" spans="2:6" ht="15.75" customHeight="1" x14ac:dyDescent="0.25">
      <c r="B4268" t="str">
        <v>OxiSwap</v>
      </c>
      <c r="C4268" t="str">
        <v>Dexs</v>
      </c>
      <c r="D4268" t="str">
        <v>-</v>
      </c>
      <c r="E4268">
        <v>0.31204680368154708</v>
      </c>
      <c r="F4268">
        <v>0</v>
      </c>
    </row>
    <row r="4269" spans="2:6" ht="15.75" customHeight="1" x14ac:dyDescent="0.25">
      <c r="B4269" t="str">
        <v>Oxium</v>
      </c>
      <c r="C4269" t="str">
        <v>Dexs</v>
      </c>
      <c r="D4269" t="str">
        <v>-</v>
      </c>
      <c r="E4269">
        <v>1512121.3790019532</v>
      </c>
      <c r="F4269">
        <v>0</v>
      </c>
    </row>
    <row r="4270" spans="2:6" ht="15.75" customHeight="1" x14ac:dyDescent="0.25">
      <c r="B4270" t="str">
        <v>Oxygen</v>
      </c>
      <c r="C4270" t="str">
        <v>Lending</v>
      </c>
      <c r="D4270" t="str">
        <v>OXY</v>
      </c>
      <c r="E4270">
        <v>55916.399476257</v>
      </c>
      <c r="F4270">
        <v>1438269.2570461633</v>
      </c>
    </row>
    <row r="4271" spans="2:6" ht="15.75" customHeight="1" x14ac:dyDescent="0.25">
      <c r="B4271" t="str">
        <v>P2P.me</v>
      </c>
      <c r="C4271" t="str">
        <v>Payments</v>
      </c>
      <c r="D4271" t="str">
        <v>-</v>
      </c>
      <c r="E4271">
        <v>0</v>
      </c>
      <c r="F4271">
        <v>0</v>
      </c>
    </row>
    <row r="4272" spans="2:6" ht="15.75" customHeight="1" x14ac:dyDescent="0.25">
      <c r="B4272" t="str">
        <v>P2PFlip</v>
      </c>
      <c r="C4272" t="str">
        <v>Luck Games</v>
      </c>
      <c r="D4272" t="str">
        <v>-</v>
      </c>
      <c r="E4272">
        <v>76.411863664239931</v>
      </c>
      <c r="F4272">
        <v>0</v>
      </c>
    </row>
    <row r="4273" spans="2:6" ht="15.75" customHeight="1" x14ac:dyDescent="0.25">
      <c r="B4273" t="str">
        <v>PAAL AI</v>
      </c>
      <c r="C4273" t="str">
        <v>Telegram Bot</v>
      </c>
      <c r="D4273" t="str">
        <v>PAAL</v>
      </c>
      <c r="E4273">
        <v>0</v>
      </c>
      <c r="F4273">
        <v>26774677.581390355</v>
      </c>
    </row>
    <row r="4274" spans="2:6" ht="15.75" customHeight="1" x14ac:dyDescent="0.25">
      <c r="B4274" t="str">
        <v>Pac Finance</v>
      </c>
      <c r="C4274" t="str">
        <v>Lending</v>
      </c>
      <c r="D4274" t="str">
        <v>-</v>
      </c>
      <c r="E4274">
        <v>7017650.6933697518</v>
      </c>
      <c r="F4274">
        <v>0</v>
      </c>
    </row>
    <row r="4275" spans="2:6" ht="15.75" customHeight="1" x14ac:dyDescent="0.25">
      <c r="B4275" t="str">
        <v>PacaSwap Bridge</v>
      </c>
      <c r="C4275" t="str">
        <v>Bridge</v>
      </c>
      <c r="D4275" t="str">
        <v>-</v>
      </c>
      <c r="E4275">
        <v>423651.15907008201</v>
      </c>
      <c r="F4275">
        <v>0</v>
      </c>
    </row>
    <row r="4276" spans="2:6" ht="15.75" customHeight="1" x14ac:dyDescent="0.25">
      <c r="B4276" t="str">
        <v>PacaSwap DEX</v>
      </c>
      <c r="C4276" t="str">
        <v>Dexs</v>
      </c>
      <c r="D4276" t="str">
        <v>-</v>
      </c>
      <c r="E4276">
        <v>0</v>
      </c>
      <c r="F4276">
        <v>0</v>
      </c>
    </row>
    <row r="4277" spans="2:6" ht="15.75" customHeight="1" x14ac:dyDescent="0.25">
      <c r="B4277" t="str">
        <v>Pacifica</v>
      </c>
      <c r="C4277" t="str">
        <v>Derivatives</v>
      </c>
      <c r="D4277" t="str">
        <v>-</v>
      </c>
      <c r="E4277">
        <v>44890290.562950507</v>
      </c>
      <c r="F4277">
        <v>0</v>
      </c>
    </row>
    <row r="4278" spans="2:6" ht="15.75" customHeight="1" x14ac:dyDescent="0.25">
      <c r="B4278" t="str">
        <v>PacificSwap V2</v>
      </c>
      <c r="C4278" t="str">
        <v>Dexs</v>
      </c>
      <c r="D4278" t="str">
        <v>-</v>
      </c>
      <c r="E4278">
        <v>79187.009468610209</v>
      </c>
      <c r="F4278">
        <v>0</v>
      </c>
    </row>
    <row r="4279" spans="2:6" ht="15.75" customHeight="1" x14ac:dyDescent="0.25">
      <c r="B4279" t="str">
        <v>PacificSwap V3</v>
      </c>
      <c r="C4279" t="str">
        <v>Dexs</v>
      </c>
      <c r="D4279" t="str">
        <v>-</v>
      </c>
      <c r="E4279">
        <v>26022.299211154103</v>
      </c>
      <c r="F4279">
        <v>0</v>
      </c>
    </row>
    <row r="4280" spans="2:6" ht="15.75" customHeight="1" x14ac:dyDescent="0.25">
      <c r="B4280" t="str">
        <v>Pacman</v>
      </c>
      <c r="C4280" t="str">
        <v>Leveraged Farming</v>
      </c>
      <c r="D4280" t="str">
        <v>-</v>
      </c>
      <c r="E4280">
        <v>57.024828939982363</v>
      </c>
      <c r="F4280">
        <v>0</v>
      </c>
    </row>
    <row r="4281" spans="2:6" ht="15.75" customHeight="1" x14ac:dyDescent="0.25">
      <c r="B4281" t="str">
        <v>Pacoca</v>
      </c>
      <c r="C4281" t="str">
        <v>Yield</v>
      </c>
      <c r="D4281" t="str">
        <v>PACOCA</v>
      </c>
      <c r="E4281">
        <v>36366.31427788052</v>
      </c>
      <c r="F4281">
        <v>5554.9698376403312</v>
      </c>
    </row>
    <row r="4282" spans="2:6" ht="15.75" customHeight="1" x14ac:dyDescent="0.25">
      <c r="B4282" t="str">
        <v>Pact</v>
      </c>
      <c r="C4282" t="str">
        <v>Dexs</v>
      </c>
      <c r="D4282" t="str">
        <v>POW</v>
      </c>
      <c r="E4282">
        <v>2943223</v>
      </c>
      <c r="F4282">
        <v>0</v>
      </c>
    </row>
    <row r="4283" spans="2:6" ht="15.75" customHeight="1" x14ac:dyDescent="0.25">
      <c r="B4283" t="str">
        <v>Padre</v>
      </c>
      <c r="C4283" t="str">
        <v>Telegram Bot</v>
      </c>
      <c r="D4283" t="str">
        <v>-</v>
      </c>
      <c r="E4283">
        <v>0</v>
      </c>
      <c r="F4283">
        <v>0</v>
      </c>
    </row>
    <row r="4284" spans="2:6" ht="15.75" customHeight="1" x14ac:dyDescent="0.25">
      <c r="B4284" t="str">
        <v>PadSwap</v>
      </c>
      <c r="C4284" t="str">
        <v>Dexs</v>
      </c>
      <c r="D4284" t="str">
        <v>TOAD</v>
      </c>
      <c r="E4284">
        <v>167093.31134819955</v>
      </c>
      <c r="F4284">
        <v>0</v>
      </c>
    </row>
    <row r="4285" spans="2:6" ht="15.75" customHeight="1" x14ac:dyDescent="0.25">
      <c r="B4285" t="str">
        <v>PaintSwap on Fantom</v>
      </c>
      <c r="C4285" t="str">
        <v>Dexs</v>
      </c>
      <c r="D4285" t="str">
        <v>BRUSH</v>
      </c>
      <c r="E4285">
        <v>12841.492269077969</v>
      </c>
      <c r="F4285">
        <v>0</v>
      </c>
    </row>
    <row r="4286" spans="2:6" ht="15.75" customHeight="1" x14ac:dyDescent="0.25">
      <c r="B4286" t="str">
        <v>Paintswap on Sonic</v>
      </c>
      <c r="C4286" t="str">
        <v>NFT Marketplace</v>
      </c>
      <c r="D4286" t="str">
        <v>BRUSH</v>
      </c>
      <c r="E4286">
        <v>86188.305940229446</v>
      </c>
      <c r="F4286">
        <v>0</v>
      </c>
    </row>
    <row r="4287" spans="2:6" ht="15.75" customHeight="1" x14ac:dyDescent="0.25">
      <c r="B4287" t="str">
        <v>PairEx</v>
      </c>
      <c r="C4287" t="str">
        <v>Derivatives</v>
      </c>
      <c r="D4287" t="str">
        <v>PLP</v>
      </c>
      <c r="E4287">
        <v>100.15760145622845</v>
      </c>
      <c r="F4287">
        <v>0</v>
      </c>
    </row>
    <row r="4288" spans="2:6" ht="15.75" customHeight="1" x14ac:dyDescent="0.25">
      <c r="B4288" t="str">
        <v>Pala</v>
      </c>
      <c r="C4288" t="str">
        <v>Dexs</v>
      </c>
      <c r="D4288" t="str">
        <v>PALA</v>
      </c>
      <c r="E4288">
        <v>430706.84300264448</v>
      </c>
      <c r="F4288">
        <v>0</v>
      </c>
    </row>
    <row r="4289" spans="2:6" ht="15.75" customHeight="1" x14ac:dyDescent="0.25">
      <c r="B4289" t="str">
        <v>Paladin DAO</v>
      </c>
      <c r="C4289" t="str">
        <v>Reserve Currency</v>
      </c>
      <c r="D4289" t="str">
        <v>PAL</v>
      </c>
      <c r="E4289">
        <v>5.6983794493704716</v>
      </c>
      <c r="F4289">
        <v>0</v>
      </c>
    </row>
    <row r="4290" spans="2:6" ht="15.75" customHeight="1" x14ac:dyDescent="0.25">
      <c r="B4290" t="str">
        <v>Paladin Dullahan</v>
      </c>
      <c r="C4290" t="str">
        <v>Yield</v>
      </c>
      <c r="D4290" t="str">
        <v>PAL</v>
      </c>
      <c r="E4290">
        <v>6256.0486561238795</v>
      </c>
      <c r="F4290">
        <v>0</v>
      </c>
    </row>
    <row r="4291" spans="2:6" ht="15.75" customHeight="1" x14ac:dyDescent="0.25">
      <c r="B4291" t="str">
        <v>Paladin Vote</v>
      </c>
      <c r="C4291" t="str">
        <v>Lending</v>
      </c>
      <c r="D4291" t="str">
        <v>PAL</v>
      </c>
      <c r="E4291">
        <v>98839.978688800795</v>
      </c>
      <c r="F4291">
        <v>0</v>
      </c>
    </row>
    <row r="4292" spans="2:6" ht="15.75" customHeight="1" x14ac:dyDescent="0.25">
      <c r="B4292" t="str">
        <v>Paladin Warlord</v>
      </c>
      <c r="C4292" t="str">
        <v>Indexes</v>
      </c>
      <c r="D4292" t="str">
        <v>PAL</v>
      </c>
      <c r="E4292">
        <v>0</v>
      </c>
      <c r="F4292">
        <v>0</v>
      </c>
    </row>
    <row r="4293" spans="2:6" ht="15.75" customHeight="1" x14ac:dyDescent="0.25">
      <c r="B4293" t="str">
        <v>Palladium Protocol</v>
      </c>
      <c r="C4293" t="str">
        <v>CDP</v>
      </c>
      <c r="D4293" t="str">
        <v>-</v>
      </c>
      <c r="E4293">
        <v>158828.26116489156</v>
      </c>
      <c r="F4293">
        <v>0</v>
      </c>
    </row>
    <row r="4294" spans="2:6" ht="15.75" customHeight="1" x14ac:dyDescent="0.25">
      <c r="B4294" t="str">
        <v>Palm Economy</v>
      </c>
      <c r="C4294" t="str">
        <v>Farm</v>
      </c>
      <c r="D4294" t="str">
        <v>PALM</v>
      </c>
      <c r="E4294">
        <v>0</v>
      </c>
      <c r="F4294">
        <v>0</v>
      </c>
    </row>
    <row r="4295" spans="2:6" ht="15.75" customHeight="1" x14ac:dyDescent="0.25">
      <c r="B4295" t="str">
        <v>Palma Swap</v>
      </c>
      <c r="C4295" t="str">
        <v>Dexs</v>
      </c>
      <c r="D4295" t="str">
        <v>PALMA</v>
      </c>
      <c r="E4295">
        <v>596.39243582385529</v>
      </c>
      <c r="F4295">
        <v>0</v>
      </c>
    </row>
    <row r="4296" spans="2:6" ht="15.75" customHeight="1" x14ac:dyDescent="0.25">
      <c r="B4296" t="str">
        <v>Palmswap</v>
      </c>
      <c r="C4296" t="str">
        <v>Derivatives</v>
      </c>
      <c r="D4296" t="str">
        <v>PALM</v>
      </c>
      <c r="E4296">
        <v>0</v>
      </c>
      <c r="F4296">
        <v>0</v>
      </c>
    </row>
    <row r="4297" spans="2:6" ht="15.75" customHeight="1" x14ac:dyDescent="0.25">
      <c r="B4297" t="str">
        <v>Palmy Finance</v>
      </c>
      <c r="C4297" t="str">
        <v>Lending</v>
      </c>
      <c r="D4297" t="str">
        <v>-</v>
      </c>
      <c r="E4297">
        <v>57414.360623653723</v>
      </c>
      <c r="F4297">
        <v>0</v>
      </c>
    </row>
    <row r="4298" spans="2:6" ht="15.75" customHeight="1" x14ac:dyDescent="0.25">
      <c r="B4298" t="str">
        <v>Palomino Finance</v>
      </c>
      <c r="C4298" t="str">
        <v>Lending</v>
      </c>
      <c r="D4298" t="str">
        <v>-</v>
      </c>
      <c r="E4298">
        <v>18.926006957407086</v>
      </c>
      <c r="F4298">
        <v>0</v>
      </c>
    </row>
    <row r="4299" spans="2:6" ht="15.75" customHeight="1" x14ac:dyDescent="0.25">
      <c r="B4299" t="str">
        <v>PancakeSwap AMM</v>
      </c>
      <c r="C4299" t="str">
        <v>Dexs</v>
      </c>
      <c r="D4299" t="str">
        <v>CAKE</v>
      </c>
      <c r="E4299">
        <v>1807359500.0904653</v>
      </c>
      <c r="F4299">
        <v>0</v>
      </c>
    </row>
    <row r="4300" spans="2:6" ht="15.75" customHeight="1" x14ac:dyDescent="0.25">
      <c r="B4300" t="str">
        <v>PancakeSwap AMM V1</v>
      </c>
      <c r="C4300" t="str">
        <v>Dexs</v>
      </c>
      <c r="D4300" t="str">
        <v>CAKE</v>
      </c>
      <c r="E4300">
        <v>0</v>
      </c>
      <c r="F4300">
        <v>0</v>
      </c>
    </row>
    <row r="4301" spans="2:6" ht="15.75" customHeight="1" x14ac:dyDescent="0.25">
      <c r="B4301" t="str">
        <v>PancakeSwap AMM V3</v>
      </c>
      <c r="C4301" t="str">
        <v>Dexs</v>
      </c>
      <c r="D4301" t="str">
        <v>CAKE</v>
      </c>
      <c r="E4301">
        <v>498722643.75091028</v>
      </c>
      <c r="F4301">
        <v>0</v>
      </c>
    </row>
    <row r="4302" spans="2:6" ht="15.75" customHeight="1" x14ac:dyDescent="0.25">
      <c r="B4302" t="str">
        <v>PancakeSwap Infinity</v>
      </c>
      <c r="C4302" t="str">
        <v>Dexs</v>
      </c>
      <c r="D4302" t="str">
        <v>CAKE</v>
      </c>
      <c r="E4302">
        <v>64146586.936633781</v>
      </c>
      <c r="F4302">
        <v>0</v>
      </c>
    </row>
    <row r="4303" spans="2:6" ht="15.75" customHeight="1" x14ac:dyDescent="0.25">
      <c r="B4303" t="str">
        <v>PancakeSwap Lottery</v>
      </c>
      <c r="C4303" t="str">
        <v>Luck Games</v>
      </c>
      <c r="D4303" t="str">
        <v>CAKE</v>
      </c>
      <c r="E4303">
        <v>0</v>
      </c>
      <c r="F4303">
        <v>0</v>
      </c>
    </row>
    <row r="4304" spans="2:6" ht="15.75" customHeight="1" x14ac:dyDescent="0.25">
      <c r="B4304" t="str">
        <v>PancakeSwap Options</v>
      </c>
      <c r="C4304" t="str">
        <v>Options</v>
      </c>
      <c r="D4304" t="str">
        <v>CAKE</v>
      </c>
      <c r="E4304">
        <v>116.64479277817593</v>
      </c>
      <c r="F4304">
        <v>0</v>
      </c>
    </row>
    <row r="4305" spans="2:6" ht="15.75" customHeight="1" x14ac:dyDescent="0.25">
      <c r="B4305" t="str">
        <v>PancakeSwap Perps</v>
      </c>
      <c r="C4305" t="str">
        <v>Derivatives</v>
      </c>
      <c r="D4305" t="str">
        <v>CAKE</v>
      </c>
      <c r="E4305">
        <v>0</v>
      </c>
      <c r="F4305">
        <v>0</v>
      </c>
    </row>
    <row r="4306" spans="2:6" ht="15.75" customHeight="1" x14ac:dyDescent="0.25">
      <c r="B4306" t="str">
        <v>PancakeSwap Prediction</v>
      </c>
      <c r="C4306" t="str">
        <v>Prediction Market</v>
      </c>
      <c r="D4306" t="str">
        <v>CAKE</v>
      </c>
      <c r="E4306">
        <v>0</v>
      </c>
      <c r="F4306">
        <v>0</v>
      </c>
    </row>
    <row r="4307" spans="2:6" ht="15.75" customHeight="1" x14ac:dyDescent="0.25">
      <c r="B4307" t="str">
        <v>PancakeSwap StableSwap</v>
      </c>
      <c r="C4307" t="str">
        <v>Dexs</v>
      </c>
      <c r="D4307" t="str">
        <v>CAKE</v>
      </c>
      <c r="E4307">
        <v>17904497.199218895</v>
      </c>
      <c r="F4307">
        <v>0</v>
      </c>
    </row>
    <row r="4308" spans="2:6" ht="15.75" customHeight="1" x14ac:dyDescent="0.25">
      <c r="B4308" t="str">
        <v>Panda Chef</v>
      </c>
      <c r="C4308" t="str">
        <v>Farm</v>
      </c>
      <c r="D4308" t="str">
        <v>PNDA</v>
      </c>
      <c r="E4308">
        <v>37376.577201238062</v>
      </c>
      <c r="F4308">
        <v>0</v>
      </c>
    </row>
    <row r="4309" spans="2:6" ht="15.75" customHeight="1" x14ac:dyDescent="0.25">
      <c r="B4309" t="str">
        <v>PandaLand</v>
      </c>
      <c r="C4309" t="str">
        <v>Gaming</v>
      </c>
      <c r="D4309" t="str">
        <v>PDA</v>
      </c>
      <c r="E4309">
        <v>0</v>
      </c>
      <c r="F4309">
        <v>0</v>
      </c>
    </row>
    <row r="4310" spans="2:6" ht="15.75" customHeight="1" x14ac:dyDescent="0.25">
      <c r="B4310" t="str">
        <v>PandaSwap</v>
      </c>
      <c r="C4310" t="str">
        <v>Dexs</v>
      </c>
      <c r="D4310" t="str">
        <v>PNDA</v>
      </c>
      <c r="E4310">
        <v>228019.24135146436</v>
      </c>
      <c r="F4310">
        <v>0</v>
      </c>
    </row>
    <row r="4311" spans="2:6" ht="15.75" customHeight="1" x14ac:dyDescent="0.25">
      <c r="B4311" t="str">
        <v>Pando Leaf</v>
      </c>
      <c r="C4311" t="str">
        <v>CDP</v>
      </c>
      <c r="D4311" t="str">
        <v>-</v>
      </c>
      <c r="E4311">
        <v>18757516.983754378</v>
      </c>
      <c r="F4311">
        <v>0</v>
      </c>
    </row>
    <row r="4312" spans="2:6" ht="15.75" customHeight="1" x14ac:dyDescent="0.25">
      <c r="B4312" t="str">
        <v>Pando Rings</v>
      </c>
      <c r="C4312" t="str">
        <v>Lending</v>
      </c>
      <c r="D4312" t="str">
        <v>-</v>
      </c>
      <c r="E4312">
        <v>7894657.2269918127</v>
      </c>
      <c r="F4312">
        <v>0</v>
      </c>
    </row>
    <row r="4313" spans="2:6" ht="15.75" customHeight="1" x14ac:dyDescent="0.25">
      <c r="B4313" t="str">
        <v>Pandora</v>
      </c>
      <c r="C4313" t="str">
        <v>Dexs</v>
      </c>
      <c r="D4313" t="str">
        <v>PSR</v>
      </c>
      <c r="E4313">
        <v>10655.823869016369</v>
      </c>
      <c r="F4313">
        <v>0</v>
      </c>
    </row>
    <row r="4314" spans="2:6" ht="15.75" customHeight="1" x14ac:dyDescent="0.25">
      <c r="B4314" t="str">
        <v>Pandora Swap</v>
      </c>
      <c r="C4314" t="str">
        <v>Dexs</v>
      </c>
      <c r="D4314" t="str">
        <v>PANDORA</v>
      </c>
      <c r="E4314">
        <v>145.67493205780656</v>
      </c>
      <c r="F4314">
        <v>0</v>
      </c>
    </row>
    <row r="4315" spans="2:6" ht="15.75" customHeight="1" x14ac:dyDescent="0.25">
      <c r="B4315" t="str">
        <v>Pangea Swap</v>
      </c>
      <c r="C4315" t="str">
        <v>Dexs</v>
      </c>
      <c r="D4315" t="str">
        <v>STONE</v>
      </c>
      <c r="E4315">
        <v>9808.5345560965015</v>
      </c>
      <c r="F4315">
        <v>0</v>
      </c>
    </row>
    <row r="4316" spans="2:6" ht="15.75" customHeight="1" x14ac:dyDescent="0.25">
      <c r="B4316" t="str">
        <v>Pangolin V2</v>
      </c>
      <c r="C4316" t="str">
        <v>Dexs</v>
      </c>
      <c r="D4316" t="str">
        <v>PNG</v>
      </c>
      <c r="E4316">
        <v>2602324.6026738458</v>
      </c>
      <c r="F4316">
        <v>0</v>
      </c>
    </row>
    <row r="4317" spans="2:6" ht="15.75" customHeight="1" x14ac:dyDescent="0.25">
      <c r="B4317" t="str">
        <v>Pangolin V3</v>
      </c>
      <c r="C4317" t="str">
        <v>Dexs</v>
      </c>
      <c r="D4317" t="str">
        <v>PANG</v>
      </c>
      <c r="E4317">
        <v>423667.0782860606</v>
      </c>
      <c r="F4317">
        <v>0</v>
      </c>
    </row>
    <row r="4318" spans="2:6" ht="15.75" customHeight="1" x14ac:dyDescent="0.25">
      <c r="B4318" t="str">
        <v>Panko Finance</v>
      </c>
      <c r="C4318" t="str">
        <v>Dexs</v>
      </c>
      <c r="D4318" t="str">
        <v>-</v>
      </c>
      <c r="E4318">
        <v>16499.211959009772</v>
      </c>
      <c r="F4318">
        <v>0</v>
      </c>
    </row>
    <row r="4319" spans="2:6" ht="15.75" customHeight="1" x14ac:dyDescent="0.25">
      <c r="B4319" t="str">
        <v>PanKUKU</v>
      </c>
      <c r="C4319" t="str">
        <v>Dexs</v>
      </c>
      <c r="D4319" t="str">
        <v>KUKU</v>
      </c>
      <c r="E4319">
        <v>581.29448804763183</v>
      </c>
      <c r="F4319">
        <v>0</v>
      </c>
    </row>
    <row r="4320" spans="2:6" ht="15.75" customHeight="1" x14ac:dyDescent="0.25">
      <c r="B4320" t="str">
        <v>Panoptic V1</v>
      </c>
      <c r="C4320" t="str">
        <v>Options</v>
      </c>
      <c r="D4320" t="str">
        <v>-</v>
      </c>
      <c r="E4320">
        <v>7016.5165753689971</v>
      </c>
      <c r="F4320">
        <v>0</v>
      </c>
    </row>
    <row r="4321" spans="2:6" ht="15.75" customHeight="1" x14ac:dyDescent="0.25">
      <c r="B4321" t="str">
        <v>Panoptic V1.1</v>
      </c>
      <c r="C4321" t="str">
        <v>Options</v>
      </c>
      <c r="D4321" t="str">
        <v>-</v>
      </c>
      <c r="E4321">
        <v>2777.1962740659806</v>
      </c>
      <c r="F4321">
        <v>0</v>
      </c>
    </row>
    <row r="4322" spans="2:6" ht="15.75" customHeight="1" x14ac:dyDescent="0.25">
      <c r="B4322" t="str">
        <v>Panora</v>
      </c>
      <c r="C4322" t="str">
        <v>DEX Aggregator</v>
      </c>
      <c r="D4322" t="str">
        <v>-</v>
      </c>
      <c r="E4322">
        <v>0</v>
      </c>
      <c r="F4322">
        <v>0</v>
      </c>
    </row>
    <row r="4323" spans="2:6" ht="15.75" customHeight="1" x14ac:dyDescent="0.25">
      <c r="B4323" t="str">
        <v>Panther Protocol</v>
      </c>
      <c r="C4323" t="str">
        <v>Services</v>
      </c>
      <c r="D4323" t="str">
        <v>ZKP</v>
      </c>
      <c r="E4323">
        <v>0</v>
      </c>
      <c r="F4323">
        <v>3066172.4826204316</v>
      </c>
    </row>
    <row r="4324" spans="2:6" ht="15.75" customHeight="1" x14ac:dyDescent="0.25">
      <c r="B4324" t="str">
        <v>PantherSwap</v>
      </c>
      <c r="C4324" t="str">
        <v>Dexs</v>
      </c>
      <c r="D4324" t="str">
        <v>PANTHER</v>
      </c>
      <c r="E4324">
        <v>304930.82487457915</v>
      </c>
      <c r="F4324">
        <v>0</v>
      </c>
    </row>
    <row r="4325" spans="2:6" ht="15.75" customHeight="1" x14ac:dyDescent="0.25">
      <c r="B4325" t="str">
        <v>Papa DAO</v>
      </c>
      <c r="C4325" t="str">
        <v>Reserve Currency</v>
      </c>
      <c r="D4325" t="str">
        <v>PAPA</v>
      </c>
      <c r="E4325">
        <v>10.874690484678494</v>
      </c>
      <c r="F4325">
        <v>0</v>
      </c>
    </row>
    <row r="4326" spans="2:6" ht="15.75" customHeight="1" x14ac:dyDescent="0.25">
      <c r="B4326" t="str">
        <v>PaperDAO</v>
      </c>
      <c r="C4326" t="str">
        <v>Lending</v>
      </c>
      <c r="D4326" t="str">
        <v>PPR</v>
      </c>
      <c r="E4326">
        <v>0.11672162201070563</v>
      </c>
      <c r="F4326">
        <v>0</v>
      </c>
    </row>
    <row r="4327" spans="2:6" ht="15.75" customHeight="1" x14ac:dyDescent="0.25">
      <c r="B4327" t="str">
        <v>Papparico Finance</v>
      </c>
      <c r="C4327" t="str">
        <v>Farm</v>
      </c>
      <c r="D4327" t="str">
        <v>-</v>
      </c>
      <c r="E4327">
        <v>0</v>
      </c>
      <c r="F4327">
        <v>0</v>
      </c>
    </row>
    <row r="4328" spans="2:6" ht="15.75" customHeight="1" x14ac:dyDescent="0.25">
      <c r="B4328" t="str">
        <v>Paprprintr</v>
      </c>
      <c r="C4328" t="str">
        <v>Algo-Stables</v>
      </c>
      <c r="D4328" t="str">
        <v>PAPR</v>
      </c>
      <c r="E4328">
        <v>0</v>
      </c>
      <c r="F4328">
        <v>0</v>
      </c>
    </row>
    <row r="4329" spans="2:6" ht="15.75" customHeight="1" x14ac:dyDescent="0.25">
      <c r="B4329" t="str">
        <v>Papyrus Swap</v>
      </c>
      <c r="C4329" t="str">
        <v>Dexs</v>
      </c>
      <c r="D4329" t="str">
        <v>PAPYRUS</v>
      </c>
      <c r="E4329">
        <v>1711.8346016745529</v>
      </c>
      <c r="F4329">
        <v>0</v>
      </c>
    </row>
    <row r="4330" spans="2:6" ht="15.75" customHeight="1" x14ac:dyDescent="0.25">
      <c r="B4330" t="str">
        <v>Paradex Bridge</v>
      </c>
      <c r="C4330" t="str">
        <v>Bridge</v>
      </c>
      <c r="D4330" t="str">
        <v>-</v>
      </c>
      <c r="E4330">
        <v>186307596.79123524</v>
      </c>
      <c r="F4330">
        <v>0</v>
      </c>
    </row>
    <row r="4331" spans="2:6" ht="15.75" customHeight="1" x14ac:dyDescent="0.25">
      <c r="B4331" t="str">
        <v>Paradex Perps</v>
      </c>
      <c r="C4331" t="str">
        <v>Derivatives</v>
      </c>
      <c r="D4331" t="str">
        <v>-</v>
      </c>
      <c r="E4331">
        <v>0</v>
      </c>
      <c r="F4331">
        <v>0</v>
      </c>
    </row>
    <row r="4332" spans="2:6" ht="15.75" customHeight="1" x14ac:dyDescent="0.25">
      <c r="B4332" t="str">
        <v>ParagonsDAO</v>
      </c>
      <c r="C4332" t="str">
        <v>Farm</v>
      </c>
      <c r="D4332" t="str">
        <v>PDT</v>
      </c>
      <c r="E4332">
        <v>0</v>
      </c>
      <c r="F4332">
        <v>6128802.9140683198</v>
      </c>
    </row>
    <row r="4333" spans="2:6" ht="15.75" customHeight="1" x14ac:dyDescent="0.25">
      <c r="B4333" t="str">
        <v>Parallax</v>
      </c>
      <c r="C4333" t="str">
        <v>Yield Aggregator</v>
      </c>
      <c r="D4333" t="str">
        <v>PLX</v>
      </c>
      <c r="E4333">
        <v>8608.3603886263063</v>
      </c>
      <c r="F4333">
        <v>0</v>
      </c>
    </row>
    <row r="4334" spans="2:6" ht="15.75" customHeight="1" x14ac:dyDescent="0.25">
      <c r="B4334" t="str">
        <v>Parallel Lending</v>
      </c>
      <c r="C4334" t="str">
        <v>Lending</v>
      </c>
      <c r="D4334" t="str">
        <v>-</v>
      </c>
      <c r="E4334">
        <v>94474.436801363918</v>
      </c>
      <c r="F4334">
        <v>0</v>
      </c>
    </row>
    <row r="4335" spans="2:6" ht="15.75" customHeight="1" x14ac:dyDescent="0.25">
      <c r="B4335" t="str">
        <v>Parallel Polkadot AMM</v>
      </c>
      <c r="C4335" t="str">
        <v>Dexs</v>
      </c>
      <c r="D4335" t="str">
        <v>-</v>
      </c>
      <c r="E4335">
        <v>0</v>
      </c>
      <c r="F4335">
        <v>0</v>
      </c>
    </row>
    <row r="4336" spans="2:6" ht="15.75" customHeight="1" x14ac:dyDescent="0.25">
      <c r="B4336" t="str">
        <v>Parallel Polkadot Crowdloan</v>
      </c>
      <c r="C4336" t="str">
        <v>Liquid Staking</v>
      </c>
      <c r="D4336" t="str">
        <v>-</v>
      </c>
      <c r="E4336">
        <v>0</v>
      </c>
      <c r="F4336">
        <v>0</v>
      </c>
    </row>
    <row r="4337" spans="2:6" ht="15.75" customHeight="1" x14ac:dyDescent="0.25">
      <c r="B4337" t="str">
        <v>Parallel Polkadot DAOfi</v>
      </c>
      <c r="C4337" t="str">
        <v>Payments</v>
      </c>
      <c r="D4337" t="str">
        <v>-</v>
      </c>
      <c r="E4337">
        <v>0</v>
      </c>
      <c r="F4337">
        <v>0</v>
      </c>
    </row>
    <row r="4338" spans="2:6" ht="15.75" customHeight="1" x14ac:dyDescent="0.25">
      <c r="B4338" t="str">
        <v>Parallel Polkadot Lending</v>
      </c>
      <c r="C4338" t="str">
        <v>Lending</v>
      </c>
      <c r="D4338" t="str">
        <v>-</v>
      </c>
      <c r="E4338">
        <v>0</v>
      </c>
      <c r="F4338">
        <v>0</v>
      </c>
    </row>
    <row r="4339" spans="2:6" ht="15.75" customHeight="1" x14ac:dyDescent="0.25">
      <c r="B4339" t="str">
        <v>Parallel Polkadot Liquid Staking</v>
      </c>
      <c r="C4339" t="str">
        <v>Liquid Staking</v>
      </c>
      <c r="D4339" t="str">
        <v>PARA</v>
      </c>
      <c r="E4339">
        <v>0</v>
      </c>
      <c r="F4339">
        <v>0</v>
      </c>
    </row>
    <row r="4340" spans="2:6" ht="15.75" customHeight="1" x14ac:dyDescent="0.25">
      <c r="B4340" t="str">
        <v>Parallel Protocol V2</v>
      </c>
      <c r="C4340" t="str">
        <v>CDP</v>
      </c>
      <c r="D4340" t="str">
        <v>PRL</v>
      </c>
      <c r="E4340">
        <v>1462061.4293799731</v>
      </c>
      <c r="F4340">
        <v>0</v>
      </c>
    </row>
    <row r="4341" spans="2:6" ht="15.75" customHeight="1" x14ac:dyDescent="0.25">
      <c r="B4341" t="str">
        <v>Parallel Protocol V3</v>
      </c>
      <c r="C4341" t="str">
        <v>CDP</v>
      </c>
      <c r="D4341" t="str">
        <v>PRL</v>
      </c>
      <c r="E4341">
        <v>3153575.9669399969</v>
      </c>
      <c r="F4341">
        <v>0</v>
      </c>
    </row>
    <row r="4342" spans="2:6" ht="15.75" customHeight="1" x14ac:dyDescent="0.25">
      <c r="B4342" t="str">
        <v>Parallel Staking</v>
      </c>
      <c r="C4342" t="str">
        <v>Yield</v>
      </c>
      <c r="D4342" t="str">
        <v>-</v>
      </c>
      <c r="E4342">
        <v>35201.083172162325</v>
      </c>
      <c r="F4342">
        <v>0</v>
      </c>
    </row>
    <row r="4343" spans="2:6" ht="15.75" customHeight="1" x14ac:dyDescent="0.25">
      <c r="B4343" t="str">
        <v>Paraluni Dex</v>
      </c>
      <c r="C4343" t="str">
        <v>Dexs</v>
      </c>
      <c r="D4343" t="str">
        <v>T42</v>
      </c>
      <c r="E4343">
        <v>337086.8422701087</v>
      </c>
      <c r="F4343">
        <v>0</v>
      </c>
    </row>
    <row r="4344" spans="2:6" ht="15.75" customHeight="1" x14ac:dyDescent="0.25">
      <c r="B4344" t="str">
        <v>Paraluni Masterchef</v>
      </c>
      <c r="C4344" t="str">
        <v>Yield</v>
      </c>
      <c r="D4344" t="str">
        <v>T42</v>
      </c>
      <c r="E4344">
        <v>36459.608886046008</v>
      </c>
      <c r="F4344">
        <v>0</v>
      </c>
    </row>
    <row r="4345" spans="2:6" ht="15.75" customHeight="1" x14ac:dyDescent="0.25">
      <c r="B4345" t="str">
        <v>Parasail</v>
      </c>
      <c r="C4345" t="str">
        <v>Restaking</v>
      </c>
      <c r="D4345" t="str">
        <v>-</v>
      </c>
      <c r="E4345">
        <v>11648440.460733052</v>
      </c>
      <c r="F4345">
        <v>0</v>
      </c>
    </row>
    <row r="4346" spans="2:6" ht="15.75" customHeight="1" x14ac:dyDescent="0.25">
      <c r="B4346" t="str">
        <v>ParaSpace APE Staking V1</v>
      </c>
      <c r="C4346" t="str">
        <v>Yield</v>
      </c>
      <c r="D4346" t="str">
        <v>-</v>
      </c>
      <c r="E4346">
        <v>33004.442848639781</v>
      </c>
      <c r="F4346">
        <v>0</v>
      </c>
    </row>
    <row r="4347" spans="2:6" ht="15.75" customHeight="1" x14ac:dyDescent="0.25">
      <c r="B4347" t="str">
        <v>ParaSpace Lending V1</v>
      </c>
      <c r="C4347" t="str">
        <v>Lending</v>
      </c>
      <c r="D4347" t="str">
        <v>-</v>
      </c>
      <c r="E4347">
        <v>172800.20903109832</v>
      </c>
      <c r="F4347">
        <v>0</v>
      </c>
    </row>
    <row r="4348" spans="2:6" ht="15.75" customHeight="1" x14ac:dyDescent="0.25">
      <c r="B4348" t="str">
        <v>Parasset</v>
      </c>
      <c r="C4348" t="str">
        <v>CDP</v>
      </c>
      <c r="D4348" t="str">
        <v>ASET</v>
      </c>
      <c r="E4348">
        <v>0</v>
      </c>
      <c r="F4348">
        <v>0</v>
      </c>
    </row>
    <row r="4349" spans="2:6" ht="15.75" customHeight="1" x14ac:dyDescent="0.25">
      <c r="B4349" t="str">
        <v>Parcl V2</v>
      </c>
      <c r="C4349" t="str">
        <v>Synthetics</v>
      </c>
      <c r="D4349" t="str">
        <v>PRCL</v>
      </c>
      <c r="E4349">
        <v>5358.5884329798064</v>
      </c>
      <c r="F4349">
        <v>0</v>
      </c>
    </row>
    <row r="4350" spans="2:6" ht="15.75" customHeight="1" x14ac:dyDescent="0.25">
      <c r="B4350" t="str">
        <v>Parcl V3</v>
      </c>
      <c r="C4350" t="str">
        <v>Derivatives</v>
      </c>
      <c r="D4350" t="str">
        <v>PRCL</v>
      </c>
      <c r="E4350">
        <v>5193956.8851440381</v>
      </c>
      <c r="F4350">
        <v>0</v>
      </c>
    </row>
    <row r="4351" spans="2:6" ht="15.75" customHeight="1" x14ac:dyDescent="0.25">
      <c r="B4351" t="str">
        <v>Pareto Credit</v>
      </c>
      <c r="C4351" t="str">
        <v>RWA Lending</v>
      </c>
      <c r="D4351" t="str">
        <v>-</v>
      </c>
      <c r="E4351">
        <v>129855547.27952826</v>
      </c>
      <c r="F4351">
        <v>0</v>
      </c>
    </row>
    <row r="4352" spans="2:6" ht="15.75" customHeight="1" x14ac:dyDescent="0.25">
      <c r="B4352" t="str">
        <v>Paribus</v>
      </c>
      <c r="C4352" t="str">
        <v>Lending</v>
      </c>
      <c r="D4352" t="str">
        <v>PBX</v>
      </c>
      <c r="E4352">
        <v>0</v>
      </c>
      <c r="F4352">
        <v>352295.0287511216</v>
      </c>
    </row>
    <row r="4353" spans="2:6" ht="15.75" customHeight="1" x14ac:dyDescent="0.25">
      <c r="B4353" t="str">
        <v>Parraton</v>
      </c>
      <c r="C4353" t="str">
        <v>Yield Aggregator</v>
      </c>
      <c r="D4353" t="str">
        <v>-</v>
      </c>
      <c r="E4353">
        <v>5503.8700255138219</v>
      </c>
      <c r="F4353">
        <v>0</v>
      </c>
    </row>
    <row r="4354" spans="2:6" ht="15.75" customHeight="1" x14ac:dyDescent="0.25">
      <c r="B4354" t="str">
        <v>Parrot Defi</v>
      </c>
      <c r="C4354" t="str">
        <v>Farm</v>
      </c>
      <c r="D4354" t="str">
        <v>PPEGG</v>
      </c>
      <c r="E4354">
        <v>34537.442428936105</v>
      </c>
      <c r="F4354">
        <v>0</v>
      </c>
    </row>
    <row r="4355" spans="2:6" ht="15.75" customHeight="1" x14ac:dyDescent="0.25">
      <c r="B4355" t="str">
        <v>Parrot Protocol</v>
      </c>
      <c r="C4355" t="str">
        <v>CDP</v>
      </c>
      <c r="D4355" t="str">
        <v>PRT</v>
      </c>
      <c r="E4355">
        <v>12932.4195557116</v>
      </c>
      <c r="F4355">
        <v>0</v>
      </c>
    </row>
    <row r="4356" spans="2:6" ht="15.75" customHeight="1" x14ac:dyDescent="0.25">
      <c r="B4356" t="str">
        <v>Partial Finance</v>
      </c>
      <c r="C4356" t="str">
        <v>Algo-Stables</v>
      </c>
      <c r="D4356" t="str">
        <v>PARTIAL</v>
      </c>
      <c r="E4356">
        <v>0</v>
      </c>
      <c r="F4356">
        <v>0</v>
      </c>
    </row>
    <row r="4357" spans="2:6" ht="15.75" customHeight="1" x14ac:dyDescent="0.25">
      <c r="B4357" t="str">
        <v>Particle DUO</v>
      </c>
      <c r="C4357" t="str">
        <v>CDP</v>
      </c>
      <c r="D4357" t="str">
        <v>PTC</v>
      </c>
      <c r="E4357">
        <v>3871.0800305122521</v>
      </c>
      <c r="F4357">
        <v>0</v>
      </c>
    </row>
    <row r="4358" spans="2:6" ht="15.75" customHeight="1" x14ac:dyDescent="0.25">
      <c r="B4358" t="str">
        <v>Particle LAMM</v>
      </c>
      <c r="C4358" t="str">
        <v>Derivatives</v>
      </c>
      <c r="D4358" t="str">
        <v>PTC</v>
      </c>
      <c r="E4358">
        <v>167358.61044296328</v>
      </c>
      <c r="F4358">
        <v>0</v>
      </c>
    </row>
    <row r="4359" spans="2:6" ht="15.75" customHeight="1" x14ac:dyDescent="0.25">
      <c r="B4359" t="str">
        <v>Particles Money</v>
      </c>
      <c r="C4359" t="str">
        <v>Algo-Stables</v>
      </c>
      <c r="D4359" t="str">
        <v>PARTICLE</v>
      </c>
      <c r="E4359">
        <v>699.5152826752834</v>
      </c>
      <c r="F4359">
        <v>0</v>
      </c>
    </row>
    <row r="4360" spans="2:6" ht="15.75" customHeight="1" x14ac:dyDescent="0.25">
      <c r="B4360" t="str">
        <v>PartySwap</v>
      </c>
      <c r="C4360" t="str">
        <v>Dexs</v>
      </c>
      <c r="D4360" t="str">
        <v>PARTY</v>
      </c>
      <c r="E4360">
        <v>6708.7813857179517</v>
      </c>
      <c r="F4360">
        <v>0</v>
      </c>
    </row>
    <row r="4361" spans="2:6" ht="15.75" customHeight="1" x14ac:dyDescent="0.25">
      <c r="B4361" t="str">
        <v>PassDEX</v>
      </c>
      <c r="C4361" t="str">
        <v>Dexs</v>
      </c>
      <c r="D4361" t="str">
        <v>-</v>
      </c>
      <c r="E4361">
        <v>19023.498100794266</v>
      </c>
      <c r="F4361">
        <v>0</v>
      </c>
    </row>
    <row r="4362" spans="2:6" ht="15.75" customHeight="1" x14ac:dyDescent="0.25">
      <c r="B4362" t="str">
        <v>PattieSwap</v>
      </c>
      <c r="C4362" t="str">
        <v>Dexs</v>
      </c>
      <c r="D4362" t="str">
        <v>PATTIE</v>
      </c>
      <c r="E4362">
        <v>591.3122471769359</v>
      </c>
      <c r="F4362">
        <v>0</v>
      </c>
    </row>
    <row r="4363" spans="2:6" ht="15.75" customHeight="1" x14ac:dyDescent="0.25">
      <c r="B4363" t="str">
        <v>Pawnfi APE Staking</v>
      </c>
      <c r="C4363" t="str">
        <v>Yield</v>
      </c>
      <c r="D4363" t="str">
        <v>-</v>
      </c>
      <c r="E4363">
        <v>3.2801998596675829E-3</v>
      </c>
      <c r="F4363">
        <v>0</v>
      </c>
    </row>
    <row r="4364" spans="2:6" ht="15.75" customHeight="1" x14ac:dyDescent="0.25">
      <c r="B4364" t="str">
        <v>Pawnfi Lending</v>
      </c>
      <c r="C4364" t="str">
        <v>NFT Lending</v>
      </c>
      <c r="D4364" t="str">
        <v>-</v>
      </c>
      <c r="E4364">
        <v>68649.947285229122</v>
      </c>
      <c r="F4364">
        <v>0</v>
      </c>
    </row>
    <row r="4365" spans="2:6" ht="15.75" customHeight="1" x14ac:dyDescent="0.25">
      <c r="B4365" t="str">
        <v>Paxe Protocol</v>
      </c>
      <c r="C4365" t="str">
        <v>Farm</v>
      </c>
      <c r="D4365" t="str">
        <v>PAXE</v>
      </c>
      <c r="E4365">
        <v>0</v>
      </c>
      <c r="F4365">
        <v>0</v>
      </c>
    </row>
    <row r="4366" spans="2:6" ht="15.75" customHeight="1" x14ac:dyDescent="0.25">
      <c r="B4366" t="str">
        <v>Paxos Gold</v>
      </c>
      <c r="C4366" t="str">
        <v>RWA</v>
      </c>
      <c r="D4366" t="str">
        <v>PAXG</v>
      </c>
      <c r="E4366">
        <v>1705523965.6848102</v>
      </c>
      <c r="F4366">
        <v>1707204538.6879618</v>
      </c>
    </row>
    <row r="4367" spans="2:6" ht="15.75" customHeight="1" x14ac:dyDescent="0.25">
      <c r="B4367" t="str">
        <v>Pay Protocol</v>
      </c>
      <c r="C4367" t="str">
        <v>Payments</v>
      </c>
      <c r="D4367" t="str">
        <v>-</v>
      </c>
      <c r="E4367">
        <v>5056463.8853488117</v>
      </c>
      <c r="F4367">
        <v>0</v>
      </c>
    </row>
    <row r="4368" spans="2:6" ht="15.75" customHeight="1" x14ac:dyDescent="0.25">
      <c r="B4368" t="str">
        <v>PayCash</v>
      </c>
      <c r="C4368" t="str">
        <v>Dexs</v>
      </c>
      <c r="D4368" t="str">
        <v>MLNK</v>
      </c>
      <c r="E4368">
        <v>321092131.59355998</v>
      </c>
      <c r="F4368">
        <v>0</v>
      </c>
    </row>
    <row r="4369" spans="2:6" ht="15.75" customHeight="1" x14ac:dyDescent="0.25">
      <c r="B4369" t="str">
        <v>PBG</v>
      </c>
      <c r="C4369" t="str">
        <v>Onchain Capital Allocator</v>
      </c>
      <c r="D4369" t="str">
        <v>PBG</v>
      </c>
      <c r="E4369">
        <v>987543.89865695639</v>
      </c>
      <c r="F4369">
        <v>0</v>
      </c>
    </row>
    <row r="4370" spans="2:6" ht="15.75" customHeight="1" x14ac:dyDescent="0.25">
      <c r="B4370" t="str">
        <v>pDollar</v>
      </c>
      <c r="C4370" t="str">
        <v>Algo-Stables</v>
      </c>
      <c r="D4370" t="str">
        <v>PDO</v>
      </c>
      <c r="E4370">
        <v>0</v>
      </c>
      <c r="F4370">
        <v>0</v>
      </c>
    </row>
    <row r="4371" spans="2:6" ht="15.75" customHeight="1" x14ac:dyDescent="0.25">
      <c r="B4371" t="str">
        <v>Peak Finance</v>
      </c>
      <c r="C4371" t="str">
        <v>Algo-Stables</v>
      </c>
      <c r="D4371" t="str">
        <v>PEAK</v>
      </c>
      <c r="E4371">
        <v>0</v>
      </c>
      <c r="F4371">
        <v>0</v>
      </c>
    </row>
    <row r="4372" spans="2:6" ht="15.75" customHeight="1" x14ac:dyDescent="0.25">
      <c r="B4372" t="str">
        <v>PEAKDEFI</v>
      </c>
      <c r="C4372" t="str">
        <v>Yield</v>
      </c>
      <c r="D4372" t="str">
        <v>PEAK</v>
      </c>
      <c r="E4372">
        <v>110639.99851476916</v>
      </c>
      <c r="F4372">
        <v>221561.07348388337</v>
      </c>
    </row>
    <row r="4373" spans="2:6" ht="15.75" customHeight="1" x14ac:dyDescent="0.25">
      <c r="B4373" t="str">
        <v>Peaky Finance</v>
      </c>
      <c r="C4373" t="str">
        <v>Derivatives</v>
      </c>
      <c r="D4373" t="str">
        <v>-</v>
      </c>
      <c r="E4373">
        <v>0.78361281352307133</v>
      </c>
      <c r="F4373">
        <v>0</v>
      </c>
    </row>
    <row r="4374" spans="2:6" ht="15.75" customHeight="1" x14ac:dyDescent="0.25">
      <c r="B4374" t="str">
        <v>Peapods Finance</v>
      </c>
      <c r="C4374" t="str">
        <v>Yield</v>
      </c>
      <c r="D4374" t="str">
        <v>PEAS</v>
      </c>
      <c r="E4374">
        <v>8109804.434419848</v>
      </c>
      <c r="F4374">
        <v>4993528.8156811642</v>
      </c>
    </row>
    <row r="4375" spans="2:6" ht="15.75" customHeight="1" x14ac:dyDescent="0.25">
      <c r="B4375" t="str">
        <v>Pear DAO</v>
      </c>
      <c r="C4375" t="str">
        <v>Services</v>
      </c>
      <c r="D4375" t="str">
        <v>PEX</v>
      </c>
      <c r="E4375">
        <v>7127.7917900410812</v>
      </c>
      <c r="F4375">
        <v>1524597.7384917892</v>
      </c>
    </row>
    <row r="4376" spans="2:6" ht="15.75" customHeight="1" x14ac:dyDescent="0.25">
      <c r="B4376" t="str">
        <v>Pear Interface</v>
      </c>
      <c r="C4376" t="str">
        <v>Interface</v>
      </c>
      <c r="D4376" t="str">
        <v>PEAR</v>
      </c>
      <c r="E4376">
        <v>0</v>
      </c>
      <c r="F4376">
        <v>0</v>
      </c>
    </row>
    <row r="4377" spans="2:6" ht="15.75" customHeight="1" x14ac:dyDescent="0.25">
      <c r="B4377" t="str">
        <v>Pear Perps</v>
      </c>
      <c r="C4377" t="str">
        <v>Derivatives</v>
      </c>
      <c r="D4377" t="str">
        <v>PEAR</v>
      </c>
      <c r="E4377">
        <v>0</v>
      </c>
      <c r="F4377">
        <v>0</v>
      </c>
    </row>
    <row r="4378" spans="2:6" ht="15.75" customHeight="1" x14ac:dyDescent="0.25">
      <c r="B4378" t="str">
        <v>Pearl V1</v>
      </c>
      <c r="C4378" t="str">
        <v>Dexs</v>
      </c>
      <c r="D4378" t="str">
        <v>PEARL</v>
      </c>
      <c r="E4378">
        <v>29331.2628374409</v>
      </c>
      <c r="F4378">
        <v>0</v>
      </c>
    </row>
    <row r="4379" spans="2:6" ht="15.75" customHeight="1" x14ac:dyDescent="0.25">
      <c r="B4379" t="str">
        <v>Pearl V1.5</v>
      </c>
      <c r="C4379" t="str">
        <v>Dexs</v>
      </c>
      <c r="D4379" t="str">
        <v>PEARL</v>
      </c>
      <c r="E4379">
        <v>0</v>
      </c>
      <c r="F4379">
        <v>0</v>
      </c>
    </row>
    <row r="4380" spans="2:6" ht="15.75" customHeight="1" x14ac:dyDescent="0.25">
      <c r="B4380" t="str">
        <v>Pearl V2</v>
      </c>
      <c r="C4380" t="str">
        <v>Dexs</v>
      </c>
      <c r="D4380" t="str">
        <v>PEARL</v>
      </c>
      <c r="E4380">
        <v>0</v>
      </c>
      <c r="F4380">
        <v>0</v>
      </c>
    </row>
    <row r="4381" spans="2:6" ht="15.75" customHeight="1" x14ac:dyDescent="0.25">
      <c r="B4381" t="str">
        <v>PearZap</v>
      </c>
      <c r="C4381" t="str">
        <v>Yield</v>
      </c>
      <c r="D4381" t="str">
        <v>PEAR</v>
      </c>
      <c r="E4381">
        <v>37461.270555301366</v>
      </c>
      <c r="F4381">
        <v>0</v>
      </c>
    </row>
    <row r="4382" spans="2:6" ht="15.75" customHeight="1" x14ac:dyDescent="0.25">
      <c r="B4382" t="str">
        <v>Peel Defi</v>
      </c>
      <c r="C4382" t="str">
        <v>Algo-Stables</v>
      </c>
      <c r="D4382" t="str">
        <v>PEEL</v>
      </c>
      <c r="E4382">
        <v>0</v>
      </c>
      <c r="F4382">
        <v>0</v>
      </c>
    </row>
    <row r="4383" spans="2:6" ht="15.75" customHeight="1" x14ac:dyDescent="0.25">
      <c r="B4383" t="str">
        <v>PeerMe</v>
      </c>
      <c r="C4383" t="str">
        <v>Services</v>
      </c>
      <c r="D4383" t="str">
        <v>SUPER</v>
      </c>
      <c r="E4383">
        <v>11808.350470386411</v>
      </c>
      <c r="F4383">
        <v>0</v>
      </c>
    </row>
    <row r="4384" spans="2:6" ht="15.75" customHeight="1" x14ac:dyDescent="0.25">
      <c r="B4384" t="str">
        <v>Pegasus Finance</v>
      </c>
      <c r="C4384" t="str">
        <v>Derivatives</v>
      </c>
      <c r="D4384" t="str">
        <v>PEGA</v>
      </c>
      <c r="E4384">
        <v>1914.3185103174035</v>
      </c>
      <c r="F4384">
        <v>0</v>
      </c>
    </row>
    <row r="4385" spans="2:6" ht="15.75" customHeight="1" x14ac:dyDescent="0.25">
      <c r="B4385" t="str">
        <v>Pegasusdollar</v>
      </c>
      <c r="C4385" t="str">
        <v>Algo-Stables</v>
      </c>
      <c r="D4385" t="str">
        <v>PES</v>
      </c>
      <c r="E4385">
        <v>14403.836488366367</v>
      </c>
      <c r="F4385">
        <v>0</v>
      </c>
    </row>
    <row r="4386" spans="2:6" ht="15.75" customHeight="1" x14ac:dyDescent="0.25">
      <c r="B4386" t="str">
        <v>PegaSys V2</v>
      </c>
      <c r="C4386" t="str">
        <v>Dexs</v>
      </c>
      <c r="D4386" t="str">
        <v>PSYS</v>
      </c>
      <c r="E4386">
        <v>0</v>
      </c>
      <c r="F4386">
        <v>0</v>
      </c>
    </row>
    <row r="4387" spans="2:6" ht="15.75" customHeight="1" x14ac:dyDescent="0.25">
      <c r="B4387" t="str">
        <v>PegaSys V3</v>
      </c>
      <c r="C4387" t="str">
        <v>Dexs</v>
      </c>
      <c r="D4387" t="str">
        <v>PSYS</v>
      </c>
      <c r="E4387">
        <v>57464.379324080539</v>
      </c>
      <c r="F4387">
        <v>0</v>
      </c>
    </row>
    <row r="4388" spans="2:6" ht="15.75" customHeight="1" x14ac:dyDescent="0.25">
      <c r="B4388" t="str">
        <v>Pell Network</v>
      </c>
      <c r="C4388" t="str">
        <v>Restaking</v>
      </c>
      <c r="D4388" t="str">
        <v>-</v>
      </c>
      <c r="E4388">
        <v>594563.45968142105</v>
      </c>
      <c r="F4388">
        <v>0</v>
      </c>
    </row>
    <row r="4389" spans="2:6" ht="15.75" customHeight="1" x14ac:dyDescent="0.25">
      <c r="B4389" t="str">
        <v>PembRock Finance</v>
      </c>
      <c r="C4389" t="str">
        <v>Yield</v>
      </c>
      <c r="D4389" t="str">
        <v>PEM</v>
      </c>
      <c r="E4389">
        <v>0</v>
      </c>
      <c r="F4389">
        <v>0</v>
      </c>
    </row>
    <row r="4390" spans="2:6" ht="15.75" customHeight="1" x14ac:dyDescent="0.25">
      <c r="B4390" t="str">
        <v>Pencil Finance</v>
      </c>
      <c r="C4390" t="str">
        <v>RWA Lending</v>
      </c>
      <c r="D4390" t="str">
        <v>-</v>
      </c>
      <c r="E4390">
        <v>10378219.945662482</v>
      </c>
      <c r="F4390">
        <v>0</v>
      </c>
    </row>
    <row r="4391" spans="2:6" ht="15.75" customHeight="1" x14ac:dyDescent="0.25">
      <c r="B4391" t="str">
        <v>Pencils Protocol</v>
      </c>
      <c r="C4391" t="str">
        <v>Farm</v>
      </c>
      <c r="D4391" t="str">
        <v>DAPP</v>
      </c>
      <c r="E4391">
        <v>46.991305229079344</v>
      </c>
      <c r="F4391">
        <v>4498.1847747900219</v>
      </c>
    </row>
    <row r="4392" spans="2:6" ht="15.75" customHeight="1" x14ac:dyDescent="0.25">
      <c r="B4392" t="str">
        <v>Pendle</v>
      </c>
      <c r="C4392" t="str">
        <v>Yield</v>
      </c>
      <c r="D4392" t="str">
        <v>PENDLE</v>
      </c>
      <c r="E4392">
        <v>3799947611.1372643</v>
      </c>
      <c r="F4392">
        <v>357337781.8135829</v>
      </c>
    </row>
    <row r="4393" spans="2:6" ht="15.75" customHeight="1" x14ac:dyDescent="0.25">
      <c r="B4393" t="str">
        <v>Penguin</v>
      </c>
      <c r="C4393" t="str">
        <v>Dexs</v>
      </c>
      <c r="D4393" t="str">
        <v>-</v>
      </c>
      <c r="E4393">
        <v>24754.072048921753</v>
      </c>
      <c r="F4393">
        <v>0</v>
      </c>
    </row>
    <row r="4394" spans="2:6" ht="15.75" customHeight="1" x14ac:dyDescent="0.25">
      <c r="B4394" t="str">
        <v>Penguin Finance</v>
      </c>
      <c r="C4394" t="str">
        <v>Yield</v>
      </c>
      <c r="D4394" t="str">
        <v>PEFI</v>
      </c>
      <c r="E4394">
        <v>126607.79501112852</v>
      </c>
      <c r="F4394">
        <v>60481.834120719548</v>
      </c>
    </row>
    <row r="4395" spans="2:6" ht="15.75" customHeight="1" x14ac:dyDescent="0.25">
      <c r="B4395" t="str">
        <v>Penpie</v>
      </c>
      <c r="C4395" t="str">
        <v>Yield</v>
      </c>
      <c r="D4395" t="str">
        <v>PNP</v>
      </c>
      <c r="E4395">
        <v>59815964.807844557</v>
      </c>
      <c r="F4395">
        <v>14208295.637874611</v>
      </c>
    </row>
    <row r="4396" spans="2:6" ht="15.75" customHeight="1" x14ac:dyDescent="0.25">
      <c r="B4396" t="str">
        <v>Penrose</v>
      </c>
      <c r="C4396" t="str">
        <v>Yield</v>
      </c>
      <c r="D4396" t="str">
        <v>PEN</v>
      </c>
      <c r="E4396">
        <v>49218.54364769825</v>
      </c>
      <c r="F4396">
        <v>0</v>
      </c>
    </row>
    <row r="4397" spans="2:6" ht="15.75" customHeight="1" x14ac:dyDescent="0.25">
      <c r="B4397" t="str">
        <v>Penumbra Dex</v>
      </c>
      <c r="C4397" t="str">
        <v>Dexs</v>
      </c>
      <c r="D4397" t="str">
        <v>-</v>
      </c>
      <c r="E4397">
        <v>10999.384377557401</v>
      </c>
      <c r="F4397">
        <v>0</v>
      </c>
    </row>
    <row r="4398" spans="2:6" ht="15.75" customHeight="1" x14ac:dyDescent="0.25">
      <c r="B4398" t="str">
        <v>Pepeboost</v>
      </c>
      <c r="C4398" t="str">
        <v>Telegram Bot</v>
      </c>
      <c r="D4398" t="str">
        <v>-</v>
      </c>
      <c r="E4398">
        <v>0</v>
      </c>
      <c r="F4398">
        <v>0</v>
      </c>
    </row>
    <row r="4399" spans="2:6" ht="15.75" customHeight="1" x14ac:dyDescent="0.25">
      <c r="B4399" t="str">
        <v>PepeDex</v>
      </c>
      <c r="C4399" t="str">
        <v>Gaming</v>
      </c>
      <c r="D4399" t="str">
        <v>PPDEX</v>
      </c>
      <c r="E4399">
        <v>7101.944898367884</v>
      </c>
      <c r="F4399">
        <v>12091.562971469941</v>
      </c>
    </row>
    <row r="4400" spans="2:6" ht="15.75" customHeight="1" x14ac:dyDescent="0.25">
      <c r="B4400" t="str">
        <v>PepeTeam Bridge</v>
      </c>
      <c r="C4400" t="str">
        <v>Bridge</v>
      </c>
      <c r="D4400" t="str">
        <v>-</v>
      </c>
      <c r="E4400">
        <v>1309972.5821104131</v>
      </c>
      <c r="F4400">
        <v>0</v>
      </c>
    </row>
    <row r="4401" spans="2:6" ht="15.75" customHeight="1" x14ac:dyDescent="0.25">
      <c r="B4401" t="str">
        <v>PepeTeam DEX</v>
      </c>
      <c r="C4401" t="str">
        <v>Dexs</v>
      </c>
      <c r="D4401" t="str">
        <v>-</v>
      </c>
      <c r="E4401">
        <v>96700.327238321493</v>
      </c>
      <c r="F4401">
        <v>0</v>
      </c>
    </row>
    <row r="4402" spans="2:6" ht="15.75" customHeight="1" x14ac:dyDescent="0.25">
      <c r="B4402" t="str">
        <v>PepeTeam sWAVES</v>
      </c>
      <c r="C4402" t="str">
        <v>Liquid Staking</v>
      </c>
      <c r="D4402" t="str">
        <v>-</v>
      </c>
      <c r="E4402">
        <v>877507.58086038125</v>
      </c>
      <c r="F4402">
        <v>0</v>
      </c>
    </row>
    <row r="4403" spans="2:6" ht="15.75" customHeight="1" x14ac:dyDescent="0.25">
      <c r="B4403" t="str">
        <v>Peppercoin</v>
      </c>
      <c r="C4403" t="str">
        <v>Governance Incentives</v>
      </c>
      <c r="D4403" t="str">
        <v>PEPPER</v>
      </c>
      <c r="E4403">
        <v>0</v>
      </c>
      <c r="F4403">
        <v>10362046.580337236</v>
      </c>
    </row>
    <row r="4404" spans="2:6" ht="15.75" customHeight="1" x14ac:dyDescent="0.25">
      <c r="B4404" t="str">
        <v>Percent Finance</v>
      </c>
      <c r="C4404" t="str">
        <v>Lending</v>
      </c>
      <c r="D4404" t="str">
        <v>PCT</v>
      </c>
      <c r="E4404">
        <v>191571.99524197303</v>
      </c>
      <c r="F4404">
        <v>7189063.4521459229</v>
      </c>
    </row>
    <row r="4405" spans="2:6" ht="15.75" customHeight="1" x14ac:dyDescent="0.25">
      <c r="B4405" t="str">
        <v>Percentme</v>
      </c>
      <c r="C4405" t="str">
        <v>Lending</v>
      </c>
      <c r="D4405" t="str">
        <v>-</v>
      </c>
      <c r="E4405">
        <v>75407.218050759388</v>
      </c>
      <c r="F4405">
        <v>0</v>
      </c>
    </row>
    <row r="4406" spans="2:6" ht="15.75" customHeight="1" x14ac:dyDescent="0.25">
      <c r="B4406" t="str">
        <v>Perena Dex</v>
      </c>
      <c r="C4406" t="str">
        <v>Dexs</v>
      </c>
      <c r="D4406" t="str">
        <v>-</v>
      </c>
      <c r="E4406">
        <v>1014532.7495055069</v>
      </c>
      <c r="F4406">
        <v>0</v>
      </c>
    </row>
    <row r="4407" spans="2:6" ht="15.75" customHeight="1" x14ac:dyDescent="0.25">
      <c r="B4407" t="str">
        <v>Perena Vaults</v>
      </c>
      <c r="C4407" t="str">
        <v>Onchain Capital Allocator</v>
      </c>
      <c r="D4407" t="str">
        <v>-</v>
      </c>
      <c r="E4407">
        <v>29673991.596907955</v>
      </c>
      <c r="F4407">
        <v>0</v>
      </c>
    </row>
    <row r="4408" spans="2:6" ht="15.75" customHeight="1" x14ac:dyDescent="0.25">
      <c r="B4408" t="str">
        <v>Perennial V1</v>
      </c>
      <c r="C4408" t="str">
        <v>Derivatives</v>
      </c>
      <c r="D4408" t="str">
        <v>-</v>
      </c>
      <c r="E4408">
        <v>340759.76505111525</v>
      </c>
      <c r="F4408">
        <v>0</v>
      </c>
    </row>
    <row r="4409" spans="2:6" ht="15.75" customHeight="1" x14ac:dyDescent="0.25">
      <c r="B4409" t="str">
        <v>Perennial V2</v>
      </c>
      <c r="C4409" t="str">
        <v>Derivatives</v>
      </c>
      <c r="D4409" t="str">
        <v>-</v>
      </c>
      <c r="E4409">
        <v>236729.20622588517</v>
      </c>
      <c r="F4409">
        <v>0</v>
      </c>
    </row>
    <row r="4410" spans="2:6" ht="15.75" customHeight="1" x14ac:dyDescent="0.25">
      <c r="B4410" t="str">
        <v>Perfect Pool</v>
      </c>
      <c r="C4410" t="str">
        <v>Prediction Market</v>
      </c>
      <c r="D4410" t="str">
        <v>-</v>
      </c>
      <c r="E4410">
        <v>2563.0931856767065</v>
      </c>
      <c r="F4410">
        <v>0</v>
      </c>
    </row>
    <row r="4411" spans="2:6" ht="15.75" customHeight="1" x14ac:dyDescent="0.25">
      <c r="B4411" t="str">
        <v>PerfectSwap</v>
      </c>
      <c r="C4411" t="str">
        <v>Dexs</v>
      </c>
      <c r="D4411" t="str">
        <v>PRFCT</v>
      </c>
      <c r="E4411">
        <v>1.0552032076995759E-6</v>
      </c>
      <c r="F4411">
        <v>0</v>
      </c>
    </row>
    <row r="4412" spans="2:6" ht="15.75" customHeight="1" x14ac:dyDescent="0.25">
      <c r="B4412" t="str">
        <v>Peridot</v>
      </c>
      <c r="C4412" t="str">
        <v>Lending</v>
      </c>
      <c r="D4412" t="str">
        <v>P</v>
      </c>
      <c r="E4412">
        <v>7277.9454706596243</v>
      </c>
      <c r="F4412">
        <v>0</v>
      </c>
    </row>
    <row r="4413" spans="2:6" ht="15.75" customHeight="1" x14ac:dyDescent="0.25">
      <c r="B4413" t="str">
        <v>Perion</v>
      </c>
      <c r="C4413" t="str">
        <v>Gaming</v>
      </c>
      <c r="D4413" t="str">
        <v>PERC</v>
      </c>
      <c r="E4413">
        <v>0</v>
      </c>
      <c r="F4413">
        <v>42017.783961016328</v>
      </c>
    </row>
    <row r="4414" spans="2:6" ht="15.75" customHeight="1" x14ac:dyDescent="0.25">
      <c r="B4414" t="str">
        <v>Perlin</v>
      </c>
      <c r="C4414" t="str">
        <v>Dexs</v>
      </c>
      <c r="D4414" t="str">
        <v>PERL</v>
      </c>
      <c r="E4414">
        <v>1546.7826186913046</v>
      </c>
      <c r="F4414">
        <v>0</v>
      </c>
    </row>
    <row r="4415" spans="2:6" ht="15.75" customHeight="1" x14ac:dyDescent="0.25">
      <c r="B4415" t="str">
        <v>Permapod</v>
      </c>
      <c r="C4415" t="str">
        <v>Lending</v>
      </c>
      <c r="D4415" t="str">
        <v>-</v>
      </c>
      <c r="E4415">
        <v>853760.09543736209</v>
      </c>
      <c r="F4415">
        <v>0</v>
      </c>
    </row>
    <row r="4416" spans="2:6" ht="15.75" customHeight="1" x14ac:dyDescent="0.25">
      <c r="B4416" t="str">
        <v>Permute</v>
      </c>
      <c r="C4416" t="str">
        <v>Bridge</v>
      </c>
      <c r="D4416" t="str">
        <v>-</v>
      </c>
      <c r="E4416">
        <v>0</v>
      </c>
      <c r="F4416">
        <v>0</v>
      </c>
    </row>
    <row r="4417" spans="2:6" ht="15.75" customHeight="1" x14ac:dyDescent="0.25">
      <c r="B4417" t="str">
        <v>Perpetual Protocol</v>
      </c>
      <c r="C4417" t="str">
        <v>Derivatives</v>
      </c>
      <c r="D4417" t="str">
        <v>PERP</v>
      </c>
      <c r="E4417">
        <v>1853543.6082440133</v>
      </c>
      <c r="F4417">
        <v>6528541.1561437501</v>
      </c>
    </row>
    <row r="4418" spans="2:6" ht="15.75" customHeight="1" x14ac:dyDescent="0.25">
      <c r="B4418" t="str">
        <v>Perpie</v>
      </c>
      <c r="C4418" t="str">
        <v>Telegram Bot</v>
      </c>
      <c r="D4418" t="str">
        <v>-</v>
      </c>
      <c r="E4418">
        <v>0</v>
      </c>
      <c r="F4418">
        <v>0</v>
      </c>
    </row>
    <row r="4419" spans="2:6" ht="15.75" customHeight="1" x14ac:dyDescent="0.25">
      <c r="B4419" t="str">
        <v>Perpmate</v>
      </c>
      <c r="C4419" t="str">
        <v>Interface</v>
      </c>
      <c r="D4419" t="str">
        <v>-</v>
      </c>
      <c r="E4419">
        <v>0</v>
      </c>
      <c r="F4419">
        <v>0</v>
      </c>
    </row>
    <row r="4420" spans="2:6" ht="15.75" customHeight="1" x14ac:dyDescent="0.25">
      <c r="B4420" t="str">
        <v>Perpstreet</v>
      </c>
      <c r="C4420" t="str">
        <v>Derivatives</v>
      </c>
      <c r="D4420" t="str">
        <v>-</v>
      </c>
      <c r="E4420">
        <v>520.39816644305984</v>
      </c>
      <c r="F4420">
        <v>0</v>
      </c>
    </row>
    <row r="4421" spans="2:6" ht="15.75" customHeight="1" x14ac:dyDescent="0.25">
      <c r="B4421" t="str">
        <v>Perseid Finance</v>
      </c>
      <c r="C4421" t="str">
        <v>Leveraged Farming</v>
      </c>
      <c r="D4421" t="str">
        <v>PED</v>
      </c>
      <c r="E4421">
        <v>198.05261121326299</v>
      </c>
      <c r="F4421">
        <v>0</v>
      </c>
    </row>
    <row r="4422" spans="2:6" ht="15.75" customHeight="1" x14ac:dyDescent="0.25">
      <c r="B4422" t="str">
        <v>Persistence DEX</v>
      </c>
      <c r="C4422" t="str">
        <v>Dexs</v>
      </c>
      <c r="D4422" t="str">
        <v>-</v>
      </c>
      <c r="E4422">
        <v>173292.54068693321</v>
      </c>
      <c r="F4422">
        <v>0</v>
      </c>
    </row>
    <row r="4423" spans="2:6" ht="15.75" customHeight="1" x14ac:dyDescent="0.25">
      <c r="B4423" t="str">
        <v>PHAME Protocol</v>
      </c>
      <c r="C4423" t="str">
        <v>Derivatives</v>
      </c>
      <c r="D4423" t="str">
        <v>PHAME</v>
      </c>
      <c r="E4423">
        <v>680170.53633611579</v>
      </c>
      <c r="F4423">
        <v>0</v>
      </c>
    </row>
    <row r="4424" spans="2:6" ht="15.75" customHeight="1" x14ac:dyDescent="0.25">
      <c r="B4424" t="str">
        <v>Phantom Finance</v>
      </c>
      <c r="C4424" t="str">
        <v>Farm</v>
      </c>
      <c r="D4424" t="str">
        <v>PHANTOM</v>
      </c>
      <c r="E4424">
        <v>607.98319822652445</v>
      </c>
      <c r="F4424">
        <v>0</v>
      </c>
    </row>
    <row r="4425" spans="2:6" ht="15.75" customHeight="1" x14ac:dyDescent="0.25">
      <c r="B4425" t="str">
        <v>Phantom Perps</v>
      </c>
      <c r="C4425" t="str">
        <v>Interface</v>
      </c>
      <c r="D4425" t="str">
        <v>-</v>
      </c>
      <c r="E4425">
        <v>0</v>
      </c>
      <c r="F4425">
        <v>0</v>
      </c>
    </row>
    <row r="4426" spans="2:6" ht="15.75" customHeight="1" x14ac:dyDescent="0.25">
      <c r="B4426" t="str">
        <v>Phantom SOL</v>
      </c>
      <c r="C4426" t="str">
        <v>Liquid Staking</v>
      </c>
      <c r="D4426" t="str">
        <v>-</v>
      </c>
      <c r="E4426">
        <v>154903022.70372573</v>
      </c>
      <c r="F4426">
        <v>0</v>
      </c>
    </row>
    <row r="4427" spans="2:6" ht="15.75" customHeight="1" x14ac:dyDescent="0.25">
      <c r="B4427" t="str">
        <v>Phantom Wallet</v>
      </c>
      <c r="C4427" t="str">
        <v>Wallets</v>
      </c>
      <c r="D4427" t="str">
        <v>-</v>
      </c>
      <c r="E4427">
        <v>0</v>
      </c>
      <c r="F4427">
        <v>0</v>
      </c>
    </row>
    <row r="4428" spans="2:6" ht="15.75" customHeight="1" x14ac:dyDescent="0.25">
      <c r="B4428" t="str">
        <v>Pharaoh CL</v>
      </c>
      <c r="C4428" t="str">
        <v>Dexs</v>
      </c>
      <c r="D4428" t="str">
        <v>PHAR</v>
      </c>
      <c r="E4428">
        <v>6315899.7460081941</v>
      </c>
      <c r="F4428">
        <v>0</v>
      </c>
    </row>
    <row r="4429" spans="2:6" ht="15.75" customHeight="1" x14ac:dyDescent="0.25">
      <c r="B4429" t="str">
        <v>Pharaoh Legacy</v>
      </c>
      <c r="C4429" t="str">
        <v>Dexs</v>
      </c>
      <c r="D4429" t="str">
        <v>PHAR</v>
      </c>
      <c r="E4429">
        <v>4684763.6225489061</v>
      </c>
      <c r="F4429">
        <v>0</v>
      </c>
    </row>
    <row r="4430" spans="2:6" ht="15.75" customHeight="1" x14ac:dyDescent="0.25">
      <c r="B4430" t="str">
        <v>Pharaoh V3</v>
      </c>
      <c r="C4430" t="str">
        <v>Dexs</v>
      </c>
      <c r="D4430" t="str">
        <v>PHAR</v>
      </c>
      <c r="E4430">
        <v>39701341.142462052</v>
      </c>
      <c r="F4430">
        <v>0</v>
      </c>
    </row>
    <row r="4431" spans="2:6" ht="15.75" customHeight="1" x14ac:dyDescent="0.25">
      <c r="B4431" t="str">
        <v>Pharaoh V3 Legacy</v>
      </c>
      <c r="C4431" t="str">
        <v>Dexs</v>
      </c>
      <c r="D4431" t="str">
        <v>PHAR</v>
      </c>
      <c r="E4431">
        <v>1345602.3751997878</v>
      </c>
      <c r="F4431">
        <v>0</v>
      </c>
    </row>
    <row r="4432" spans="2:6" ht="15.75" customHeight="1" x14ac:dyDescent="0.25">
      <c r="B4432" t="str">
        <v>Phase</v>
      </c>
      <c r="C4432" t="str">
        <v>CDP</v>
      </c>
      <c r="D4432" t="str">
        <v>CASH</v>
      </c>
      <c r="E4432">
        <v>109.2560692557402</v>
      </c>
      <c r="F4432">
        <v>0</v>
      </c>
    </row>
    <row r="4433" spans="2:6" ht="15.75" customHeight="1" x14ac:dyDescent="0.25">
      <c r="B4433" t="str">
        <v>PheasantSwap</v>
      </c>
      <c r="C4433" t="str">
        <v>Dexs</v>
      </c>
      <c r="D4433" t="str">
        <v>-</v>
      </c>
      <c r="E4433">
        <v>2202.3432516276221</v>
      </c>
      <c r="F4433">
        <v>0</v>
      </c>
    </row>
    <row r="4434" spans="2:6" ht="15.75" customHeight="1" x14ac:dyDescent="0.25">
      <c r="B4434" t="str">
        <v>Phenix DEX</v>
      </c>
      <c r="C4434" t="str">
        <v>Dexs</v>
      </c>
      <c r="D4434" t="str">
        <v>PHNX</v>
      </c>
      <c r="E4434">
        <v>2370.0943650486811</v>
      </c>
      <c r="F4434">
        <v>0</v>
      </c>
    </row>
    <row r="4435" spans="2:6" ht="15.75" customHeight="1" x14ac:dyDescent="0.25">
      <c r="B4435" t="str">
        <v>Phezzan Protocol</v>
      </c>
      <c r="C4435" t="str">
        <v>Dexs</v>
      </c>
      <c r="D4435" t="str">
        <v>-</v>
      </c>
      <c r="E4435">
        <v>0</v>
      </c>
      <c r="F4435">
        <v>0</v>
      </c>
    </row>
    <row r="4436" spans="2:6" ht="15.75" customHeight="1" x14ac:dyDescent="0.25">
      <c r="B4436" t="str">
        <v>Phi</v>
      </c>
      <c r="C4436" t="str">
        <v>Launchpad</v>
      </c>
      <c r="D4436" t="str">
        <v>PHI</v>
      </c>
      <c r="E4436">
        <v>5252.7907344945261</v>
      </c>
      <c r="F4436">
        <v>0</v>
      </c>
    </row>
    <row r="4437" spans="2:6" ht="15.75" customHeight="1" x14ac:dyDescent="0.25">
      <c r="B4437" t="str">
        <v>Phiat Protocol</v>
      </c>
      <c r="C4437" t="str">
        <v>Lending</v>
      </c>
      <c r="D4437" t="str">
        <v>PHIAT</v>
      </c>
      <c r="E4437">
        <v>2911068.6701537808</v>
      </c>
      <c r="F4437">
        <v>0</v>
      </c>
    </row>
    <row r="4438" spans="2:6" ht="15.75" customHeight="1" x14ac:dyDescent="0.25">
      <c r="B4438" t="str">
        <v>Philetairus Socius</v>
      </c>
      <c r="C4438" t="str">
        <v>Dexs</v>
      </c>
      <c r="D4438" t="str">
        <v>SOCIUS</v>
      </c>
      <c r="E4438">
        <v>35.210081146732847</v>
      </c>
      <c r="F4438">
        <v>0</v>
      </c>
    </row>
    <row r="4439" spans="2:6" ht="15.75" customHeight="1" x14ac:dyDescent="0.25">
      <c r="B4439" t="str">
        <v>Phission Finance</v>
      </c>
      <c r="C4439" t="str">
        <v>Derivatives</v>
      </c>
      <c r="D4439" t="str">
        <v>PHI</v>
      </c>
      <c r="E4439">
        <v>1738.8142730042728</v>
      </c>
      <c r="F4439">
        <v>0</v>
      </c>
    </row>
    <row r="4440" spans="2:6" ht="15.75" customHeight="1" x14ac:dyDescent="0.25">
      <c r="B4440" t="str">
        <v>Phoenix</v>
      </c>
      <c r="C4440" t="str">
        <v>Dexs</v>
      </c>
      <c r="D4440" t="str">
        <v>-</v>
      </c>
      <c r="E4440">
        <v>3678165.9929885841</v>
      </c>
      <c r="F4440">
        <v>0</v>
      </c>
    </row>
    <row r="4441" spans="2:6" ht="15.75" customHeight="1" x14ac:dyDescent="0.25">
      <c r="B4441" t="str">
        <v>Phoenix Bonds</v>
      </c>
      <c r="C4441" t="str">
        <v>Yield Aggregator</v>
      </c>
      <c r="D4441" t="str">
        <v>pNEAR</v>
      </c>
      <c r="E4441">
        <v>377675.2315175049</v>
      </c>
      <c r="F4441">
        <v>0</v>
      </c>
    </row>
    <row r="4442" spans="2:6" ht="15.75" customHeight="1" x14ac:dyDescent="0.25">
      <c r="B4442" t="str">
        <v>Phoenix DeFi Hub</v>
      </c>
      <c r="C4442" t="str">
        <v>Dexs</v>
      </c>
      <c r="D4442" t="str">
        <v>PHO</v>
      </c>
      <c r="E4442">
        <v>4394486.6824470051</v>
      </c>
      <c r="F4442">
        <v>0</v>
      </c>
    </row>
    <row r="4443" spans="2:6" ht="15.75" customHeight="1" x14ac:dyDescent="0.25">
      <c r="B4443" t="str">
        <v>Phoenix DEX</v>
      </c>
      <c r="C4443" t="str">
        <v>Dexs</v>
      </c>
      <c r="D4443" t="str">
        <v>-</v>
      </c>
      <c r="E4443">
        <v>6687.8811883421349</v>
      </c>
      <c r="F4443">
        <v>0</v>
      </c>
    </row>
    <row r="4444" spans="2:6" ht="15.75" customHeight="1" x14ac:dyDescent="0.25">
      <c r="B4444" t="str">
        <v>Phoenix Ergo</v>
      </c>
      <c r="C4444" t="str">
        <v>Farm</v>
      </c>
      <c r="D4444" t="str">
        <v>-</v>
      </c>
      <c r="E4444">
        <v>27139.726760671598</v>
      </c>
      <c r="F4444">
        <v>0</v>
      </c>
    </row>
    <row r="4445" spans="2:6" ht="15.75" customHeight="1" x14ac:dyDescent="0.25">
      <c r="B4445" t="str">
        <v>Phoenix Finance</v>
      </c>
      <c r="C4445" t="str">
        <v>Options</v>
      </c>
      <c r="D4445" t="str">
        <v>PHX</v>
      </c>
      <c r="E4445">
        <v>0</v>
      </c>
      <c r="F4445">
        <v>0</v>
      </c>
    </row>
    <row r="4446" spans="2:6" ht="15.75" customHeight="1" x14ac:dyDescent="0.25">
      <c r="B4446" t="str">
        <v>PhoLend</v>
      </c>
      <c r="C4446" t="str">
        <v>Lending</v>
      </c>
      <c r="D4446" t="str">
        <v>-</v>
      </c>
      <c r="E4446">
        <v>165.56970496859009</v>
      </c>
      <c r="F4446">
        <v>0</v>
      </c>
    </row>
    <row r="4447" spans="2:6" ht="15.75" customHeight="1" x14ac:dyDescent="0.25">
      <c r="B4447" t="str">
        <v>Photon</v>
      </c>
      <c r="C4447" t="str">
        <v>Trading App</v>
      </c>
      <c r="D4447" t="str">
        <v>-</v>
      </c>
      <c r="E4447">
        <v>0</v>
      </c>
      <c r="F4447">
        <v>0</v>
      </c>
    </row>
    <row r="4448" spans="2:6" ht="15.75" customHeight="1" x14ac:dyDescent="0.25">
      <c r="B4448" t="str">
        <v>Photon Protocol</v>
      </c>
      <c r="C4448" t="str">
        <v>Reserve Currency</v>
      </c>
      <c r="D4448" t="str">
        <v>PHOTON</v>
      </c>
      <c r="E4448">
        <v>1363.2681450944065</v>
      </c>
      <c r="F4448">
        <v>0</v>
      </c>
    </row>
    <row r="4449" spans="2:6" ht="15.75" customHeight="1" x14ac:dyDescent="0.25">
      <c r="B4449" t="str">
        <v>PhotonSwap Finance</v>
      </c>
      <c r="C4449" t="str">
        <v>Dexs</v>
      </c>
      <c r="D4449" t="str">
        <v>PHOTON</v>
      </c>
      <c r="E4449">
        <v>147587.61358086986</v>
      </c>
      <c r="F4449">
        <v>0</v>
      </c>
    </row>
    <row r="4450" spans="2:6" ht="15.75" customHeight="1" x14ac:dyDescent="0.25">
      <c r="B4450" t="str">
        <v>Phuture</v>
      </c>
      <c r="C4450" t="str">
        <v>Indexes</v>
      </c>
      <c r="D4450" t="str">
        <v>PHTR</v>
      </c>
      <c r="E4450">
        <v>1739251.9922212812</v>
      </c>
      <c r="F4450">
        <v>155653.95284180628</v>
      </c>
    </row>
    <row r="4451" spans="2:6" ht="15.75" customHeight="1" x14ac:dyDescent="0.25">
      <c r="B4451" t="str">
        <v>PHUX</v>
      </c>
      <c r="C4451" t="str">
        <v>Dexs</v>
      </c>
      <c r="D4451" t="str">
        <v>PHUX</v>
      </c>
      <c r="E4451">
        <v>1326169.3169319956</v>
      </c>
      <c r="F4451">
        <v>0</v>
      </c>
    </row>
    <row r="4452" spans="2:6" ht="15.75" customHeight="1" x14ac:dyDescent="0.25">
      <c r="B4452" t="str">
        <v>Phygitals</v>
      </c>
      <c r="C4452" t="str">
        <v>Physical TCG</v>
      </c>
      <c r="D4452" t="str">
        <v>-</v>
      </c>
      <c r="E4452">
        <v>0</v>
      </c>
      <c r="F4452">
        <v>0</v>
      </c>
    </row>
    <row r="4453" spans="2:6" ht="15.75" customHeight="1" x14ac:dyDescent="0.25">
      <c r="B4453" t="str">
        <v>Physica Finance</v>
      </c>
      <c r="C4453" t="str">
        <v>Dexs</v>
      </c>
      <c r="D4453" t="str">
        <v>-</v>
      </c>
      <c r="E4453">
        <v>2560.3955680033478</v>
      </c>
      <c r="F4453">
        <v>0</v>
      </c>
    </row>
    <row r="4454" spans="2:6" ht="15.75" customHeight="1" x14ac:dyDescent="0.25">
      <c r="B4454" t="str">
        <v>Pickle</v>
      </c>
      <c r="C4454" t="str">
        <v>Yield Aggregator</v>
      </c>
      <c r="D4454" t="str">
        <v>PICKLE</v>
      </c>
      <c r="E4454">
        <v>8633618.8676300701</v>
      </c>
      <c r="F4454">
        <v>63127.724977807004</v>
      </c>
    </row>
    <row r="4455" spans="2:6" ht="15.75" customHeight="1" x14ac:dyDescent="0.25">
      <c r="B4455" t="str">
        <v>Picnic</v>
      </c>
      <c r="C4455" t="str">
        <v>Indexes</v>
      </c>
      <c r="D4455" t="str">
        <v>-</v>
      </c>
      <c r="E4455">
        <v>200470.040791156</v>
      </c>
      <c r="F4455">
        <v>0</v>
      </c>
    </row>
    <row r="4456" spans="2:6" ht="15.75" customHeight="1" x14ac:dyDescent="0.25">
      <c r="B4456" t="str">
        <v>Pico Staked SOL</v>
      </c>
      <c r="C4456" t="str">
        <v>Liquid Staking</v>
      </c>
      <c r="D4456" t="str">
        <v>-</v>
      </c>
      <c r="E4456">
        <v>18945487.699478123</v>
      </c>
      <c r="F4456">
        <v>0</v>
      </c>
    </row>
    <row r="4457" spans="2:6" ht="15.75" customHeight="1" x14ac:dyDescent="0.25">
      <c r="B4457" t="str">
        <v>PICWE</v>
      </c>
      <c r="C4457" t="str">
        <v>Dexs</v>
      </c>
      <c r="D4457" t="str">
        <v>-</v>
      </c>
      <c r="E4457">
        <v>478059.31055238971</v>
      </c>
      <c r="F4457">
        <v>0</v>
      </c>
    </row>
    <row r="4458" spans="2:6" ht="15.75" customHeight="1" x14ac:dyDescent="0.25">
      <c r="B4458" t="str">
        <v>Pidao Finance</v>
      </c>
      <c r="C4458" t="str">
        <v>Reserve Currency</v>
      </c>
      <c r="D4458" t="str">
        <v>PID</v>
      </c>
      <c r="E4458">
        <v>1.1537163133224129</v>
      </c>
      <c r="F4458">
        <v>0</v>
      </c>
    </row>
    <row r="4459" spans="2:6" ht="15.75" customHeight="1" x14ac:dyDescent="0.25">
      <c r="B4459" t="str">
        <v>PieDAO</v>
      </c>
      <c r="C4459" t="str">
        <v>Indexes</v>
      </c>
      <c r="D4459" t="str">
        <v>DOUGH</v>
      </c>
      <c r="E4459">
        <v>980179.53939378657</v>
      </c>
      <c r="F4459">
        <v>363084.44908166752</v>
      </c>
    </row>
    <row r="4460" spans="2:6" ht="15.75" customHeight="1" x14ac:dyDescent="0.25">
      <c r="B4460" t="str">
        <v>Piggy</v>
      </c>
      <c r="C4460" t="str">
        <v>CDP</v>
      </c>
      <c r="D4460" t="str">
        <v>PIGGY</v>
      </c>
      <c r="E4460">
        <v>14822.726773529432</v>
      </c>
      <c r="F4460">
        <v>0</v>
      </c>
    </row>
    <row r="4461" spans="2:6" ht="15.75" customHeight="1" x14ac:dyDescent="0.25">
      <c r="B4461" t="str">
        <v>Piggy Finance</v>
      </c>
      <c r="C4461" t="str">
        <v>Yield</v>
      </c>
      <c r="D4461" t="str">
        <v>PIGGY</v>
      </c>
      <c r="E4461">
        <v>0</v>
      </c>
      <c r="F4461">
        <v>0</v>
      </c>
    </row>
    <row r="4462" spans="2:6" ht="15.75" customHeight="1" x14ac:dyDescent="0.25">
      <c r="B4462" t="str">
        <v>Piggybank DAO</v>
      </c>
      <c r="C4462" t="str">
        <v>Reserve Currency</v>
      </c>
      <c r="D4462" t="str">
        <v>PB</v>
      </c>
      <c r="E4462">
        <v>6.6806942100000005E-16</v>
      </c>
      <c r="F4462">
        <v>0</v>
      </c>
    </row>
    <row r="4463" spans="2:6" ht="15.75" customHeight="1" x14ac:dyDescent="0.25">
      <c r="B4463" t="str">
        <v>Pika</v>
      </c>
      <c r="C4463" t="str">
        <v>Derivatives</v>
      </c>
      <c r="D4463" t="str">
        <v>PIKA</v>
      </c>
      <c r="E4463">
        <v>321554.90225995582</v>
      </c>
      <c r="F4463">
        <v>0</v>
      </c>
    </row>
    <row r="4464" spans="2:6" ht="15.75" customHeight="1" x14ac:dyDescent="0.25">
      <c r="B4464" t="str">
        <v>Pika V4</v>
      </c>
      <c r="C4464" t="str">
        <v>Derivatives</v>
      </c>
      <c r="D4464" t="str">
        <v>PIKA</v>
      </c>
      <c r="E4464">
        <v>2996.9080338680569</v>
      </c>
      <c r="F4464">
        <v>0</v>
      </c>
    </row>
    <row r="4465" spans="2:6" ht="15.75" customHeight="1" x14ac:dyDescent="0.25">
      <c r="B4465" t="str">
        <v>Pike</v>
      </c>
      <c r="C4465" t="str">
        <v>Lending</v>
      </c>
      <c r="D4465" t="str">
        <v>P</v>
      </c>
      <c r="E4465">
        <v>0</v>
      </c>
      <c r="F4465">
        <v>130238.61595618882</v>
      </c>
    </row>
    <row r="4466" spans="2:6" ht="15.75" customHeight="1" x14ac:dyDescent="0.25">
      <c r="B4466" t="str">
        <v>Piku</v>
      </c>
      <c r="C4466" t="str">
        <v>Yield</v>
      </c>
      <c r="D4466" t="str">
        <v>PIKU</v>
      </c>
      <c r="E4466">
        <v>5750808.090107101</v>
      </c>
      <c r="F4466">
        <v>0</v>
      </c>
    </row>
    <row r="4467" spans="2:6" ht="15.75" customHeight="1" x14ac:dyDescent="0.25">
      <c r="B4467" t="str">
        <v>Pillar</v>
      </c>
      <c r="C4467" t="str">
        <v>Algo-Stables</v>
      </c>
      <c r="D4467" t="str">
        <v>-</v>
      </c>
      <c r="E4467">
        <v>1251.9191677944</v>
      </c>
      <c r="F4467">
        <v>0</v>
      </c>
    </row>
    <row r="4468" spans="2:6" ht="15.75" customHeight="1" x14ac:dyDescent="0.25">
      <c r="B4468" t="str">
        <v>Pilot Protocol</v>
      </c>
      <c r="C4468" t="str">
        <v>Lending</v>
      </c>
      <c r="D4468" t="str">
        <v>PTD</v>
      </c>
      <c r="E4468">
        <v>0</v>
      </c>
      <c r="F4468">
        <v>0</v>
      </c>
    </row>
    <row r="4469" spans="2:6" ht="15.75" customHeight="1" x14ac:dyDescent="0.25">
      <c r="B4469" t="str">
        <v>Pine Protocol</v>
      </c>
      <c r="C4469" t="str">
        <v>NFT Lending</v>
      </c>
      <c r="D4469" t="str">
        <v>PINE</v>
      </c>
      <c r="E4469">
        <v>25252.640473697473</v>
      </c>
      <c r="F4469">
        <v>357752.44251318724</v>
      </c>
    </row>
    <row r="4470" spans="2:6" ht="15.75" customHeight="1" x14ac:dyDescent="0.25">
      <c r="B4470" t="str">
        <v>Pingu Exchange</v>
      </c>
      <c r="C4470" t="str">
        <v>Derivatives</v>
      </c>
      <c r="D4470" t="str">
        <v>PINGU</v>
      </c>
      <c r="E4470">
        <v>1396063.0338144887</v>
      </c>
      <c r="F4470">
        <v>0</v>
      </c>
    </row>
    <row r="4471" spans="2:6" ht="15.75" customHeight="1" x14ac:dyDescent="0.25">
      <c r="B4471" t="str">
        <v>Pinjam Labs</v>
      </c>
      <c r="C4471" t="str">
        <v>Lending</v>
      </c>
      <c r="D4471" t="str">
        <v>PINKAV</v>
      </c>
      <c r="E4471">
        <v>-1654.7692550719612</v>
      </c>
      <c r="F4471">
        <v>0</v>
      </c>
    </row>
    <row r="4472" spans="2:6" ht="15.75" customHeight="1" x14ac:dyDescent="0.25">
      <c r="B4472" t="str">
        <v>PinkPea Finance</v>
      </c>
      <c r="C4472" t="str">
        <v>Yield Aggregator</v>
      </c>
      <c r="D4472" t="str">
        <v>PEA</v>
      </c>
      <c r="E4472">
        <v>6464.2687957919707</v>
      </c>
      <c r="F4472">
        <v>0</v>
      </c>
    </row>
    <row r="4473" spans="2:6" ht="15.75" customHeight="1" x14ac:dyDescent="0.25">
      <c r="B4473" t="str">
        <v>PinkSale</v>
      </c>
      <c r="C4473" t="str">
        <v>Launchpad</v>
      </c>
      <c r="D4473" t="str">
        <v>PINKSALE</v>
      </c>
      <c r="E4473">
        <v>235455615.05833298</v>
      </c>
      <c r="F4473">
        <v>31014353.668789782</v>
      </c>
    </row>
    <row r="4474" spans="2:6" ht="15.75" customHeight="1" x14ac:dyDescent="0.25">
      <c r="B4474" t="str">
        <v>PinkSwap</v>
      </c>
      <c r="C4474" t="str">
        <v>Dexs</v>
      </c>
      <c r="D4474" t="str">
        <v>PINKS</v>
      </c>
      <c r="E4474">
        <v>643917.07268546673</v>
      </c>
      <c r="F4474">
        <v>0</v>
      </c>
    </row>
    <row r="4475" spans="2:6" ht="15.75" customHeight="1" x14ac:dyDescent="0.25">
      <c r="B4475" t="str">
        <v>Pinnako</v>
      </c>
      <c r="C4475" t="str">
        <v>Derivatives</v>
      </c>
      <c r="D4475" t="str">
        <v>PIKO</v>
      </c>
      <c r="E4475">
        <v>0</v>
      </c>
      <c r="F4475">
        <v>0</v>
      </c>
    </row>
    <row r="4476" spans="2:6" ht="15.75" customHeight="1" x14ac:dyDescent="0.25">
      <c r="B4476" t="str">
        <v>Pinot V3</v>
      </c>
      <c r="C4476" t="str">
        <v>Dexs</v>
      </c>
      <c r="D4476" t="str">
        <v>-</v>
      </c>
      <c r="E4476">
        <v>2613.2889084573676</v>
      </c>
      <c r="F4476">
        <v>0</v>
      </c>
    </row>
    <row r="4477" spans="2:6" ht="15.75" customHeight="1" x14ac:dyDescent="0.25">
      <c r="B4477" t="str">
        <v>PinSwap</v>
      </c>
      <c r="C4477" t="str">
        <v>Dexs</v>
      </c>
      <c r="D4477" t="str">
        <v>-</v>
      </c>
      <c r="E4477">
        <v>48172.207380084816</v>
      </c>
      <c r="F4477">
        <v>0</v>
      </c>
    </row>
    <row r="4478" spans="2:6" ht="15.75" customHeight="1" x14ac:dyDescent="0.25">
      <c r="B4478" t="str">
        <v>Pinto</v>
      </c>
      <c r="C4478" t="str">
        <v>Algo-Stables</v>
      </c>
      <c r="D4478" t="str">
        <v>PINTO</v>
      </c>
      <c r="E4478">
        <v>0</v>
      </c>
      <c r="F4478">
        <v>3431870.9201115463</v>
      </c>
    </row>
    <row r="4479" spans="2:6" ht="15.75" customHeight="1" x14ac:dyDescent="0.25">
      <c r="B4479" t="str">
        <v>Pinyottas</v>
      </c>
      <c r="C4479" t="str">
        <v>NFT Marketplace</v>
      </c>
      <c r="D4479" t="str">
        <v>-</v>
      </c>
      <c r="E4479">
        <v>3037.7361537738739</v>
      </c>
      <c r="F4479">
        <v>0</v>
      </c>
    </row>
    <row r="4480" spans="2:6" ht="15.75" customHeight="1" x14ac:dyDescent="0.25">
      <c r="B4480" t="str">
        <v>PiperX V2</v>
      </c>
      <c r="C4480" t="str">
        <v>Dexs</v>
      </c>
      <c r="D4480" t="str">
        <v>-</v>
      </c>
      <c r="E4480">
        <v>165012.69494405721</v>
      </c>
      <c r="F4480">
        <v>0</v>
      </c>
    </row>
    <row r="4481" spans="2:6" ht="15.75" customHeight="1" x14ac:dyDescent="0.25">
      <c r="B4481" t="str">
        <v>PiperX V3</v>
      </c>
      <c r="C4481" t="str">
        <v>Dexs</v>
      </c>
      <c r="D4481" t="str">
        <v>-</v>
      </c>
      <c r="E4481">
        <v>1742972.8625835187</v>
      </c>
      <c r="F4481">
        <v>0</v>
      </c>
    </row>
    <row r="4482" spans="2:6" ht="15.75" customHeight="1" x14ac:dyDescent="0.25">
      <c r="B4482" t="str">
        <v>Pippi</v>
      </c>
      <c r="C4482" t="str">
        <v>Dexs</v>
      </c>
      <c r="D4482" t="str">
        <v>PIPI</v>
      </c>
      <c r="E4482">
        <v>75169.227375469476</v>
      </c>
      <c r="F4482">
        <v>0</v>
      </c>
    </row>
    <row r="4483" spans="2:6" ht="15.75" customHeight="1" x14ac:dyDescent="0.25">
      <c r="B4483" t="str">
        <v>PirateDAO</v>
      </c>
      <c r="C4483" t="str">
        <v>Reserve Currency</v>
      </c>
      <c r="D4483" t="str">
        <v>JOLLY</v>
      </c>
      <c r="E4483">
        <v>809.79313967961036</v>
      </c>
      <c r="F4483">
        <v>0</v>
      </c>
    </row>
    <row r="4484" spans="2:6" ht="15.75" customHeight="1" x14ac:dyDescent="0.25">
      <c r="B4484" t="str">
        <v>Pirex</v>
      </c>
      <c r="C4484" t="str">
        <v>Yield</v>
      </c>
      <c r="D4484" t="str">
        <v>BTRFLY</v>
      </c>
      <c r="E4484">
        <v>3837750.3586638551</v>
      </c>
      <c r="F4484">
        <v>0</v>
      </c>
    </row>
    <row r="4485" spans="2:6" ht="15.75" customHeight="1" x14ac:dyDescent="0.25">
      <c r="B4485" t="str">
        <v>Pit Finance</v>
      </c>
      <c r="C4485" t="str">
        <v>Yield Aggregator</v>
      </c>
      <c r="D4485" t="str">
        <v>-</v>
      </c>
      <c r="E4485">
        <v>38380.106392832036</v>
      </c>
      <c r="F4485">
        <v>0</v>
      </c>
    </row>
    <row r="4486" spans="2:6" ht="15.75" customHeight="1" x14ac:dyDescent="0.25">
      <c r="B4486" t="str">
        <v>PixelSwap</v>
      </c>
      <c r="C4486" t="str">
        <v>Dexs</v>
      </c>
      <c r="D4486" t="str">
        <v>PIXEL</v>
      </c>
      <c r="E4486">
        <v>1045.826856035879</v>
      </c>
      <c r="F4486">
        <v>0</v>
      </c>
    </row>
    <row r="4487" spans="2:6" ht="15.75" customHeight="1" x14ac:dyDescent="0.25">
      <c r="B4487" t="str">
        <v>PixelSwap (PIX)</v>
      </c>
      <c r="C4487" t="str">
        <v>Dexs</v>
      </c>
      <c r="D4487" t="str">
        <v>-</v>
      </c>
      <c r="E4487">
        <v>8577.1337214552514</v>
      </c>
      <c r="F4487">
        <v>0</v>
      </c>
    </row>
    <row r="4488" spans="2:6" ht="15.75" customHeight="1" x14ac:dyDescent="0.25">
      <c r="B4488" t="str">
        <v>Pizza</v>
      </c>
      <c r="C4488" t="str">
        <v>Lending</v>
      </c>
      <c r="D4488" t="str">
        <v>PIZZA</v>
      </c>
      <c r="E4488">
        <v>0</v>
      </c>
      <c r="F4488">
        <v>0</v>
      </c>
    </row>
    <row r="4489" spans="2:6" ht="15.75" customHeight="1" x14ac:dyDescent="0.25">
      <c r="B4489" t="str">
        <v>Pizza City</v>
      </c>
      <c r="C4489" t="str">
        <v>Gamified Mining</v>
      </c>
      <c r="D4489" t="str">
        <v>PIZZA</v>
      </c>
      <c r="E4489">
        <v>0</v>
      </c>
      <c r="F4489">
        <v>0</v>
      </c>
    </row>
    <row r="4490" spans="2:6" ht="15.75" customHeight="1" x14ac:dyDescent="0.25">
      <c r="B4490" t="str">
        <v>PizzaX</v>
      </c>
      <c r="C4490" t="str">
        <v>Ponzi</v>
      </c>
      <c r="D4490" t="str">
        <v>PizzaX</v>
      </c>
      <c r="E4490">
        <v>9.3486724599680215</v>
      </c>
      <c r="F4490">
        <v>0</v>
      </c>
    </row>
    <row r="4491" spans="2:6" ht="15.75" customHeight="1" x14ac:dyDescent="0.25">
      <c r="B4491" t="str">
        <v>Planet Farm</v>
      </c>
      <c r="C4491" t="str">
        <v>Yield</v>
      </c>
      <c r="D4491" t="str">
        <v>AQUA</v>
      </c>
      <c r="E4491">
        <v>1890828.6737210122</v>
      </c>
      <c r="F4491">
        <v>0</v>
      </c>
    </row>
    <row r="4492" spans="2:6" ht="15.75" customHeight="1" x14ac:dyDescent="0.25">
      <c r="B4492" t="str">
        <v>PlantBaseSwap</v>
      </c>
      <c r="C4492" t="str">
        <v>Dexs</v>
      </c>
      <c r="D4492" t="str">
        <v>PLANT</v>
      </c>
      <c r="E4492">
        <v>33.632355528830772</v>
      </c>
      <c r="F4492">
        <v>0</v>
      </c>
    </row>
    <row r="4493" spans="2:6" ht="15.75" customHeight="1" x14ac:dyDescent="0.25">
      <c r="B4493" t="str">
        <v>Plasma Saving Vaults</v>
      </c>
      <c r="C4493" t="str">
        <v>Onchain Capital Allocator</v>
      </c>
      <c r="D4493" t="str">
        <v>-</v>
      </c>
      <c r="E4493">
        <v>309611237.25266427</v>
      </c>
      <c r="F4493">
        <v>0</v>
      </c>
    </row>
    <row r="4494" spans="2:6" ht="15.75" customHeight="1" x14ac:dyDescent="0.25">
      <c r="B4494" t="str">
        <v>Platinum Finance</v>
      </c>
      <c r="C4494" t="str">
        <v>Algo-Stables</v>
      </c>
      <c r="D4494" t="str">
        <v>PLAT</v>
      </c>
      <c r="E4494">
        <v>0</v>
      </c>
      <c r="F4494">
        <v>0</v>
      </c>
    </row>
    <row r="4495" spans="2:6" ht="15.75" customHeight="1" x14ac:dyDescent="0.25">
      <c r="B4495" t="str">
        <v>Platypus Finance</v>
      </c>
      <c r="C4495" t="str">
        <v>Dexs</v>
      </c>
      <c r="D4495" t="str">
        <v>PTP</v>
      </c>
      <c r="E4495">
        <v>51582.844057566908</v>
      </c>
      <c r="F4495">
        <v>41664.892453047607</v>
      </c>
    </row>
    <row r="4496" spans="2:6" ht="15.75" customHeight="1" x14ac:dyDescent="0.25">
      <c r="B4496" t="str">
        <v>Plaza Finance</v>
      </c>
      <c r="C4496" t="str">
        <v>Derivatives</v>
      </c>
      <c r="D4496" t="str">
        <v>-</v>
      </c>
      <c r="E4496">
        <v>0</v>
      </c>
      <c r="F4496">
        <v>0</v>
      </c>
    </row>
    <row r="4497" spans="2:6" ht="15.75" customHeight="1" x14ac:dyDescent="0.25">
      <c r="B4497" t="str">
        <v>Pleasing Gold</v>
      </c>
      <c r="C4497" t="str">
        <v>RWA</v>
      </c>
      <c r="D4497" t="str">
        <v>PGOLD</v>
      </c>
      <c r="E4497">
        <v>86348237.664272144</v>
      </c>
      <c r="F4497">
        <v>0</v>
      </c>
    </row>
    <row r="4498" spans="2:6" ht="15.75" customHeight="1" x14ac:dyDescent="0.25">
      <c r="B4498" t="str">
        <v>PleasrDAO</v>
      </c>
      <c r="C4498" t="str">
        <v>Services</v>
      </c>
      <c r="D4498" t="str">
        <v>-</v>
      </c>
      <c r="E4498">
        <v>0</v>
      </c>
      <c r="F4498">
        <v>0</v>
      </c>
    </row>
    <row r="4499" spans="2:6" ht="15.75" customHeight="1" x14ac:dyDescent="0.25">
      <c r="B4499" t="str">
        <v>Plenty</v>
      </c>
      <c r="C4499" t="str">
        <v>Dexs</v>
      </c>
      <c r="D4499" t="str">
        <v>PLY</v>
      </c>
      <c r="E4499">
        <v>114482.59764803266</v>
      </c>
      <c r="F4499">
        <v>0</v>
      </c>
    </row>
    <row r="4500" spans="2:6" ht="15.75" customHeight="1" x14ac:dyDescent="0.25">
      <c r="B4500" t="str">
        <v>PLEXUS</v>
      </c>
      <c r="C4500" t="str">
        <v>DEX Aggregator</v>
      </c>
      <c r="D4500" t="str">
        <v>PLX</v>
      </c>
      <c r="E4500">
        <v>0</v>
      </c>
      <c r="F4500">
        <v>0</v>
      </c>
    </row>
    <row r="4501" spans="2:6" ht="15.75" customHeight="1" x14ac:dyDescent="0.25">
      <c r="B4501" t="str">
        <v>Ploutos Money</v>
      </c>
      <c r="C4501" t="str">
        <v>Lending</v>
      </c>
      <c r="D4501" t="str">
        <v>-</v>
      </c>
      <c r="E4501">
        <v>81579.998933247072</v>
      </c>
      <c r="F4501">
        <v>0</v>
      </c>
    </row>
    <row r="4502" spans="2:6" ht="15.75" customHeight="1" x14ac:dyDescent="0.25">
      <c r="B4502" t="str">
        <v>Pls2e</v>
      </c>
      <c r="C4502" t="str">
        <v>Dexs</v>
      </c>
      <c r="D4502" t="str">
        <v>P2E</v>
      </c>
      <c r="E4502">
        <v>67221.401888098131</v>
      </c>
      <c r="F4502">
        <v>0</v>
      </c>
    </row>
    <row r="4503" spans="2:6" ht="15.75" customHeight="1" x14ac:dyDescent="0.25">
      <c r="B4503" t="str">
        <v>PlsPrint</v>
      </c>
      <c r="C4503" t="str">
        <v>Staking Pool</v>
      </c>
      <c r="D4503" t="str">
        <v>-</v>
      </c>
      <c r="E4503">
        <v>6.8245811734142459</v>
      </c>
      <c r="F4503">
        <v>0</v>
      </c>
    </row>
    <row r="4504" spans="2:6" ht="15.75" customHeight="1" x14ac:dyDescent="0.25">
      <c r="B4504" t="str">
        <v>PlunderSwap V2</v>
      </c>
      <c r="C4504" t="str">
        <v>Dexs</v>
      </c>
      <c r="D4504" t="str">
        <v>-</v>
      </c>
      <c r="E4504">
        <v>4386.4957906167083</v>
      </c>
      <c r="F4504">
        <v>0</v>
      </c>
    </row>
    <row r="4505" spans="2:6" ht="15.75" customHeight="1" x14ac:dyDescent="0.25">
      <c r="B4505" t="str">
        <v>PlunderSwap V3</v>
      </c>
      <c r="C4505" t="str">
        <v>Dexs</v>
      </c>
      <c r="D4505" t="str">
        <v>-</v>
      </c>
      <c r="E4505">
        <v>312514.04710444447</v>
      </c>
      <c r="F4505">
        <v>0</v>
      </c>
    </row>
    <row r="4506" spans="2:6" ht="15.75" customHeight="1" x14ac:dyDescent="0.25">
      <c r="B4506" t="str">
        <v>Plur</v>
      </c>
      <c r="C4506" t="str">
        <v>SoFi</v>
      </c>
      <c r="D4506" t="str">
        <v>-</v>
      </c>
      <c r="E4506">
        <v>1249.8137224860907</v>
      </c>
      <c r="F4506">
        <v>0</v>
      </c>
    </row>
    <row r="4507" spans="2:6" ht="15.75" customHeight="1" x14ac:dyDescent="0.25">
      <c r="B4507" t="str">
        <v>Pluto</v>
      </c>
      <c r="C4507" t="str">
        <v>Yield</v>
      </c>
      <c r="D4507" t="str">
        <v>-</v>
      </c>
      <c r="E4507">
        <v>167454.34570033071</v>
      </c>
      <c r="F4507">
        <v>0</v>
      </c>
    </row>
    <row r="4508" spans="2:6" ht="15.75" customHeight="1" x14ac:dyDescent="0.25">
      <c r="B4508" t="str">
        <v>Pluto on Waves</v>
      </c>
      <c r="C4508" t="str">
        <v>Reserve Currency</v>
      </c>
      <c r="D4508" t="str">
        <v>PLUTO</v>
      </c>
      <c r="E4508">
        <v>0</v>
      </c>
      <c r="F4508">
        <v>0</v>
      </c>
    </row>
    <row r="4509" spans="2:6" ht="15.75" customHeight="1" x14ac:dyDescent="0.25">
      <c r="B4509" t="str">
        <v>PlutusDAO</v>
      </c>
      <c r="C4509" t="str">
        <v>Yield</v>
      </c>
      <c r="D4509" t="str">
        <v>PLS</v>
      </c>
      <c r="E4509">
        <v>818805.36851723527</v>
      </c>
      <c r="F4509">
        <v>536510.61220644484</v>
      </c>
    </row>
    <row r="4510" spans="2:6" ht="15.75" customHeight="1" x14ac:dyDescent="0.25">
      <c r="B4510" t="str">
        <v>pNetwork</v>
      </c>
      <c r="C4510" t="str">
        <v>Bridge</v>
      </c>
      <c r="D4510" t="str">
        <v>PNT</v>
      </c>
      <c r="E4510">
        <v>13099805.903341999</v>
      </c>
      <c r="F4510">
        <v>71936.638540918429</v>
      </c>
    </row>
    <row r="4511" spans="2:6" ht="15.75" customHeight="1" x14ac:dyDescent="0.25">
      <c r="B4511" t="str">
        <v>Pocket Universe</v>
      </c>
      <c r="C4511" t="str">
        <v>Security Extension</v>
      </c>
      <c r="D4511" t="str">
        <v>-</v>
      </c>
      <c r="E4511">
        <v>0</v>
      </c>
      <c r="F4511">
        <v>0</v>
      </c>
    </row>
    <row r="4512" spans="2:6" ht="15.75" customHeight="1" x14ac:dyDescent="0.25">
      <c r="B4512" t="str">
        <v>Pod Finance</v>
      </c>
      <c r="C4512" t="str">
        <v>Farm</v>
      </c>
      <c r="D4512" t="str">
        <v>POD</v>
      </c>
      <c r="E4512">
        <v>0</v>
      </c>
      <c r="F4512">
        <v>0</v>
      </c>
    </row>
    <row r="4513" spans="2:6" ht="15.75" customHeight="1" x14ac:dyDescent="0.25">
      <c r="B4513" t="str">
        <v>Pods Finance</v>
      </c>
      <c r="C4513" t="str">
        <v>Options</v>
      </c>
      <c r="D4513" t="str">
        <v>-</v>
      </c>
      <c r="E4513">
        <v>391537.74414343492</v>
      </c>
      <c r="F4513">
        <v>0</v>
      </c>
    </row>
    <row r="4514" spans="2:6" ht="15.75" customHeight="1" x14ac:dyDescent="0.25">
      <c r="B4514" t="str">
        <v>Pods Yield</v>
      </c>
      <c r="C4514" t="str">
        <v>Yield</v>
      </c>
      <c r="D4514" t="str">
        <v>-</v>
      </c>
      <c r="E4514">
        <v>818592.97488158674</v>
      </c>
      <c r="F4514">
        <v>0</v>
      </c>
    </row>
    <row r="4515" spans="2:6" ht="15.75" customHeight="1" x14ac:dyDescent="0.25">
      <c r="B4515" t="str">
        <v>POISON FINANCE</v>
      </c>
      <c r="C4515" t="str">
        <v>Synthetics</v>
      </c>
      <c r="D4515" t="str">
        <v>POI$ON</v>
      </c>
      <c r="E4515">
        <v>1836.2141467262231</v>
      </c>
      <c r="F4515">
        <v>13415.770045936979</v>
      </c>
    </row>
    <row r="4516" spans="2:6" ht="15.75" customHeight="1" x14ac:dyDescent="0.25">
      <c r="B4516" t="str">
        <v>Polar Bear Finance</v>
      </c>
      <c r="C4516" t="str">
        <v>Algo-Stables</v>
      </c>
      <c r="D4516" t="str">
        <v>BEAR</v>
      </c>
      <c r="E4516">
        <v>0</v>
      </c>
      <c r="F4516">
        <v>0</v>
      </c>
    </row>
    <row r="4517" spans="2:6" ht="15.75" customHeight="1" x14ac:dyDescent="0.25">
      <c r="B4517" t="str">
        <v>Polaris Finance</v>
      </c>
      <c r="C4517" t="str">
        <v>Dexs</v>
      </c>
      <c r="D4517" t="str">
        <v>POLAR</v>
      </c>
      <c r="E4517">
        <v>11657.856792395618</v>
      </c>
      <c r="F4517">
        <v>0</v>
      </c>
    </row>
    <row r="4518" spans="2:6" ht="15.75" customHeight="1" x14ac:dyDescent="0.25">
      <c r="B4518" t="str">
        <v>Polkadex</v>
      </c>
      <c r="C4518" t="str">
        <v>Dexs</v>
      </c>
      <c r="D4518" t="str">
        <v>-</v>
      </c>
      <c r="E4518">
        <v>72043.049428988175</v>
      </c>
      <c r="F4518">
        <v>0</v>
      </c>
    </row>
    <row r="4519" spans="2:6" ht="15.75" customHeight="1" x14ac:dyDescent="0.25">
      <c r="B4519" t="str">
        <v>Polkadot Treasury</v>
      </c>
      <c r="C4519" t="str">
        <v>Foundation</v>
      </c>
      <c r="D4519" t="str">
        <v>DOT</v>
      </c>
      <c r="E4519">
        <v>0</v>
      </c>
      <c r="F4519">
        <v>3483643588.1200509</v>
      </c>
    </row>
    <row r="4520" spans="2:6" ht="15.75" customHeight="1" x14ac:dyDescent="0.25">
      <c r="B4520" t="str">
        <v>PolkaEx</v>
      </c>
      <c r="C4520" t="str">
        <v>Dexs</v>
      </c>
      <c r="D4520" t="str">
        <v>PKEX</v>
      </c>
      <c r="E4520">
        <v>15687.07591628079</v>
      </c>
      <c r="F4520">
        <v>15267.364866492322</v>
      </c>
    </row>
    <row r="4521" spans="2:6" ht="15.75" customHeight="1" x14ac:dyDescent="0.25">
      <c r="B4521" t="str">
        <v>Polkamarkets</v>
      </c>
      <c r="C4521" t="str">
        <v>Prediction Market</v>
      </c>
      <c r="D4521" t="str">
        <v>POLK</v>
      </c>
      <c r="E4521">
        <v>17899.689935569942</v>
      </c>
      <c r="F4521">
        <v>779188.40143788664</v>
      </c>
    </row>
    <row r="4522" spans="2:6" ht="15.75" customHeight="1" x14ac:dyDescent="0.25">
      <c r="B4522" t="str">
        <v>Polkastarter</v>
      </c>
      <c r="C4522" t="str">
        <v>Launchpad</v>
      </c>
      <c r="D4522" t="str">
        <v>POLS</v>
      </c>
      <c r="E4522">
        <v>0</v>
      </c>
      <c r="F4522">
        <v>8196376.2367982995</v>
      </c>
    </row>
    <row r="4523" spans="2:6" ht="15.75" customHeight="1" x14ac:dyDescent="0.25">
      <c r="B4523" t="str">
        <v>Polkaswap</v>
      </c>
      <c r="C4523" t="str">
        <v>Dexs</v>
      </c>
      <c r="D4523" t="str">
        <v>PSWAP</v>
      </c>
      <c r="E4523">
        <v>0</v>
      </c>
      <c r="F4523">
        <v>974739.69460000319</v>
      </c>
    </row>
    <row r="4524" spans="2:6" ht="15.75" customHeight="1" x14ac:dyDescent="0.25">
      <c r="B4524" t="str">
        <v>Polly Finance</v>
      </c>
      <c r="C4524" t="str">
        <v>Indexes</v>
      </c>
      <c r="D4524" t="str">
        <v>POLLY</v>
      </c>
      <c r="E4524">
        <v>3650.9580678492416</v>
      </c>
      <c r="F4524">
        <v>0</v>
      </c>
    </row>
    <row r="4525" spans="2:6" ht="15.75" customHeight="1" x14ac:dyDescent="0.25">
      <c r="B4525" t="str">
        <v>Polter Finance</v>
      </c>
      <c r="C4525" t="str">
        <v>Lending</v>
      </c>
      <c r="D4525" t="str">
        <v>POLTER</v>
      </c>
      <c r="E4525">
        <v>11648.582415739666</v>
      </c>
      <c r="F4525">
        <v>22551.210426240181</v>
      </c>
    </row>
    <row r="4526" spans="2:6" ht="15.75" customHeight="1" x14ac:dyDescent="0.25">
      <c r="B4526" t="str">
        <v>Poly Network</v>
      </c>
      <c r="C4526" t="str">
        <v>Bridge</v>
      </c>
      <c r="D4526" t="str">
        <v>-</v>
      </c>
      <c r="E4526">
        <v>44728247.74000001</v>
      </c>
      <c r="F4526">
        <v>0</v>
      </c>
    </row>
    <row r="4527" spans="2:6" ht="15.75" customHeight="1" x14ac:dyDescent="0.25">
      <c r="B4527" t="str">
        <v>Polycat</v>
      </c>
      <c r="C4527" t="str">
        <v>Farm</v>
      </c>
      <c r="D4527" t="str">
        <v>FISH</v>
      </c>
      <c r="E4527">
        <v>241166.25726139697</v>
      </c>
      <c r="F4527">
        <v>0</v>
      </c>
    </row>
    <row r="4528" spans="2:6" ht="15.75" customHeight="1" x14ac:dyDescent="0.25">
      <c r="B4528" t="str">
        <v>Polycat Dex</v>
      </c>
      <c r="C4528" t="str">
        <v>Dexs</v>
      </c>
      <c r="D4528" t="str">
        <v>FISH</v>
      </c>
      <c r="E4528">
        <v>117151.82755127575</v>
      </c>
      <c r="F4528">
        <v>0</v>
      </c>
    </row>
    <row r="4529" spans="2:6" ht="15.75" customHeight="1" x14ac:dyDescent="0.25">
      <c r="B4529" t="str">
        <v>PolyCub</v>
      </c>
      <c r="C4529" t="str">
        <v>Yield</v>
      </c>
      <c r="D4529" t="str">
        <v>POLYCUB</v>
      </c>
      <c r="E4529">
        <v>95535.361236775731</v>
      </c>
      <c r="F4529">
        <v>0</v>
      </c>
    </row>
    <row r="4530" spans="2:6" ht="15.75" customHeight="1" x14ac:dyDescent="0.25">
      <c r="B4530" t="str">
        <v>Polycule</v>
      </c>
      <c r="C4530" t="str">
        <v>Interface</v>
      </c>
      <c r="D4530" t="str">
        <v>-</v>
      </c>
      <c r="E4530">
        <v>0</v>
      </c>
      <c r="F4530">
        <v>0</v>
      </c>
    </row>
    <row r="4531" spans="2:6" ht="15.75" customHeight="1" x14ac:dyDescent="0.25">
      <c r="B4531" t="str">
        <v>Polydex</v>
      </c>
      <c r="C4531" t="str">
        <v>Dexs</v>
      </c>
      <c r="D4531" t="str">
        <v>PLX</v>
      </c>
      <c r="E4531">
        <v>3455.2161555765056</v>
      </c>
      <c r="F4531">
        <v>0</v>
      </c>
    </row>
    <row r="4532" spans="2:6" ht="15.75" customHeight="1" x14ac:dyDescent="0.25">
      <c r="B4532" t="str">
        <v>PolyDEX-Cryption Network</v>
      </c>
      <c r="C4532" t="str">
        <v>Dexs</v>
      </c>
      <c r="D4532" t="str">
        <v>CNT</v>
      </c>
      <c r="E4532">
        <v>8625.7905610509533</v>
      </c>
      <c r="F4532">
        <v>3453.5168516028311</v>
      </c>
    </row>
    <row r="4533" spans="2:6" ht="15.75" customHeight="1" x14ac:dyDescent="0.25">
      <c r="B4533" t="str">
        <v>polyfriend.tech</v>
      </c>
      <c r="C4533" t="str">
        <v>SoFi</v>
      </c>
      <c r="D4533" t="str">
        <v>-</v>
      </c>
      <c r="E4533">
        <v>55.578229617419574</v>
      </c>
      <c r="F4533">
        <v>0</v>
      </c>
    </row>
    <row r="4534" spans="2:6" ht="15.75" customHeight="1" x14ac:dyDescent="0.25">
      <c r="B4534" t="str">
        <v>Polygon zkEVM Bridge</v>
      </c>
      <c r="C4534" t="str">
        <v>Canonical Bridge</v>
      </c>
      <c r="D4534" t="str">
        <v>-</v>
      </c>
      <c r="E4534">
        <v>184276984.66257441</v>
      </c>
      <c r="F4534">
        <v>0</v>
      </c>
    </row>
    <row r="4535" spans="2:6" ht="15.75" customHeight="1" x14ac:dyDescent="0.25">
      <c r="B4535" t="str">
        <v>PolygonFarm Finance</v>
      </c>
      <c r="C4535" t="str">
        <v>Yield</v>
      </c>
      <c r="D4535" t="str">
        <v>SPADE</v>
      </c>
      <c r="E4535">
        <v>56492.916058629846</v>
      </c>
      <c r="F4535">
        <v>0</v>
      </c>
    </row>
    <row r="4536" spans="2:6" ht="15.75" customHeight="1" x14ac:dyDescent="0.25">
      <c r="B4536" t="str">
        <v>PolyLend</v>
      </c>
      <c r="C4536" t="str">
        <v>Lending</v>
      </c>
      <c r="D4536" t="str">
        <v>-</v>
      </c>
      <c r="E4536">
        <v>155.63116069780801</v>
      </c>
      <c r="F4536">
        <v>0</v>
      </c>
    </row>
    <row r="4537" spans="2:6" ht="15.75" customHeight="1" x14ac:dyDescent="0.25">
      <c r="B4537" t="str">
        <v>Polymarket</v>
      </c>
      <c r="C4537" t="str">
        <v>Prediction Market</v>
      </c>
      <c r="D4537" t="str">
        <v>-</v>
      </c>
      <c r="E4537">
        <v>251998335.558045</v>
      </c>
      <c r="F4537">
        <v>0</v>
      </c>
    </row>
    <row r="4538" spans="2:6" ht="15.75" customHeight="1" x14ac:dyDescent="0.25">
      <c r="B4538" t="str">
        <v>Polynomial Bridge</v>
      </c>
      <c r="C4538" t="str">
        <v>Bridge</v>
      </c>
      <c r="D4538" t="str">
        <v>-</v>
      </c>
      <c r="E4538">
        <v>1811927.9442158719</v>
      </c>
      <c r="F4538">
        <v>0</v>
      </c>
    </row>
    <row r="4539" spans="2:6" ht="15.75" customHeight="1" x14ac:dyDescent="0.25">
      <c r="B4539" t="str">
        <v>Polynomial Earn</v>
      </c>
      <c r="C4539" t="str">
        <v>Options Vault</v>
      </c>
      <c r="D4539" t="str">
        <v>-</v>
      </c>
      <c r="E4539">
        <v>156107.78432386686</v>
      </c>
      <c r="F4539">
        <v>0</v>
      </c>
    </row>
    <row r="4540" spans="2:6" ht="15.75" customHeight="1" x14ac:dyDescent="0.25">
      <c r="B4540" t="str">
        <v>Polynomial Liquidity</v>
      </c>
      <c r="C4540" t="str">
        <v>Dexs</v>
      </c>
      <c r="D4540" t="str">
        <v>-</v>
      </c>
      <c r="E4540">
        <v>2011333.0448860358</v>
      </c>
      <c r="F4540">
        <v>0</v>
      </c>
    </row>
    <row r="4541" spans="2:6" ht="15.75" customHeight="1" x14ac:dyDescent="0.25">
      <c r="B4541" t="str">
        <v>Polynomial Trade</v>
      </c>
      <c r="C4541" t="str">
        <v>Derivatives</v>
      </c>
      <c r="D4541" t="str">
        <v>-</v>
      </c>
      <c r="E4541">
        <v>4996436.8219957603</v>
      </c>
      <c r="F4541">
        <v>0</v>
      </c>
    </row>
    <row r="4542" spans="2:6" ht="15.75" customHeight="1" x14ac:dyDescent="0.25">
      <c r="B4542" t="str">
        <v>Polyo Exchange</v>
      </c>
      <c r="C4542" t="str">
        <v>Dexs</v>
      </c>
      <c r="D4542" t="str">
        <v>-</v>
      </c>
      <c r="E4542">
        <v>0</v>
      </c>
      <c r="F4542">
        <v>0</v>
      </c>
    </row>
    <row r="4543" spans="2:6" ht="15.75" customHeight="1" x14ac:dyDescent="0.25">
      <c r="B4543" t="str">
        <v>Polyquail</v>
      </c>
      <c r="C4543" t="str">
        <v>Yield</v>
      </c>
      <c r="D4543" t="str">
        <v>CHK</v>
      </c>
      <c r="E4543">
        <v>3303.601673735383</v>
      </c>
      <c r="F4543">
        <v>0</v>
      </c>
    </row>
    <row r="4544" spans="2:6" ht="15.75" customHeight="1" x14ac:dyDescent="0.25">
      <c r="B4544" t="str">
        <v>PolyQuity</v>
      </c>
      <c r="C4544" t="str">
        <v>CDP</v>
      </c>
      <c r="D4544" t="str">
        <v>PYQ</v>
      </c>
      <c r="E4544">
        <v>97365.852629540124</v>
      </c>
      <c r="F4544">
        <v>0</v>
      </c>
    </row>
    <row r="4545" spans="2:6" ht="15.75" customHeight="1" x14ac:dyDescent="0.25">
      <c r="B4545" t="str">
        <v>Polyroll</v>
      </c>
      <c r="C4545" t="str">
        <v>Yield</v>
      </c>
      <c r="D4545" t="str">
        <v>ROLL</v>
      </c>
      <c r="E4545">
        <v>3463.622673394153</v>
      </c>
      <c r="F4545">
        <v>4725.9615651282047</v>
      </c>
    </row>
    <row r="4546" spans="2:6" ht="15.75" customHeight="1" x14ac:dyDescent="0.25">
      <c r="B4546" t="str">
        <v>PolyShield</v>
      </c>
      <c r="C4546" t="str">
        <v>Yield</v>
      </c>
      <c r="D4546" t="str">
        <v>SHI3LD</v>
      </c>
      <c r="E4546">
        <v>11123.780260658288</v>
      </c>
      <c r="F4546">
        <v>0</v>
      </c>
    </row>
    <row r="4547" spans="2:6" ht="15.75" customHeight="1" x14ac:dyDescent="0.25">
      <c r="B4547" t="str">
        <v>Polytrade</v>
      </c>
      <c r="C4547" t="str">
        <v>Yield</v>
      </c>
      <c r="D4547" t="str">
        <v>TRADE</v>
      </c>
      <c r="E4547">
        <v>7.8852902143748489</v>
      </c>
      <c r="F4547">
        <v>5680265.4873766918</v>
      </c>
    </row>
    <row r="4548" spans="2:6" ht="15.75" customHeight="1" x14ac:dyDescent="0.25">
      <c r="B4548" t="str">
        <v>PolyTraderPro</v>
      </c>
      <c r="C4548" t="str">
        <v>Interface</v>
      </c>
      <c r="D4548" t="str">
        <v>-</v>
      </c>
      <c r="E4548">
        <v>0</v>
      </c>
      <c r="F4548">
        <v>0</v>
      </c>
    </row>
    <row r="4549" spans="2:6" ht="15.75" customHeight="1" x14ac:dyDescent="0.25">
      <c r="B4549" t="str">
        <v>Polywhale Finance</v>
      </c>
      <c r="C4549" t="str">
        <v>Yield</v>
      </c>
      <c r="D4549" t="str">
        <v>KRILL</v>
      </c>
      <c r="E4549">
        <v>83749.818025423694</v>
      </c>
      <c r="F4549">
        <v>0</v>
      </c>
    </row>
    <row r="4550" spans="2:6" ht="15.75" customHeight="1" x14ac:dyDescent="0.25">
      <c r="B4550" t="str">
        <v>PolyYeld Finance</v>
      </c>
      <c r="C4550" t="str">
        <v>Yield</v>
      </c>
      <c r="D4550" t="str">
        <v>YELD</v>
      </c>
      <c r="E4550">
        <v>19349.023549402405</v>
      </c>
      <c r="F4550">
        <v>0</v>
      </c>
    </row>
    <row r="4551" spans="2:6" ht="15.75" customHeight="1" x14ac:dyDescent="0.25">
      <c r="B4551" t="str">
        <v>Pond0x</v>
      </c>
      <c r="C4551" t="str">
        <v>DEX Aggregator</v>
      </c>
      <c r="D4551" t="str">
        <v>PNDC</v>
      </c>
      <c r="E4551">
        <v>0</v>
      </c>
      <c r="F4551">
        <v>4109510.6391788409</v>
      </c>
    </row>
    <row r="4552" spans="2:6" ht="15.75" customHeight="1" x14ac:dyDescent="0.25">
      <c r="B4552" t="str">
        <v>Ponder Finance</v>
      </c>
      <c r="C4552" t="str">
        <v>Dexs</v>
      </c>
      <c r="D4552" t="str">
        <v>KOI</v>
      </c>
      <c r="E4552">
        <v>1014394.6927033747</v>
      </c>
      <c r="F4552">
        <v>0</v>
      </c>
    </row>
    <row r="4553" spans="2:6" ht="15.75" customHeight="1" x14ac:dyDescent="0.25">
      <c r="B4553" t="str">
        <v>Pony Finance</v>
      </c>
      <c r="C4553" t="str">
        <v>Indexes</v>
      </c>
      <c r="D4553" t="str">
        <v>PONY</v>
      </c>
      <c r="E4553">
        <v>0</v>
      </c>
      <c r="F4553">
        <v>13800.087164700111</v>
      </c>
    </row>
    <row r="4554" spans="2:6" ht="15.75" customHeight="1" x14ac:dyDescent="0.25">
      <c r="B4554" t="str">
        <v>PonySwap</v>
      </c>
      <c r="C4554" t="str">
        <v>Dexs</v>
      </c>
      <c r="D4554" t="str">
        <v>PNS V2</v>
      </c>
      <c r="E4554">
        <v>2957.1596166301779</v>
      </c>
      <c r="F4554">
        <v>0</v>
      </c>
    </row>
    <row r="4555" spans="2:6" ht="15.75" customHeight="1" x14ac:dyDescent="0.25">
      <c r="B4555" t="str">
        <v>PonytaSwap</v>
      </c>
      <c r="C4555" t="str">
        <v>Dexs</v>
      </c>
      <c r="D4555" t="str">
        <v>-</v>
      </c>
      <c r="E4555">
        <v>0</v>
      </c>
      <c r="F4555">
        <v>0</v>
      </c>
    </row>
    <row r="4556" spans="2:6" ht="15.75" customHeight="1" x14ac:dyDescent="0.25">
      <c r="B4556" t="str">
        <v>ponzi.market</v>
      </c>
      <c r="C4556" t="str">
        <v>Ponzi</v>
      </c>
      <c r="D4556" t="str">
        <v>-</v>
      </c>
      <c r="E4556">
        <v>381.36952474208437</v>
      </c>
      <c r="F4556">
        <v>0</v>
      </c>
    </row>
    <row r="4557" spans="2:6" ht="15.75" customHeight="1" x14ac:dyDescent="0.25">
      <c r="B4557" t="str">
        <v>Poof Cash</v>
      </c>
      <c r="C4557" t="str">
        <v>Lending</v>
      </c>
      <c r="D4557" t="str">
        <v>POOF</v>
      </c>
      <c r="E4557">
        <v>177080.80007440766</v>
      </c>
      <c r="F4557">
        <v>0</v>
      </c>
    </row>
    <row r="4558" spans="2:6" ht="15.75" customHeight="1" x14ac:dyDescent="0.25">
      <c r="B4558" t="str">
        <v>Pools Finance</v>
      </c>
      <c r="C4558" t="str">
        <v>Dexs</v>
      </c>
      <c r="D4558" t="str">
        <v>-</v>
      </c>
      <c r="E4558">
        <v>4819921.2035553185</v>
      </c>
      <c r="F4558">
        <v>0</v>
      </c>
    </row>
    <row r="4559" spans="2:6" ht="15.75" customHeight="1" x14ac:dyDescent="0.25">
      <c r="B4559" t="str">
        <v>Poolshark</v>
      </c>
      <c r="C4559" t="str">
        <v>Dexs</v>
      </c>
      <c r="D4559" t="str">
        <v>FIN</v>
      </c>
      <c r="E4559">
        <v>93505.535034649569</v>
      </c>
      <c r="F4559">
        <v>0</v>
      </c>
    </row>
    <row r="4560" spans="2:6" ht="15.75" customHeight="1" x14ac:dyDescent="0.25">
      <c r="B4560" t="str">
        <v>Poolside</v>
      </c>
      <c r="C4560" t="str">
        <v>Dexs</v>
      </c>
      <c r="D4560" t="str">
        <v>-</v>
      </c>
      <c r="E4560">
        <v>59087.025843476433</v>
      </c>
      <c r="F4560">
        <v>0</v>
      </c>
    </row>
    <row r="4561" spans="2:6" ht="15.75" customHeight="1" x14ac:dyDescent="0.25">
      <c r="B4561" t="str">
        <v>PoolTogether V3</v>
      </c>
      <c r="C4561" t="str">
        <v>Yield Lottery</v>
      </c>
      <c r="D4561" t="str">
        <v>POOL</v>
      </c>
      <c r="E4561">
        <v>4866821.1685134573</v>
      </c>
      <c r="F4561">
        <v>0</v>
      </c>
    </row>
    <row r="4562" spans="2:6" ht="15.75" customHeight="1" x14ac:dyDescent="0.25">
      <c r="B4562" t="str">
        <v>PoolTogether V4</v>
      </c>
      <c r="C4562" t="str">
        <v>Yield Lottery</v>
      </c>
      <c r="D4562" t="str">
        <v>POOL</v>
      </c>
      <c r="E4562">
        <v>758976.77338714921</v>
      </c>
      <c r="F4562">
        <v>0</v>
      </c>
    </row>
    <row r="4563" spans="2:6" ht="15.75" customHeight="1" x14ac:dyDescent="0.25">
      <c r="B4563" t="str">
        <v>PoolTogether V5</v>
      </c>
      <c r="C4563" t="str">
        <v>Yield Lottery</v>
      </c>
      <c r="D4563" t="str">
        <v>POOL</v>
      </c>
      <c r="E4563">
        <v>6282127.0532461144</v>
      </c>
      <c r="F4563">
        <v>0</v>
      </c>
    </row>
    <row r="4564" spans="2:6" ht="15.75" customHeight="1" x14ac:dyDescent="0.25">
      <c r="B4564" t="str">
        <v>Poolz Network</v>
      </c>
      <c r="C4564" t="str">
        <v>Farm</v>
      </c>
      <c r="D4564" t="str">
        <v>POOLX</v>
      </c>
      <c r="E4564">
        <v>451.36501618556173</v>
      </c>
      <c r="F4564">
        <v>0</v>
      </c>
    </row>
    <row r="4565" spans="2:6" ht="15.75" customHeight="1" x14ac:dyDescent="0.25">
      <c r="B4565" t="str">
        <v>Poolz Vesting</v>
      </c>
      <c r="C4565" t="str">
        <v>Launchpad</v>
      </c>
      <c r="D4565" t="str">
        <v>POOLX</v>
      </c>
      <c r="E4565">
        <v>0</v>
      </c>
      <c r="F4565">
        <v>0</v>
      </c>
    </row>
    <row r="4566" spans="2:6" ht="15.75" customHeight="1" x14ac:dyDescent="0.25">
      <c r="B4566" t="str">
        <v>Poopsicle</v>
      </c>
      <c r="C4566" t="str">
        <v>Yield</v>
      </c>
      <c r="D4566" t="str">
        <v>POOP</v>
      </c>
      <c r="E4566">
        <v>0</v>
      </c>
      <c r="F4566">
        <v>0</v>
      </c>
    </row>
    <row r="4567" spans="2:6" ht="15.75" customHeight="1" x14ac:dyDescent="0.25">
      <c r="B4567" t="str">
        <v>Poor Exchange</v>
      </c>
      <c r="C4567" t="str">
        <v>Dexs</v>
      </c>
      <c r="D4567" t="str">
        <v>Poor</v>
      </c>
      <c r="E4567">
        <v>192.80257841486963</v>
      </c>
      <c r="F4567">
        <v>0</v>
      </c>
    </row>
    <row r="4568" spans="2:6" ht="15.75" customHeight="1" x14ac:dyDescent="0.25">
      <c r="B4568" t="str">
        <v>Pop Town</v>
      </c>
      <c r="C4568" t="str">
        <v>Yield</v>
      </c>
      <c r="D4568" t="str">
        <v>POP!</v>
      </c>
      <c r="E4568">
        <v>2072.7696694878646</v>
      </c>
      <c r="F4568">
        <v>0</v>
      </c>
    </row>
    <row r="4569" spans="2:6" ht="15.75" customHeight="1" x14ac:dyDescent="0.25">
      <c r="B4569" t="str">
        <v>PopFi</v>
      </c>
      <c r="C4569" t="str">
        <v>Derivatives</v>
      </c>
      <c r="D4569" t="str">
        <v>-</v>
      </c>
      <c r="E4569">
        <v>0</v>
      </c>
      <c r="F4569">
        <v>0</v>
      </c>
    </row>
    <row r="4570" spans="2:6" ht="15.75" customHeight="1" x14ac:dyDescent="0.25">
      <c r="B4570" t="str">
        <v>Popsicle Finance</v>
      </c>
      <c r="C4570" t="str">
        <v>Liquidity manager</v>
      </c>
      <c r="D4570" t="str">
        <v>ICE</v>
      </c>
      <c r="E4570">
        <v>11143.05271603445</v>
      </c>
      <c r="F4570">
        <v>290141.44525806973</v>
      </c>
    </row>
    <row r="4571" spans="2:6" ht="15.75" customHeight="1" x14ac:dyDescent="0.25">
      <c r="B4571" t="str">
        <v>Port Finance</v>
      </c>
      <c r="C4571" t="str">
        <v>Lending</v>
      </c>
      <c r="D4571" t="str">
        <v>PORT</v>
      </c>
      <c r="E4571">
        <v>2184040.7210157239</v>
      </c>
      <c r="F4571">
        <v>82340.137087152572</v>
      </c>
    </row>
    <row r="4572" spans="2:6" ht="15.75" customHeight="1" x14ac:dyDescent="0.25">
      <c r="B4572" t="str">
        <v>Portal</v>
      </c>
      <c r="C4572" t="str">
        <v>Bridge</v>
      </c>
      <c r="D4572" t="str">
        <v>W</v>
      </c>
      <c r="E4572">
        <v>1955494312.8460155</v>
      </c>
      <c r="F4572">
        <v>187209409.7344397</v>
      </c>
    </row>
    <row r="4573" spans="2:6" ht="15.75" customHeight="1" x14ac:dyDescent="0.25">
      <c r="B4573" t="str">
        <v>Portal To Bitcoin</v>
      </c>
      <c r="C4573" t="str">
        <v>Bridge</v>
      </c>
      <c r="D4573" t="str">
        <v>PTB</v>
      </c>
      <c r="E4573">
        <v>520785.95831927564</v>
      </c>
      <c r="F4573">
        <v>5228658.9227719791</v>
      </c>
    </row>
    <row r="4574" spans="2:6" ht="15.75" customHeight="1" x14ac:dyDescent="0.25">
      <c r="B4574" t="str">
        <v>Poseidollar</v>
      </c>
      <c r="C4574" t="str">
        <v>Algo-Stables</v>
      </c>
      <c r="D4574" t="str">
        <v>-</v>
      </c>
      <c r="E4574">
        <v>2.4801735338154174</v>
      </c>
      <c r="F4574">
        <v>0</v>
      </c>
    </row>
    <row r="4575" spans="2:6" ht="15.75" customHeight="1" x14ac:dyDescent="0.25">
      <c r="B4575" t="str">
        <v>Position Exchange</v>
      </c>
      <c r="C4575" t="str">
        <v>Dexs</v>
      </c>
      <c r="D4575" t="str">
        <v>POSI</v>
      </c>
      <c r="E4575">
        <v>0</v>
      </c>
      <c r="F4575">
        <v>82753.3920763387</v>
      </c>
    </row>
    <row r="4576" spans="2:6" ht="15.75" customHeight="1" x14ac:dyDescent="0.25">
      <c r="B4576" t="str">
        <v>Possum Finance</v>
      </c>
      <c r="C4576" t="str">
        <v>Yield</v>
      </c>
      <c r="D4576" t="str">
        <v>PSM</v>
      </c>
      <c r="E4576">
        <v>5330.3587321400719</v>
      </c>
      <c r="F4576">
        <v>265346.73152969487</v>
      </c>
    </row>
    <row r="4577" spans="2:6" ht="15.75" customHeight="1" x14ac:dyDescent="0.25">
      <c r="B4577" t="str">
        <v>PossumLabs</v>
      </c>
      <c r="C4577" t="str">
        <v>Launchpad</v>
      </c>
      <c r="D4577" t="str">
        <v>WTFO</v>
      </c>
      <c r="E4577">
        <v>0</v>
      </c>
      <c r="F4577">
        <v>0</v>
      </c>
    </row>
    <row r="4578" spans="2:6" ht="15.75" customHeight="1" x14ac:dyDescent="0.25">
      <c r="B4578" t="str">
        <v>PostTechSoFi</v>
      </c>
      <c r="C4578" t="str">
        <v>SoFi</v>
      </c>
      <c r="D4578" t="str">
        <v>-</v>
      </c>
      <c r="E4578">
        <v>77621.499611774052</v>
      </c>
      <c r="F4578">
        <v>0</v>
      </c>
    </row>
    <row r="4579" spans="2:6" ht="15.75" customHeight="1" x14ac:dyDescent="0.25">
      <c r="B4579" t="str">
        <v>PotatoSwap V2</v>
      </c>
      <c r="C4579" t="str">
        <v>Dexs</v>
      </c>
      <c r="D4579" t="str">
        <v>-</v>
      </c>
      <c r="E4579">
        <v>10828156.836669181</v>
      </c>
      <c r="F4579">
        <v>0</v>
      </c>
    </row>
    <row r="4580" spans="2:6" ht="15.75" customHeight="1" x14ac:dyDescent="0.25">
      <c r="B4580" t="str">
        <v>PotatoSwap V3</v>
      </c>
      <c r="C4580" t="str">
        <v>Dexs</v>
      </c>
      <c r="D4580" t="str">
        <v>-</v>
      </c>
      <c r="E4580">
        <v>1070958.3371009091</v>
      </c>
      <c r="F4580">
        <v>0</v>
      </c>
    </row>
    <row r="4581" spans="2:6" ht="15.75" customHeight="1" x14ac:dyDescent="0.25">
      <c r="B4581" t="str">
        <v>Potluck Protocol</v>
      </c>
      <c r="C4581" t="str">
        <v>Farm</v>
      </c>
      <c r="D4581" t="str">
        <v>FANG</v>
      </c>
      <c r="E4581">
        <v>459.44633309014671</v>
      </c>
      <c r="F4581">
        <v>0</v>
      </c>
    </row>
    <row r="4582" spans="2:6" ht="15.75" customHeight="1" x14ac:dyDescent="0.25">
      <c r="B4582" t="str">
        <v>Powaa Protocol</v>
      </c>
      <c r="C4582" t="str">
        <v>Services</v>
      </c>
      <c r="D4582" t="str">
        <v>POWAA</v>
      </c>
      <c r="E4582">
        <v>15789.59415949408</v>
      </c>
      <c r="F4582">
        <v>0</v>
      </c>
    </row>
    <row r="4583" spans="2:6" ht="15.75" customHeight="1" x14ac:dyDescent="0.25">
      <c r="B4583" t="str">
        <v>PowaDAP</v>
      </c>
      <c r="C4583" t="str">
        <v>Launchpad</v>
      </c>
      <c r="D4583" t="str">
        <v>POWA</v>
      </c>
      <c r="E4583">
        <v>45002.09706781312</v>
      </c>
      <c r="F4583">
        <v>0</v>
      </c>
    </row>
    <row r="4584" spans="2:6" ht="15.75" customHeight="1" x14ac:dyDescent="0.25">
      <c r="B4584" t="str">
        <v>Powerbomb Finance</v>
      </c>
      <c r="C4584" t="str">
        <v>Yield</v>
      </c>
      <c r="D4584" t="str">
        <v>-</v>
      </c>
      <c r="E4584">
        <v>0</v>
      </c>
      <c r="F4584">
        <v>0</v>
      </c>
    </row>
    <row r="4585" spans="2:6" ht="15.75" customHeight="1" x14ac:dyDescent="0.25">
      <c r="B4585" t="str">
        <v>POWERCITY Core Protocol</v>
      </c>
      <c r="C4585" t="str">
        <v>Farm</v>
      </c>
      <c r="D4585" t="str">
        <v>WATT</v>
      </c>
      <c r="E4585">
        <v>0</v>
      </c>
      <c r="F4585">
        <v>0</v>
      </c>
    </row>
    <row r="4586" spans="2:6" ht="15.75" customHeight="1" x14ac:dyDescent="0.25">
      <c r="B4586" t="str">
        <v>POWERCITY Earn Protocol</v>
      </c>
      <c r="C4586" t="str">
        <v>CDP</v>
      </c>
      <c r="D4586" t="str">
        <v>EARN</v>
      </c>
      <c r="E4586">
        <v>5456696.42050659</v>
      </c>
      <c r="F4586">
        <v>0</v>
      </c>
    </row>
    <row r="4587" spans="2:6" ht="15.75" customHeight="1" x14ac:dyDescent="0.25">
      <c r="B4587" t="str">
        <v>Powercity Flex Protocol</v>
      </c>
      <c r="C4587" t="str">
        <v>CDP</v>
      </c>
      <c r="D4587" t="str">
        <v>FLEX</v>
      </c>
      <c r="E4587">
        <v>1734858.159149118</v>
      </c>
      <c r="F4587">
        <v>0</v>
      </c>
    </row>
    <row r="4588" spans="2:6" ht="15.75" customHeight="1" x14ac:dyDescent="0.25">
      <c r="B4588" t="str">
        <v>PowerFlow</v>
      </c>
      <c r="C4588" t="str">
        <v>Bridge</v>
      </c>
      <c r="D4588" t="str">
        <v>-</v>
      </c>
      <c r="E4588">
        <v>284560.96753794915</v>
      </c>
      <c r="F4588">
        <v>0</v>
      </c>
    </row>
    <row r="4589" spans="2:6" ht="15.75" customHeight="1" x14ac:dyDescent="0.25">
      <c r="B4589" t="str">
        <v>PowerPool</v>
      </c>
      <c r="C4589" t="str">
        <v>Indexes</v>
      </c>
      <c r="D4589" t="str">
        <v>CVP</v>
      </c>
      <c r="E4589">
        <v>75545.414770271309</v>
      </c>
      <c r="F4589">
        <v>104778.25456526462</v>
      </c>
    </row>
    <row r="4590" spans="2:6" ht="15.75" customHeight="1" x14ac:dyDescent="0.25">
      <c r="B4590" t="str">
        <v>PowerSwap</v>
      </c>
      <c r="C4590" t="str">
        <v>Dexs</v>
      </c>
      <c r="D4590" t="str">
        <v>POWER</v>
      </c>
      <c r="E4590">
        <v>236.92291825014453</v>
      </c>
      <c r="F4590">
        <v>0</v>
      </c>
    </row>
    <row r="4591" spans="2:6" ht="15.75" customHeight="1" x14ac:dyDescent="0.25">
      <c r="B4591" t="str">
        <v>PoWH3D</v>
      </c>
      <c r="C4591" t="str">
        <v>Farm</v>
      </c>
      <c r="D4591" t="str">
        <v>-</v>
      </c>
      <c r="E4591">
        <v>6906720.4376259819</v>
      </c>
      <c r="F4591">
        <v>0</v>
      </c>
    </row>
    <row r="4592" spans="2:6" ht="15.75" customHeight="1" x14ac:dyDescent="0.25">
      <c r="B4592" t="str">
        <v>PowPeg Fast Mode</v>
      </c>
      <c r="C4592" t="str">
        <v>Bridge</v>
      </c>
      <c r="D4592" t="str">
        <v>-</v>
      </c>
      <c r="E4592">
        <v>561323.27843087562</v>
      </c>
      <c r="F4592">
        <v>0</v>
      </c>
    </row>
    <row r="4593" spans="2:6" ht="15.75" customHeight="1" x14ac:dyDescent="0.25">
      <c r="B4593" t="str">
        <v>PowSea</v>
      </c>
      <c r="C4593" t="str">
        <v>Dexs</v>
      </c>
      <c r="D4593" t="str">
        <v>SEA</v>
      </c>
      <c r="E4593">
        <v>0.502955961258156</v>
      </c>
      <c r="F4593">
        <v>0</v>
      </c>
    </row>
    <row r="4594" spans="2:6" ht="15.75" customHeight="1" x14ac:dyDescent="0.25">
      <c r="B4594" t="str">
        <v>PoWSwap</v>
      </c>
      <c r="C4594" t="str">
        <v>Dexs</v>
      </c>
      <c r="D4594" t="str">
        <v>POW</v>
      </c>
      <c r="E4594">
        <v>800.92450494152376</v>
      </c>
      <c r="F4594">
        <v>0</v>
      </c>
    </row>
    <row r="4595" spans="2:6" ht="15.75" customHeight="1" x14ac:dyDescent="0.25">
      <c r="B4595" t="str">
        <v>PRDT</v>
      </c>
      <c r="C4595" t="str">
        <v>Prediction Market</v>
      </c>
      <c r="D4595" t="str">
        <v>PRDT</v>
      </c>
      <c r="E4595">
        <v>644527.92855334759</v>
      </c>
      <c r="F4595">
        <v>27006118.203860953</v>
      </c>
    </row>
    <row r="4596" spans="2:6" ht="15.75" customHeight="1" x14ac:dyDescent="0.25">
      <c r="B4596" t="str">
        <v>Precog Market</v>
      </c>
      <c r="C4596" t="str">
        <v>Prediction Market</v>
      </c>
      <c r="D4596" t="str">
        <v>-</v>
      </c>
      <c r="E4596">
        <v>14660.003204743367</v>
      </c>
      <c r="F4596">
        <v>0</v>
      </c>
    </row>
    <row r="4597" spans="2:6" ht="15.75" customHeight="1" x14ac:dyDescent="0.25">
      <c r="B4597" t="str">
        <v>Predict Fun</v>
      </c>
      <c r="C4597" t="str">
        <v>Prediction Market</v>
      </c>
      <c r="D4597" t="str">
        <v>-</v>
      </c>
      <c r="E4597">
        <v>8180967.4569844166</v>
      </c>
      <c r="F4597">
        <v>0</v>
      </c>
    </row>
    <row r="4598" spans="2:6" ht="15.75" customHeight="1" x14ac:dyDescent="0.25">
      <c r="B4598" t="str">
        <v>Predictcoin</v>
      </c>
      <c r="C4598" t="str">
        <v>Prediction Market</v>
      </c>
      <c r="D4598" t="str">
        <v>PRED</v>
      </c>
      <c r="E4598">
        <v>0</v>
      </c>
      <c r="F4598">
        <v>0</v>
      </c>
    </row>
    <row r="4599" spans="2:6" ht="15.75" customHeight="1" x14ac:dyDescent="0.25">
      <c r="B4599" t="str">
        <v>PredX Ai</v>
      </c>
      <c r="C4599" t="str">
        <v>Prediction Market</v>
      </c>
      <c r="D4599" t="str">
        <v>-</v>
      </c>
      <c r="E4599">
        <v>3413.5776014640178</v>
      </c>
      <c r="F4599">
        <v>0</v>
      </c>
    </row>
    <row r="4600" spans="2:6" ht="15.75" customHeight="1" x14ac:dyDescent="0.25">
      <c r="B4600" t="str">
        <v>Predy V2</v>
      </c>
      <c r="C4600" t="str">
        <v>Derivatives</v>
      </c>
      <c r="D4600" t="str">
        <v>-</v>
      </c>
      <c r="E4600">
        <v>17308.331645724011</v>
      </c>
      <c r="F4600">
        <v>0</v>
      </c>
    </row>
    <row r="4601" spans="2:6" ht="15.75" customHeight="1" x14ac:dyDescent="0.25">
      <c r="B4601" t="str">
        <v>Predy V3</v>
      </c>
      <c r="C4601" t="str">
        <v>Derivatives</v>
      </c>
      <c r="D4601" t="str">
        <v>-</v>
      </c>
      <c r="E4601">
        <v>2676.0132954506712</v>
      </c>
      <c r="F4601">
        <v>0</v>
      </c>
    </row>
    <row r="4602" spans="2:6" ht="15.75" customHeight="1" x14ac:dyDescent="0.25">
      <c r="B4602" t="str">
        <v>Predy V3.2</v>
      </c>
      <c r="C4602" t="str">
        <v>Derivatives</v>
      </c>
      <c r="D4602" t="str">
        <v>-</v>
      </c>
      <c r="E4602">
        <v>27373.759681978787</v>
      </c>
      <c r="F4602">
        <v>0</v>
      </c>
    </row>
    <row r="4603" spans="2:6" ht="15.75" customHeight="1" x14ac:dyDescent="0.25">
      <c r="B4603" t="str">
        <v>Predy V5</v>
      </c>
      <c r="C4603" t="str">
        <v>Derivatives</v>
      </c>
      <c r="D4603" t="str">
        <v>-</v>
      </c>
      <c r="E4603">
        <v>12469.830288506855</v>
      </c>
      <c r="F4603">
        <v>0</v>
      </c>
    </row>
    <row r="4604" spans="2:6" ht="15.75" customHeight="1" x14ac:dyDescent="0.25">
      <c r="B4604" t="str">
        <v>Premia V2</v>
      </c>
      <c r="C4604" t="str">
        <v>Options</v>
      </c>
      <c r="D4604" t="str">
        <v>PREMIA</v>
      </c>
      <c r="E4604">
        <v>264094.28508484416</v>
      </c>
      <c r="F4604">
        <v>0</v>
      </c>
    </row>
    <row r="4605" spans="2:6" ht="15.75" customHeight="1" x14ac:dyDescent="0.25">
      <c r="B4605" t="str">
        <v>Premia V3</v>
      </c>
      <c r="C4605" t="str">
        <v>Options</v>
      </c>
      <c r="D4605" t="str">
        <v>PREMIA</v>
      </c>
      <c r="E4605">
        <v>643517.70885492547</v>
      </c>
      <c r="F4605">
        <v>0</v>
      </c>
    </row>
    <row r="4606" spans="2:6" ht="15.75" customHeight="1" x14ac:dyDescent="0.25">
      <c r="B4606" t="str">
        <v>Premio</v>
      </c>
      <c r="C4606" t="str">
        <v>Yield</v>
      </c>
      <c r="D4606" t="str">
        <v>PREMIO</v>
      </c>
      <c r="E4606">
        <v>0</v>
      </c>
      <c r="F4606">
        <v>0</v>
      </c>
    </row>
    <row r="4607" spans="2:6" ht="15.75" customHeight="1" x14ac:dyDescent="0.25">
      <c r="B4607" t="str">
        <v>Preon Finance</v>
      </c>
      <c r="C4607" t="str">
        <v>CDP</v>
      </c>
      <c r="D4607" t="str">
        <v>PREON</v>
      </c>
      <c r="E4607">
        <v>345883.95698366838</v>
      </c>
      <c r="F4607">
        <v>0</v>
      </c>
    </row>
    <row r="4608" spans="2:6" ht="15.75" customHeight="1" x14ac:dyDescent="0.25">
      <c r="B4608" t="str">
        <v>prePO</v>
      </c>
      <c r="C4608" t="str">
        <v>Derivatives</v>
      </c>
      <c r="D4608" t="str">
        <v>-</v>
      </c>
      <c r="E4608">
        <v>16006.073527363373</v>
      </c>
      <c r="F4608">
        <v>0</v>
      </c>
    </row>
    <row r="4609" spans="2:6" ht="15.75" customHeight="1" x14ac:dyDescent="0.25">
      <c r="B4609" t="str">
        <v>prerich</v>
      </c>
      <c r="C4609" t="str">
        <v>Dexs</v>
      </c>
      <c r="D4609" t="str">
        <v>-</v>
      </c>
      <c r="E4609">
        <v>0</v>
      </c>
      <c r="F4609">
        <v>0</v>
      </c>
    </row>
    <row r="4610" spans="2:6" ht="15.75" customHeight="1" x14ac:dyDescent="0.25">
      <c r="B4610" t="str">
        <v>Primal</v>
      </c>
      <c r="C4610" t="str">
        <v>Services</v>
      </c>
      <c r="D4610" t="str">
        <v>PRIMAL</v>
      </c>
      <c r="E4610">
        <v>0</v>
      </c>
      <c r="F4610">
        <v>49126.988052999877</v>
      </c>
    </row>
    <row r="4611" spans="2:6" ht="15.75" customHeight="1" x14ac:dyDescent="0.25">
      <c r="B4611" t="str">
        <v>Prime Protocol</v>
      </c>
      <c r="C4611" t="str">
        <v>Lending</v>
      </c>
      <c r="D4611" t="str">
        <v>-</v>
      </c>
      <c r="E4611">
        <v>600400.31577666267</v>
      </c>
      <c r="F4611">
        <v>0</v>
      </c>
    </row>
    <row r="4612" spans="2:6" ht="15.75" customHeight="1" x14ac:dyDescent="0.25">
      <c r="B4612" t="str">
        <v>Prime Staked ETH</v>
      </c>
      <c r="C4612" t="str">
        <v>Liquid Restaking</v>
      </c>
      <c r="D4612" t="str">
        <v>-</v>
      </c>
      <c r="E4612">
        <v>354919.43403499707</v>
      </c>
      <c r="F4612">
        <v>0</v>
      </c>
    </row>
    <row r="4613" spans="2:6" ht="15.75" customHeight="1" x14ac:dyDescent="0.25">
      <c r="B4613" t="str">
        <v>Prime Staking</v>
      </c>
      <c r="C4613" t="str">
        <v>Liquid Staking</v>
      </c>
      <c r="D4613" t="str">
        <v>-</v>
      </c>
      <c r="E4613">
        <v>9048115.5688985437</v>
      </c>
      <c r="F4613">
        <v>0</v>
      </c>
    </row>
    <row r="4614" spans="2:6" ht="15.75" customHeight="1" x14ac:dyDescent="0.25">
      <c r="B4614" t="str">
        <v>PrimeFi</v>
      </c>
      <c r="C4614" t="str">
        <v>Lending</v>
      </c>
      <c r="D4614" t="str">
        <v>PRFI</v>
      </c>
      <c r="E4614">
        <v>107428.49550578638</v>
      </c>
      <c r="F4614">
        <v>364309.03855985071</v>
      </c>
    </row>
    <row r="4615" spans="2:6" ht="15.75" customHeight="1" x14ac:dyDescent="0.25">
      <c r="B4615" t="str">
        <v>Primex Finance</v>
      </c>
      <c r="C4615" t="str">
        <v>Derivatives</v>
      </c>
      <c r="D4615" t="str">
        <v>PMX</v>
      </c>
      <c r="E4615">
        <v>27292.886533114743</v>
      </c>
      <c r="F4615">
        <v>17651.953729142155</v>
      </c>
    </row>
    <row r="4616" spans="2:6" ht="15.75" customHeight="1" x14ac:dyDescent="0.25">
      <c r="B4616" t="str">
        <v>Primitive</v>
      </c>
      <c r="C4616" t="str">
        <v>Dexs</v>
      </c>
      <c r="D4616" t="str">
        <v>-</v>
      </c>
      <c r="E4616">
        <v>74108.750375240823</v>
      </c>
      <c r="F4616">
        <v>0</v>
      </c>
    </row>
    <row r="4617" spans="2:6" ht="15.75" customHeight="1" x14ac:dyDescent="0.25">
      <c r="B4617" t="str">
        <v>PRINT3R</v>
      </c>
      <c r="C4617" t="str">
        <v>Derivatives</v>
      </c>
      <c r="D4617" t="str">
        <v>-</v>
      </c>
      <c r="E4617">
        <v>9.8186040159364456</v>
      </c>
      <c r="F4617">
        <v>0</v>
      </c>
    </row>
    <row r="4618" spans="2:6" ht="15.75" customHeight="1" x14ac:dyDescent="0.25">
      <c r="B4618" t="str">
        <v>Printer Financial</v>
      </c>
      <c r="C4618" t="str">
        <v>Bridge</v>
      </c>
      <c r="D4618" t="str">
        <v>-</v>
      </c>
      <c r="E4618">
        <v>0</v>
      </c>
      <c r="F4618">
        <v>0</v>
      </c>
    </row>
    <row r="4619" spans="2:6" ht="15.75" customHeight="1" x14ac:dyDescent="0.25">
      <c r="B4619" t="str">
        <v>printyfinance</v>
      </c>
      <c r="C4619" t="str">
        <v>Dexs</v>
      </c>
      <c r="D4619" t="str">
        <v>-</v>
      </c>
      <c r="E4619">
        <v>1567.4919138584369</v>
      </c>
      <c r="F4619">
        <v>0</v>
      </c>
    </row>
    <row r="4620" spans="2:6" ht="15.75" customHeight="1" x14ac:dyDescent="0.25">
      <c r="B4620" t="str">
        <v>PRISM Protocol</v>
      </c>
      <c r="C4620" t="str">
        <v>Yield</v>
      </c>
      <c r="D4620" t="str">
        <v>PRISM</v>
      </c>
      <c r="E4620">
        <v>4788.2927677366051</v>
      </c>
      <c r="F4620">
        <v>0</v>
      </c>
    </row>
    <row r="4621" spans="2:6" ht="15.75" customHeight="1" x14ac:dyDescent="0.25">
      <c r="B4621" t="str">
        <v>PrismaLRT</v>
      </c>
      <c r="C4621" t="str">
        <v>CDP</v>
      </c>
      <c r="D4621" t="str">
        <v>PRISMA</v>
      </c>
      <c r="E4621">
        <v>17273.841181875036</v>
      </c>
      <c r="F4621">
        <v>0</v>
      </c>
    </row>
    <row r="4622" spans="2:6" ht="15.75" customHeight="1" x14ac:dyDescent="0.25">
      <c r="B4622" t="str">
        <v>PrismaLST</v>
      </c>
      <c r="C4622" t="str">
        <v>CDP</v>
      </c>
      <c r="D4622" t="str">
        <v>PRISMA</v>
      </c>
      <c r="E4622">
        <v>442473.04360758862</v>
      </c>
      <c r="F4622">
        <v>0</v>
      </c>
    </row>
    <row r="4623" spans="2:6" ht="15.75" customHeight="1" x14ac:dyDescent="0.25">
      <c r="B4623" t="str">
        <v>Privacy Cash</v>
      </c>
      <c r="C4623" t="str">
        <v>Privacy</v>
      </c>
      <c r="D4623" t="str">
        <v>-</v>
      </c>
      <c r="E4623">
        <v>799496.64034118061</v>
      </c>
      <c r="F4623">
        <v>0</v>
      </c>
    </row>
    <row r="4624" spans="2:6" ht="15.75" customHeight="1" x14ac:dyDescent="0.25">
      <c r="B4624" t="str">
        <v>Privacy Pools</v>
      </c>
      <c r="C4624" t="str">
        <v>Privacy</v>
      </c>
      <c r="D4624" t="str">
        <v>-</v>
      </c>
      <c r="E4624">
        <v>2813251.3394306051</v>
      </c>
      <c r="F4624">
        <v>0</v>
      </c>
    </row>
    <row r="4625" spans="2:6" ht="15.75" customHeight="1" x14ac:dyDescent="0.25">
      <c r="B4625" t="str">
        <v>PrivCash</v>
      </c>
      <c r="C4625" t="str">
        <v>Privacy</v>
      </c>
      <c r="D4625" t="str">
        <v>-</v>
      </c>
      <c r="E4625">
        <v>0</v>
      </c>
      <c r="F4625">
        <v>0</v>
      </c>
    </row>
    <row r="4626" spans="2:6" ht="15.75" customHeight="1" x14ac:dyDescent="0.25">
      <c r="B4626" t="str">
        <v>PriveX</v>
      </c>
      <c r="C4626" t="str">
        <v>Derivatives</v>
      </c>
      <c r="D4626" t="str">
        <v>-</v>
      </c>
      <c r="E4626">
        <v>0</v>
      </c>
      <c r="F4626">
        <v>0</v>
      </c>
    </row>
    <row r="4627" spans="2:6" ht="15.75" customHeight="1" x14ac:dyDescent="0.25">
      <c r="B4627" t="str">
        <v>Prixmswap</v>
      </c>
      <c r="C4627" t="str">
        <v>Dexs</v>
      </c>
      <c r="D4627" t="str">
        <v>-</v>
      </c>
      <c r="E4627">
        <v>0</v>
      </c>
      <c r="F4627">
        <v>0</v>
      </c>
    </row>
    <row r="4628" spans="2:6" ht="15.75" customHeight="1" x14ac:dyDescent="0.25">
      <c r="B4628" t="str">
        <v>Probable</v>
      </c>
      <c r="C4628" t="str">
        <v>Prediction Market</v>
      </c>
      <c r="D4628" t="str">
        <v>-</v>
      </c>
      <c r="E4628">
        <v>0</v>
      </c>
      <c r="F4628">
        <v>0</v>
      </c>
    </row>
    <row r="4629" spans="2:6" ht="15.75" customHeight="1" x14ac:dyDescent="0.25">
      <c r="B4629" t="str">
        <v>Procyon</v>
      </c>
      <c r="C4629" t="str">
        <v>Farm</v>
      </c>
      <c r="D4629" t="str">
        <v>PCY</v>
      </c>
      <c r="E4629">
        <v>69.835205047189248</v>
      </c>
      <c r="F4629">
        <v>0</v>
      </c>
    </row>
    <row r="4630" spans="2:6" ht="15.75" customHeight="1" x14ac:dyDescent="0.25">
      <c r="B4630" t="str">
        <v>PRODUS</v>
      </c>
      <c r="C4630" t="str">
        <v>Dexs</v>
      </c>
      <c r="D4630" t="str">
        <v>PRODUS</v>
      </c>
      <c r="E4630">
        <v>25.685696486337523</v>
      </c>
      <c r="F4630">
        <v>0</v>
      </c>
    </row>
    <row r="4631" spans="2:6" ht="15.75" customHeight="1" x14ac:dyDescent="0.25">
      <c r="B4631" t="str">
        <v>Project 0</v>
      </c>
      <c r="C4631" t="str">
        <v>Lending</v>
      </c>
      <c r="D4631" t="str">
        <v>-</v>
      </c>
      <c r="E4631">
        <v>103735635.56953511</v>
      </c>
      <c r="F4631">
        <v>0</v>
      </c>
    </row>
    <row r="4632" spans="2:6" ht="15.75" customHeight="1" x14ac:dyDescent="0.25">
      <c r="B4632" t="str">
        <v>Project X</v>
      </c>
      <c r="C4632" t="str">
        <v>Dexs</v>
      </c>
      <c r="D4632" t="str">
        <v>-</v>
      </c>
      <c r="E4632">
        <v>40022881.01413472</v>
      </c>
      <c r="F4632">
        <v>0</v>
      </c>
    </row>
    <row r="4633" spans="2:6" ht="15.75" customHeight="1" x14ac:dyDescent="0.25">
      <c r="B4633" t="str">
        <v>ProjectX</v>
      </c>
      <c r="C4633" t="str">
        <v>Yield</v>
      </c>
      <c r="D4633" t="str">
        <v>PXT2</v>
      </c>
      <c r="E4633">
        <v>0</v>
      </c>
      <c r="F4633">
        <v>0</v>
      </c>
    </row>
    <row r="4634" spans="2:6" ht="15.75" customHeight="1" x14ac:dyDescent="0.25">
      <c r="B4634" t="str">
        <v>Promethium</v>
      </c>
      <c r="C4634" t="str">
        <v>Lending</v>
      </c>
      <c r="D4634" t="str">
        <v>-</v>
      </c>
      <c r="E4634">
        <v>1.3802595212298594E-3</v>
      </c>
      <c r="F4634">
        <v>0</v>
      </c>
    </row>
    <row r="4635" spans="2:6" ht="15.75" customHeight="1" x14ac:dyDescent="0.25">
      <c r="B4635" t="str">
        <v>Proof of Humanity</v>
      </c>
      <c r="C4635" t="str">
        <v>Services</v>
      </c>
      <c r="D4635" t="str">
        <v>UBI</v>
      </c>
      <c r="E4635">
        <v>0</v>
      </c>
      <c r="F4635">
        <v>0</v>
      </c>
    </row>
    <row r="4636" spans="2:6" ht="15.75" customHeight="1" x14ac:dyDescent="0.25">
      <c r="B4636" t="str">
        <v>Propbase</v>
      </c>
      <c r="C4636" t="str">
        <v>RWA</v>
      </c>
      <c r="D4636" t="str">
        <v>PROPS</v>
      </c>
      <c r="E4636">
        <v>1047390.3969133409</v>
      </c>
      <c r="F4636">
        <v>3494458.1327899778</v>
      </c>
    </row>
    <row r="4637" spans="2:6" ht="15.75" customHeight="1" x14ac:dyDescent="0.25">
      <c r="B4637" t="str">
        <v>Prophet</v>
      </c>
      <c r="C4637" t="str">
        <v>Prediction Market</v>
      </c>
      <c r="D4637" t="str">
        <v>-</v>
      </c>
      <c r="E4637">
        <v>1283.3514074175143</v>
      </c>
      <c r="F4637">
        <v>0</v>
      </c>
    </row>
    <row r="4638" spans="2:6" ht="15.75" customHeight="1" x14ac:dyDescent="0.25">
      <c r="B4638" t="str">
        <v>Prophet.fun</v>
      </c>
      <c r="C4638" t="str">
        <v>Prediction Market</v>
      </c>
      <c r="D4638" t="str">
        <v>-</v>
      </c>
      <c r="E4638">
        <v>0</v>
      </c>
      <c r="F4638">
        <v>0</v>
      </c>
    </row>
    <row r="4639" spans="2:6" ht="15.75" customHeight="1" x14ac:dyDescent="0.25">
      <c r="B4639" t="str">
        <v>Prosper</v>
      </c>
      <c r="C4639" t="str">
        <v>RWA</v>
      </c>
      <c r="D4639" t="str">
        <v>PROS</v>
      </c>
      <c r="E4639">
        <v>0</v>
      </c>
      <c r="F4639">
        <v>0</v>
      </c>
    </row>
    <row r="4640" spans="2:6" ht="15.75" customHeight="1" x14ac:dyDescent="0.25">
      <c r="B4640" t="str">
        <v>Protectorate Protocol</v>
      </c>
      <c r="C4640" t="str">
        <v>Yield Aggregator</v>
      </c>
      <c r="D4640" t="str">
        <v>PRTC</v>
      </c>
      <c r="E4640">
        <v>1033.2979932377048</v>
      </c>
      <c r="F4640">
        <v>0</v>
      </c>
    </row>
    <row r="4641" spans="2:6" ht="15.75" customHeight="1" x14ac:dyDescent="0.25">
      <c r="B4641" t="str">
        <v>Proteo Defi</v>
      </c>
      <c r="C4641" t="str">
        <v>Farm</v>
      </c>
      <c r="D4641" t="str">
        <v>PROTEO</v>
      </c>
      <c r="E4641">
        <v>22464.143112465517</v>
      </c>
      <c r="F4641">
        <v>71341.673910867699</v>
      </c>
    </row>
    <row r="4642" spans="2:6" ht="15.75" customHeight="1" x14ac:dyDescent="0.25">
      <c r="B4642" t="str">
        <v>ProtoFi</v>
      </c>
      <c r="C4642" t="str">
        <v>Dexs</v>
      </c>
      <c r="D4642" t="str">
        <v>PROTO</v>
      </c>
      <c r="E4642">
        <v>15684.159408530604</v>
      </c>
      <c r="F4642">
        <v>0</v>
      </c>
    </row>
    <row r="4643" spans="2:6" ht="15.75" customHeight="1" x14ac:dyDescent="0.25">
      <c r="B4643" t="str">
        <v>ProtossDex</v>
      </c>
      <c r="C4643" t="str">
        <v>Dexs</v>
      </c>
      <c r="D4643" t="str">
        <v>-</v>
      </c>
      <c r="E4643">
        <v>14642.000159482723</v>
      </c>
      <c r="F4643">
        <v>0</v>
      </c>
    </row>
    <row r="4644" spans="2:6" ht="15.75" customHeight="1" x14ac:dyDescent="0.25">
      <c r="B4644" t="str">
        <v>Proxy</v>
      </c>
      <c r="C4644" t="str">
        <v>Bridge</v>
      </c>
      <c r="D4644" t="str">
        <v>PRXY</v>
      </c>
      <c r="E4644">
        <v>23738903.823688127</v>
      </c>
      <c r="F4644">
        <v>0</v>
      </c>
    </row>
    <row r="4645" spans="2:6" ht="15.75" customHeight="1" x14ac:dyDescent="0.25">
      <c r="B4645" t="str">
        <v>Pryzm Liquid Staking</v>
      </c>
      <c r="C4645" t="str">
        <v>Liquid Staking</v>
      </c>
      <c r="D4645" t="str">
        <v>-</v>
      </c>
      <c r="E4645">
        <v>367444.04679849226</v>
      </c>
      <c r="F4645">
        <v>0</v>
      </c>
    </row>
    <row r="4646" spans="2:6" ht="15.75" customHeight="1" x14ac:dyDescent="0.25">
      <c r="B4646" t="str">
        <v>Pryzm Protocol</v>
      </c>
      <c r="C4646" t="str">
        <v>Yield</v>
      </c>
      <c r="D4646" t="str">
        <v>-</v>
      </c>
      <c r="E4646">
        <v>10549.734191383341</v>
      </c>
      <c r="F4646">
        <v>0</v>
      </c>
    </row>
    <row r="4647" spans="2:6" ht="15.75" customHeight="1" x14ac:dyDescent="0.25">
      <c r="B4647" t="str">
        <v>pSTAKE BTC</v>
      </c>
      <c r="C4647" t="str">
        <v>Restaked BTC</v>
      </c>
      <c r="D4647" t="str">
        <v>-</v>
      </c>
      <c r="E4647">
        <v>0.54428020366213903</v>
      </c>
      <c r="F4647">
        <v>0</v>
      </c>
    </row>
    <row r="4648" spans="2:6" ht="15.75" customHeight="1" x14ac:dyDescent="0.25">
      <c r="B4648" t="str">
        <v>pSTAKE LSD</v>
      </c>
      <c r="C4648" t="str">
        <v>Liquid Staking</v>
      </c>
      <c r="D4648" t="str">
        <v>PSTAKE</v>
      </c>
      <c r="E4648">
        <v>192828.20198747976</v>
      </c>
      <c r="F4648">
        <v>0</v>
      </c>
    </row>
    <row r="4649" spans="2:6" ht="15.75" customHeight="1" x14ac:dyDescent="0.25">
      <c r="B4649" t="str">
        <v>PSY</v>
      </c>
      <c r="C4649" t="str">
        <v>CDP</v>
      </c>
      <c r="D4649" t="str">
        <v>-</v>
      </c>
      <c r="E4649">
        <v>7.1410421464147813</v>
      </c>
      <c r="F4649">
        <v>0</v>
      </c>
    </row>
    <row r="4650" spans="2:6" ht="15.75" customHeight="1" x14ac:dyDescent="0.25">
      <c r="B4650" t="str">
        <v>PsyOptions</v>
      </c>
      <c r="C4650" t="str">
        <v>Options</v>
      </c>
      <c r="D4650" t="str">
        <v>PSY</v>
      </c>
      <c r="E4650">
        <v>690703.78780459356</v>
      </c>
      <c r="F4650">
        <v>64445.01828740006</v>
      </c>
    </row>
    <row r="4651" spans="2:6" ht="15.75" customHeight="1" x14ac:dyDescent="0.25">
      <c r="B4651" t="str">
        <v>Pu239</v>
      </c>
      <c r="C4651" t="str">
        <v>Lending</v>
      </c>
      <c r="D4651" t="str">
        <v>-</v>
      </c>
      <c r="E4651">
        <v>0.67532794953983177</v>
      </c>
      <c r="F4651">
        <v>0</v>
      </c>
    </row>
    <row r="4652" spans="2:6" ht="15.75" customHeight="1" x14ac:dyDescent="0.25">
      <c r="B4652" t="str">
        <v>PuddingSwap</v>
      </c>
      <c r="C4652" t="str">
        <v>Dexs</v>
      </c>
      <c r="D4652" t="str">
        <v>PUD</v>
      </c>
      <c r="E4652">
        <v>0</v>
      </c>
      <c r="F4652">
        <v>0</v>
      </c>
    </row>
    <row r="4653" spans="2:6" ht="15.75" customHeight="1" x14ac:dyDescent="0.25">
      <c r="B4653" t="str">
        <v>Puff Penthouse</v>
      </c>
      <c r="C4653" t="str">
        <v>Farm</v>
      </c>
      <c r="D4653" t="str">
        <v>PUFF</v>
      </c>
      <c r="E4653">
        <v>92767.891935264852</v>
      </c>
      <c r="F4653">
        <v>71736961.193739921</v>
      </c>
    </row>
    <row r="4654" spans="2:6" ht="15.75" customHeight="1" x14ac:dyDescent="0.25">
      <c r="B4654" t="str">
        <v>Puffer Stake</v>
      </c>
      <c r="C4654" t="str">
        <v>Liquid Restaking</v>
      </c>
      <c r="D4654" t="str">
        <v>PUFFER</v>
      </c>
      <c r="E4654">
        <v>101243945.53240623</v>
      </c>
      <c r="F4654">
        <v>0</v>
      </c>
    </row>
    <row r="4655" spans="2:6" ht="15.75" customHeight="1" x14ac:dyDescent="0.25">
      <c r="B4655" t="str">
        <v>Puffer UniFi</v>
      </c>
      <c r="C4655" t="str">
        <v>Yield</v>
      </c>
      <c r="D4655" t="str">
        <v>PUFFER</v>
      </c>
      <c r="E4655">
        <v>3109457.6378237479</v>
      </c>
      <c r="F4655">
        <v>0</v>
      </c>
    </row>
    <row r="4656" spans="2:6" ht="15.75" customHeight="1" x14ac:dyDescent="0.25">
      <c r="B4656" t="str">
        <v>Puffer Vaults</v>
      </c>
      <c r="C4656" t="str">
        <v>Onchain Capital Allocator</v>
      </c>
      <c r="D4656" t="str">
        <v>PUFFER</v>
      </c>
      <c r="E4656">
        <v>3581611.8958533634</v>
      </c>
      <c r="F4656">
        <v>0</v>
      </c>
    </row>
    <row r="4657" spans="2:6" ht="15.75" customHeight="1" x14ac:dyDescent="0.25">
      <c r="B4657" t="str">
        <v>PULI</v>
      </c>
      <c r="C4657" t="str">
        <v>Gaming</v>
      </c>
      <c r="D4657" t="str">
        <v>PULI</v>
      </c>
      <c r="E4657">
        <v>0</v>
      </c>
      <c r="F4657">
        <v>28411.819987483643</v>
      </c>
    </row>
    <row r="4658" spans="2:6" ht="15.75" customHeight="1" x14ac:dyDescent="0.25">
      <c r="B4658" t="str">
        <v>Pulsar Money</v>
      </c>
      <c r="C4658" t="str">
        <v>Payments</v>
      </c>
      <c r="D4658" t="str">
        <v>-</v>
      </c>
      <c r="E4658">
        <v>1873.1088670037486</v>
      </c>
      <c r="F4658">
        <v>0</v>
      </c>
    </row>
    <row r="4659" spans="2:6" ht="15.75" customHeight="1" x14ac:dyDescent="0.25">
      <c r="B4659" t="str">
        <v>Pulsar Swap</v>
      </c>
      <c r="C4659" t="str">
        <v>Dexs</v>
      </c>
      <c r="D4659" t="str">
        <v>-</v>
      </c>
      <c r="E4659">
        <v>11116.107461011725</v>
      </c>
      <c r="F4659">
        <v>0</v>
      </c>
    </row>
    <row r="4660" spans="2:6" ht="15.75" customHeight="1" x14ac:dyDescent="0.25">
      <c r="B4660" t="str">
        <v>Pulse DAO</v>
      </c>
      <c r="C4660" t="str">
        <v>Algo-Stables</v>
      </c>
      <c r="D4660" t="str">
        <v>PLD</v>
      </c>
      <c r="E4660">
        <v>0</v>
      </c>
      <c r="F4660">
        <v>0</v>
      </c>
    </row>
    <row r="4661" spans="2:6" ht="15.75" customHeight="1" x14ac:dyDescent="0.25">
      <c r="B4661" t="str">
        <v>Pulse Rate</v>
      </c>
      <c r="C4661" t="str">
        <v>Algo-Stables</v>
      </c>
      <c r="D4661" t="str">
        <v>PRATE</v>
      </c>
      <c r="E4661">
        <v>50540.544100232692</v>
      </c>
      <c r="F4661">
        <v>0</v>
      </c>
    </row>
    <row r="4662" spans="2:6" ht="15.75" customHeight="1" x14ac:dyDescent="0.25">
      <c r="B4662" t="str">
        <v>PulseChain Bridge</v>
      </c>
      <c r="C4662" t="str">
        <v>Canonical Bridge</v>
      </c>
      <c r="D4662" t="str">
        <v>-</v>
      </c>
      <c r="E4662">
        <v>68999443.190666139</v>
      </c>
      <c r="F4662">
        <v>0</v>
      </c>
    </row>
    <row r="4663" spans="2:6" ht="15.75" customHeight="1" x14ac:dyDescent="0.25">
      <c r="B4663" t="str">
        <v>PulseGun AMM</v>
      </c>
      <c r="C4663" t="str">
        <v>Dexs</v>
      </c>
      <c r="D4663" t="str">
        <v>-</v>
      </c>
      <c r="E4663">
        <v>0.53992281443800105</v>
      </c>
      <c r="F4663">
        <v>0</v>
      </c>
    </row>
    <row r="4664" spans="2:6" ht="15.75" customHeight="1" x14ac:dyDescent="0.25">
      <c r="B4664" t="str">
        <v>PulseGun Farm</v>
      </c>
      <c r="C4664" t="str">
        <v>Farm</v>
      </c>
      <c r="D4664" t="str">
        <v>-</v>
      </c>
      <c r="E4664">
        <v>65.264688950428436</v>
      </c>
      <c r="F4664">
        <v>0</v>
      </c>
    </row>
    <row r="4665" spans="2:6" ht="15.75" customHeight="1" x14ac:dyDescent="0.25">
      <c r="B4665" t="str">
        <v>Pulsemax Finance</v>
      </c>
      <c r="C4665" t="str">
        <v>Algo-Stables</v>
      </c>
      <c r="D4665" t="str">
        <v>MAX</v>
      </c>
      <c r="E4665">
        <v>0</v>
      </c>
      <c r="F4665">
        <v>0</v>
      </c>
    </row>
    <row r="4666" spans="2:6" ht="15.75" customHeight="1" x14ac:dyDescent="0.25">
      <c r="B4666" t="str">
        <v>PulseX StableSwap</v>
      </c>
      <c r="C4666" t="str">
        <v>Dexs</v>
      </c>
      <c r="D4666" t="str">
        <v>PLSX</v>
      </c>
      <c r="E4666">
        <v>1153584.8096760786</v>
      </c>
      <c r="F4666">
        <v>0</v>
      </c>
    </row>
    <row r="4667" spans="2:6" ht="15.75" customHeight="1" x14ac:dyDescent="0.25">
      <c r="B4667" t="str">
        <v>PulseX V1</v>
      </c>
      <c r="C4667" t="str">
        <v>Dexs</v>
      </c>
      <c r="D4667" t="str">
        <v>PLSX</v>
      </c>
      <c r="E4667">
        <v>36985140.83984457</v>
      </c>
      <c r="F4667">
        <v>0</v>
      </c>
    </row>
    <row r="4668" spans="2:6" ht="15.75" customHeight="1" x14ac:dyDescent="0.25">
      <c r="B4668" t="str">
        <v>PulseX V2</v>
      </c>
      <c r="C4668" t="str">
        <v>Dexs</v>
      </c>
      <c r="D4668" t="str">
        <v>PLSX</v>
      </c>
      <c r="E4668">
        <v>92110907.545404121</v>
      </c>
      <c r="F4668">
        <v>0</v>
      </c>
    </row>
    <row r="4669" spans="2:6" ht="15.75" customHeight="1" x14ac:dyDescent="0.25">
      <c r="B4669" t="str">
        <v>Pump Markets</v>
      </c>
      <c r="C4669" t="str">
        <v>OTC Marketplace</v>
      </c>
      <c r="D4669" t="str">
        <v>-</v>
      </c>
      <c r="E4669">
        <v>13565.838632274164</v>
      </c>
      <c r="F4669">
        <v>0</v>
      </c>
    </row>
    <row r="4670" spans="2:6" ht="15.75" customHeight="1" x14ac:dyDescent="0.25">
      <c r="B4670" t="str">
        <v>pump.fun</v>
      </c>
      <c r="C4670" t="str">
        <v>Launchpad</v>
      </c>
      <c r="D4670" t="str">
        <v>PUMP</v>
      </c>
      <c r="E4670">
        <v>0</v>
      </c>
      <c r="F4670">
        <v>1283617689.5249481</v>
      </c>
    </row>
    <row r="4671" spans="2:6" ht="15.75" customHeight="1" x14ac:dyDescent="0.25">
      <c r="B4671" t="str">
        <v>PumpBase</v>
      </c>
      <c r="C4671" t="str">
        <v>Launchpad</v>
      </c>
      <c r="D4671" t="str">
        <v>-</v>
      </c>
      <c r="E4671">
        <v>346272.59608331369</v>
      </c>
      <c r="F4671">
        <v>0</v>
      </c>
    </row>
    <row r="4672" spans="2:6" ht="15.75" customHeight="1" x14ac:dyDescent="0.25">
      <c r="B4672" t="str">
        <v>PumpBTC</v>
      </c>
      <c r="C4672" t="str">
        <v>Bridge</v>
      </c>
      <c r="D4672" t="str">
        <v>-</v>
      </c>
      <c r="E4672">
        <v>74043568.365176409</v>
      </c>
      <c r="F4672">
        <v>66013309.238394186</v>
      </c>
    </row>
    <row r="4673" spans="2:6" ht="15.75" customHeight="1" x14ac:dyDescent="0.25">
      <c r="B4673" t="str">
        <v>Pumper</v>
      </c>
      <c r="C4673" t="str">
        <v>Trading App</v>
      </c>
      <c r="D4673" t="str">
        <v>-</v>
      </c>
      <c r="E4673">
        <v>0</v>
      </c>
      <c r="F4673">
        <v>0</v>
      </c>
    </row>
    <row r="4674" spans="2:6" ht="15.75" customHeight="1" x14ac:dyDescent="0.25">
      <c r="B4674" t="str">
        <v>Pumpkin DAO</v>
      </c>
      <c r="C4674" t="str">
        <v>Reserve Currency</v>
      </c>
      <c r="D4674" t="str">
        <v>PUMP</v>
      </c>
      <c r="E4674">
        <v>0</v>
      </c>
      <c r="F4674">
        <v>0</v>
      </c>
    </row>
    <row r="4675" spans="2:6" ht="15.75" customHeight="1" x14ac:dyDescent="0.25">
      <c r="B4675" t="str">
        <v>PumpSpace</v>
      </c>
      <c r="C4675" t="str">
        <v>Dexs</v>
      </c>
      <c r="D4675" t="str">
        <v>-</v>
      </c>
      <c r="E4675">
        <v>863800.47182124807</v>
      </c>
      <c r="F4675">
        <v>0</v>
      </c>
    </row>
    <row r="4676" spans="2:6" ht="15.75" customHeight="1" x14ac:dyDescent="0.25">
      <c r="B4676" t="str">
        <v>PumpSwap</v>
      </c>
      <c r="C4676" t="str">
        <v>Dexs</v>
      </c>
      <c r="D4676" t="str">
        <v>-</v>
      </c>
      <c r="E4676">
        <v>234445566.78756127</v>
      </c>
      <c r="F4676">
        <v>0</v>
      </c>
    </row>
    <row r="4677" spans="2:6" ht="15.75" customHeight="1" x14ac:dyDescent="0.25">
      <c r="B4677" t="str">
        <v>PumpXY</v>
      </c>
      <c r="C4677" t="str">
        <v>Launchpad</v>
      </c>
      <c r="D4677" t="str">
        <v>-</v>
      </c>
      <c r="E4677">
        <v>242.71495613089431</v>
      </c>
      <c r="F4677">
        <v>0</v>
      </c>
    </row>
    <row r="4678" spans="2:6" ht="15.75" customHeight="1" x14ac:dyDescent="0.25">
      <c r="B4678" t="str">
        <v>Punk.Coffee</v>
      </c>
      <c r="C4678" t="str">
        <v>Prediction Market</v>
      </c>
      <c r="D4678" t="str">
        <v>-</v>
      </c>
      <c r="E4678">
        <v>2479.0765155224985</v>
      </c>
      <c r="F4678">
        <v>0</v>
      </c>
    </row>
    <row r="4679" spans="2:6" ht="15.75" customHeight="1" x14ac:dyDescent="0.25">
      <c r="B4679" t="str">
        <v>PunkSwap</v>
      </c>
      <c r="C4679" t="str">
        <v>Dexs</v>
      </c>
      <c r="D4679" t="str">
        <v>PUNK</v>
      </c>
      <c r="E4679">
        <v>55056.193175128225</v>
      </c>
      <c r="F4679">
        <v>0</v>
      </c>
    </row>
    <row r="4680" spans="2:6" ht="15.75" customHeight="1" x14ac:dyDescent="0.25">
      <c r="B4680" t="str">
        <v>Puppyfun</v>
      </c>
      <c r="C4680" t="str">
        <v>Launchpad</v>
      </c>
      <c r="D4680" t="str">
        <v>-</v>
      </c>
      <c r="E4680">
        <v>41288.678553346523</v>
      </c>
      <c r="F4680">
        <v>0</v>
      </c>
    </row>
    <row r="4681" spans="2:6" ht="15.75" customHeight="1" x14ac:dyDescent="0.25">
      <c r="B4681" t="str">
        <v>PureFi</v>
      </c>
      <c r="C4681" t="str">
        <v>Yield</v>
      </c>
      <c r="D4681" t="str">
        <v>UFI</v>
      </c>
      <c r="E4681">
        <v>105.03732203361282</v>
      </c>
      <c r="F4681">
        <v>307982.62768547173</v>
      </c>
    </row>
    <row r="4682" spans="2:6" ht="15.75" customHeight="1" x14ac:dyDescent="0.25">
      <c r="B4682" t="str">
        <v>PureSwap</v>
      </c>
      <c r="C4682" t="str">
        <v>Dexs</v>
      </c>
      <c r="D4682" t="str">
        <v>PURE</v>
      </c>
      <c r="E4682">
        <v>288831.32286824175</v>
      </c>
      <c r="F4682">
        <v>0</v>
      </c>
    </row>
    <row r="4683" spans="2:6" ht="15.75" customHeight="1" x14ac:dyDescent="0.25">
      <c r="B4683" t="str">
        <v>Purple Bridge DEX</v>
      </c>
      <c r="C4683" t="str">
        <v>Dexs</v>
      </c>
      <c r="D4683" t="str">
        <v>-</v>
      </c>
      <c r="E4683">
        <v>7.0859802371213849</v>
      </c>
      <c r="F4683">
        <v>0</v>
      </c>
    </row>
    <row r="4684" spans="2:6" ht="15.75" customHeight="1" x14ac:dyDescent="0.25">
      <c r="B4684" t="str">
        <v>PurpsExchange</v>
      </c>
      <c r="C4684" t="str">
        <v>Dexs</v>
      </c>
      <c r="D4684" t="str">
        <v>-</v>
      </c>
      <c r="E4684">
        <v>1409.2648210174686</v>
      </c>
      <c r="F4684">
        <v>0</v>
      </c>
    </row>
    <row r="4685" spans="2:6" ht="15.75" customHeight="1" x14ac:dyDescent="0.25">
      <c r="B4685" t="str">
        <v>Puzzle Lend</v>
      </c>
      <c r="C4685" t="str">
        <v>Lending</v>
      </c>
      <c r="D4685" t="str">
        <v>PUZZLESWAP</v>
      </c>
      <c r="E4685">
        <v>687690.355659683</v>
      </c>
      <c r="F4685">
        <v>0</v>
      </c>
    </row>
    <row r="4686" spans="2:6" ht="15.75" customHeight="1" x14ac:dyDescent="0.25">
      <c r="B4686" t="str">
        <v>Puzzle Swap</v>
      </c>
      <c r="C4686" t="str">
        <v>Dexs</v>
      </c>
      <c r="D4686" t="str">
        <v>PUZZLE</v>
      </c>
      <c r="E4686">
        <v>3147884.1433884385</v>
      </c>
      <c r="F4686">
        <v>0</v>
      </c>
    </row>
    <row r="4687" spans="2:6" ht="15.75" customHeight="1" x14ac:dyDescent="0.25">
      <c r="B4687" t="str">
        <v>PV01</v>
      </c>
      <c r="C4687" t="str">
        <v>RWA</v>
      </c>
      <c r="D4687" t="str">
        <v>-</v>
      </c>
      <c r="E4687">
        <v>0</v>
      </c>
      <c r="F4687">
        <v>0</v>
      </c>
    </row>
    <row r="4688" spans="2:6" ht="15.75" customHeight="1" x14ac:dyDescent="0.25">
      <c r="B4688" t="str">
        <v>pvp.trade</v>
      </c>
      <c r="C4688" t="str">
        <v>Interface</v>
      </c>
      <c r="D4688" t="str">
        <v>-</v>
      </c>
      <c r="E4688">
        <v>0</v>
      </c>
      <c r="F4688">
        <v>0</v>
      </c>
    </row>
    <row r="4689" spans="2:6" ht="15.75" customHeight="1" x14ac:dyDescent="0.25">
      <c r="B4689" t="str">
        <v>PWN</v>
      </c>
      <c r="C4689" t="str">
        <v>Lending</v>
      </c>
      <c r="D4689" t="str">
        <v>-</v>
      </c>
      <c r="E4689">
        <v>36896.183528136615</v>
      </c>
      <c r="F4689">
        <v>0</v>
      </c>
    </row>
    <row r="4690" spans="2:6" ht="15.75" customHeight="1" x14ac:dyDescent="0.25">
      <c r="B4690" t="str">
        <v>pxswap</v>
      </c>
      <c r="C4690" t="str">
        <v>NFT Marketplace</v>
      </c>
      <c r="D4690" t="str">
        <v>-</v>
      </c>
      <c r="E4690">
        <v>0</v>
      </c>
      <c r="F4690">
        <v>0</v>
      </c>
    </row>
    <row r="4691" spans="2:6" ht="15.75" customHeight="1" x14ac:dyDescent="0.25">
      <c r="B4691" t="str">
        <v>PYEswap</v>
      </c>
      <c r="C4691" t="str">
        <v>Dexs</v>
      </c>
      <c r="D4691" t="str">
        <v>PYE</v>
      </c>
      <c r="E4691">
        <v>1622.9162327392271</v>
      </c>
      <c r="F4691">
        <v>0</v>
      </c>
    </row>
    <row r="4692" spans="2:6" ht="15.75" customHeight="1" x14ac:dyDescent="0.25">
      <c r="B4692" t="str">
        <v>Pylon Protocol</v>
      </c>
      <c r="C4692" t="str">
        <v>Yield</v>
      </c>
      <c r="D4692" t="str">
        <v>MINE</v>
      </c>
      <c r="E4692">
        <v>0</v>
      </c>
      <c r="F4692">
        <v>236583.86145519296</v>
      </c>
    </row>
    <row r="4693" spans="2:6" ht="15.75" customHeight="1" x14ac:dyDescent="0.25">
      <c r="B4693" t="str">
        <v>PyreSwap</v>
      </c>
      <c r="C4693" t="str">
        <v>Dexs</v>
      </c>
      <c r="D4693" t="str">
        <v>-</v>
      </c>
      <c r="E4693">
        <v>40942.644781106494</v>
      </c>
      <c r="F4693">
        <v>0</v>
      </c>
    </row>
    <row r="4694" spans="2:6" ht="15.75" customHeight="1" x14ac:dyDescent="0.25">
      <c r="B4694" t="str">
        <v>PySwap</v>
      </c>
      <c r="C4694" t="str">
        <v>Dexs</v>
      </c>
      <c r="D4694" t="str">
        <v>PYS</v>
      </c>
      <c r="E4694">
        <v>0</v>
      </c>
      <c r="F4694">
        <v>0</v>
      </c>
    </row>
    <row r="4695" spans="2:6" ht="15.75" customHeight="1" x14ac:dyDescent="0.25">
      <c r="B4695" t="str">
        <v>Pyth Entropy</v>
      </c>
      <c r="C4695" t="str">
        <v>Oracle</v>
      </c>
      <c r="D4695" t="str">
        <v>PYTH</v>
      </c>
      <c r="E4695">
        <v>0</v>
      </c>
      <c r="F4695">
        <v>0</v>
      </c>
    </row>
    <row r="4696" spans="2:6" ht="15.75" customHeight="1" x14ac:dyDescent="0.25">
      <c r="B4696" t="str">
        <v>Pyth Network</v>
      </c>
      <c r="C4696" t="str">
        <v>Oracle</v>
      </c>
      <c r="D4696" t="str">
        <v>PYTH</v>
      </c>
      <c r="E4696">
        <v>0</v>
      </c>
      <c r="F4696">
        <v>0</v>
      </c>
    </row>
    <row r="4697" spans="2:6" ht="15.75" customHeight="1" x14ac:dyDescent="0.25">
      <c r="B4697" t="str">
        <v>Pythagorean</v>
      </c>
      <c r="C4697" t="str">
        <v>Dexs</v>
      </c>
      <c r="D4697" t="str">
        <v>-</v>
      </c>
      <c r="E4697">
        <v>250.9458276750041</v>
      </c>
      <c r="F4697">
        <v>0</v>
      </c>
    </row>
    <row r="4698" spans="2:6" ht="15.75" customHeight="1" x14ac:dyDescent="0.25">
      <c r="B4698" t="str">
        <v>Q Borrowing</v>
      </c>
      <c r="C4698" t="str">
        <v>Lending</v>
      </c>
      <c r="D4698" t="str">
        <v>-</v>
      </c>
      <c r="E4698">
        <v>9466.0106042904026</v>
      </c>
      <c r="F4698">
        <v>0</v>
      </c>
    </row>
    <row r="4699" spans="2:6" ht="15.75" customHeight="1" x14ac:dyDescent="0.25">
      <c r="B4699" t="str">
        <v>Q Infinity</v>
      </c>
      <c r="C4699" t="str">
        <v>Farm</v>
      </c>
      <c r="D4699" t="str">
        <v>-</v>
      </c>
      <c r="E4699">
        <v>2249.6653280962828</v>
      </c>
      <c r="F4699">
        <v>0</v>
      </c>
    </row>
    <row r="4700" spans="2:6" ht="15.75" customHeight="1" x14ac:dyDescent="0.25">
      <c r="B4700" t="str">
        <v>QAO</v>
      </c>
      <c r="C4700" t="str">
        <v>Indexes</v>
      </c>
      <c r="D4700" t="str">
        <v>QAO</v>
      </c>
      <c r="E4700">
        <v>0</v>
      </c>
      <c r="F4700">
        <v>93780.829044145692</v>
      </c>
    </row>
    <row r="4701" spans="2:6" ht="15.75" customHeight="1" x14ac:dyDescent="0.25">
      <c r="B4701" t="str">
        <v>Qearn</v>
      </c>
      <c r="C4701" t="str">
        <v>Staking Pool</v>
      </c>
      <c r="D4701" t="str">
        <v>-</v>
      </c>
      <c r="E4701">
        <v>20788339.83657629</v>
      </c>
      <c r="F4701">
        <v>0</v>
      </c>
    </row>
    <row r="4702" spans="2:6" ht="15.75" customHeight="1" x14ac:dyDescent="0.25">
      <c r="B4702" t="str">
        <v>QIAN</v>
      </c>
      <c r="C4702" t="str">
        <v>Synthetics</v>
      </c>
      <c r="D4702" t="str">
        <v>KUN</v>
      </c>
      <c r="E4702">
        <v>7125.9032879351043</v>
      </c>
      <c r="F4702">
        <v>0</v>
      </c>
    </row>
    <row r="4703" spans="2:6" ht="15.75" customHeight="1" x14ac:dyDescent="0.25">
      <c r="B4703" t="str">
        <v>QiDao</v>
      </c>
      <c r="C4703" t="str">
        <v>CDP</v>
      </c>
      <c r="D4703" t="str">
        <v>QI</v>
      </c>
      <c r="E4703">
        <v>5289961.4543005489</v>
      </c>
      <c r="F4703">
        <v>2419328.6216268111</v>
      </c>
    </row>
    <row r="4704" spans="2:6" ht="15.75" customHeight="1" x14ac:dyDescent="0.25">
      <c r="B4704" t="str">
        <v>Qilin</v>
      </c>
      <c r="C4704" t="str">
        <v>Dexs</v>
      </c>
      <c r="D4704" t="str">
        <v>-</v>
      </c>
      <c r="E4704">
        <v>14013.886552615313</v>
      </c>
      <c r="F4704">
        <v>0</v>
      </c>
    </row>
    <row r="4705" spans="2:6" ht="15.75" customHeight="1" x14ac:dyDescent="0.25">
      <c r="B4705" t="str">
        <v>QOMSWAP</v>
      </c>
      <c r="C4705" t="str">
        <v>Dexs</v>
      </c>
      <c r="D4705" t="str">
        <v>-</v>
      </c>
      <c r="E4705">
        <v>0</v>
      </c>
      <c r="F4705">
        <v>0</v>
      </c>
    </row>
    <row r="4706" spans="2:6" ht="15.75" customHeight="1" x14ac:dyDescent="0.25">
      <c r="B4706" t="str">
        <v>Qrolli</v>
      </c>
      <c r="C4706" t="str">
        <v>SoFi</v>
      </c>
      <c r="D4706" t="str">
        <v>QR</v>
      </c>
      <c r="E4706">
        <v>406.57584487304661</v>
      </c>
      <c r="F4706">
        <v>0</v>
      </c>
    </row>
    <row r="4707" spans="2:6" ht="15.75" customHeight="1" x14ac:dyDescent="0.25">
      <c r="B4707" t="str">
        <v>Quadrat</v>
      </c>
      <c r="C4707" t="str">
        <v>Liquidity manager</v>
      </c>
      <c r="D4707" t="str">
        <v>-</v>
      </c>
      <c r="E4707">
        <v>23619.828356129885</v>
      </c>
      <c r="F4707">
        <v>0</v>
      </c>
    </row>
    <row r="4708" spans="2:6" ht="15.75" customHeight="1" x14ac:dyDescent="0.25">
      <c r="B4708" t="str">
        <v>Quadratic Accelerator</v>
      </c>
      <c r="C4708" t="str">
        <v>Launchpad</v>
      </c>
      <c r="D4708" t="str">
        <v>-</v>
      </c>
      <c r="E4708">
        <v>0</v>
      </c>
      <c r="F4708">
        <v>0</v>
      </c>
    </row>
    <row r="4709" spans="2:6" ht="15.75" customHeight="1" x14ac:dyDescent="0.25">
      <c r="B4709" t="str">
        <v>QuantixAI</v>
      </c>
      <c r="C4709" t="str">
        <v>AI Agents</v>
      </c>
      <c r="D4709" t="str">
        <v>QAI</v>
      </c>
      <c r="E4709">
        <v>0</v>
      </c>
      <c r="F4709">
        <v>57136605.48299133</v>
      </c>
    </row>
    <row r="4710" spans="2:6" ht="15.75" customHeight="1" x14ac:dyDescent="0.25">
      <c r="B4710" t="str">
        <v>Quanto</v>
      </c>
      <c r="C4710" t="str">
        <v>Derivatives</v>
      </c>
      <c r="D4710" t="str">
        <v>-</v>
      </c>
      <c r="E4710">
        <v>0</v>
      </c>
      <c r="F4710">
        <v>0</v>
      </c>
    </row>
    <row r="4711" spans="2:6" ht="15.75" customHeight="1" x14ac:dyDescent="0.25">
      <c r="B4711" t="str">
        <v>QuantoSwap</v>
      </c>
      <c r="C4711" t="str">
        <v>Dexs</v>
      </c>
      <c r="D4711" t="str">
        <v>QNS</v>
      </c>
      <c r="E4711">
        <v>234.77755562741405</v>
      </c>
      <c r="F4711">
        <v>0</v>
      </c>
    </row>
    <row r="4712" spans="2:6" ht="15.75" customHeight="1" x14ac:dyDescent="0.25">
      <c r="B4712" t="str">
        <v>Quantum Unit</v>
      </c>
      <c r="C4712" t="str">
        <v>Staking Pool</v>
      </c>
      <c r="D4712" t="str">
        <v>QU</v>
      </c>
      <c r="E4712">
        <v>43.559225417869705</v>
      </c>
      <c r="F4712">
        <v>0</v>
      </c>
    </row>
    <row r="4713" spans="2:6" ht="15.75" customHeight="1" x14ac:dyDescent="0.25">
      <c r="B4713" t="str">
        <v>QuantumX Network</v>
      </c>
      <c r="C4713" t="str">
        <v>Services</v>
      </c>
      <c r="D4713" t="str">
        <v>-</v>
      </c>
      <c r="E4713">
        <v>3881.9239638593654</v>
      </c>
      <c r="F4713">
        <v>0</v>
      </c>
    </row>
    <row r="4714" spans="2:6" ht="15.75" customHeight="1" x14ac:dyDescent="0.25">
      <c r="B4714" t="str">
        <v>Quantus Lend</v>
      </c>
      <c r="C4714" t="str">
        <v>Lending</v>
      </c>
      <c r="D4714" t="str">
        <v>-</v>
      </c>
      <c r="E4714">
        <v>51823.383720087993</v>
      </c>
      <c r="F4714">
        <v>0</v>
      </c>
    </row>
    <row r="4715" spans="2:6" ht="15.75" customHeight="1" x14ac:dyDescent="0.25">
      <c r="B4715" t="str">
        <v>Quarry</v>
      </c>
      <c r="C4715" t="str">
        <v>Yield</v>
      </c>
      <c r="D4715" t="str">
        <v>-</v>
      </c>
      <c r="E4715">
        <v>8748634.2982725855</v>
      </c>
      <c r="F4715">
        <v>0</v>
      </c>
    </row>
    <row r="4716" spans="2:6" ht="15.75" customHeight="1" x14ac:dyDescent="0.25">
      <c r="B4716" t="str">
        <v>Quasar Vaults</v>
      </c>
      <c r="C4716" t="str">
        <v>Yield</v>
      </c>
      <c r="D4716" t="str">
        <v>-</v>
      </c>
      <c r="E4716">
        <v>74110.161805072188</v>
      </c>
      <c r="F4716">
        <v>0</v>
      </c>
    </row>
    <row r="4717" spans="2:6" ht="15.75" customHeight="1" x14ac:dyDescent="0.25">
      <c r="B4717" t="str">
        <v>QuasarSwap</v>
      </c>
      <c r="C4717" t="str">
        <v>Dexs</v>
      </c>
      <c r="D4717" t="str">
        <v>QSR</v>
      </c>
      <c r="E4717">
        <v>0</v>
      </c>
      <c r="F4717">
        <v>0</v>
      </c>
    </row>
    <row r="4718" spans="2:6" ht="15.75" customHeight="1" x14ac:dyDescent="0.25">
      <c r="B4718" t="str">
        <v>Qubic Idle Compute</v>
      </c>
      <c r="C4718" t="str">
        <v>Mining Pools</v>
      </c>
      <c r="D4718" t="str">
        <v>-</v>
      </c>
      <c r="E4718">
        <v>0</v>
      </c>
      <c r="F4718">
        <v>0</v>
      </c>
    </row>
    <row r="4719" spans="2:6" ht="15.75" customHeight="1" x14ac:dyDescent="0.25">
      <c r="B4719" t="str">
        <v>Qubit</v>
      </c>
      <c r="C4719" t="str">
        <v>Lending</v>
      </c>
      <c r="D4719" t="str">
        <v>QBT</v>
      </c>
      <c r="E4719">
        <v>22664.23967030333</v>
      </c>
      <c r="F4719">
        <v>0</v>
      </c>
    </row>
    <row r="4720" spans="2:6" ht="15.75" customHeight="1" x14ac:dyDescent="0.25">
      <c r="B4720" t="str">
        <v>Quenta</v>
      </c>
      <c r="C4720" t="str">
        <v>Derivatives</v>
      </c>
      <c r="D4720" t="str">
        <v>-</v>
      </c>
      <c r="E4720">
        <v>960.32358343549276</v>
      </c>
      <c r="F4720">
        <v>0</v>
      </c>
    </row>
    <row r="4721" spans="2:6" ht="15.75" customHeight="1" x14ac:dyDescent="0.25">
      <c r="B4721" t="str">
        <v>QuickPerps</v>
      </c>
      <c r="C4721" t="str">
        <v>Derivatives</v>
      </c>
      <c r="D4721" t="str">
        <v>QUICK</v>
      </c>
      <c r="E4721">
        <v>0</v>
      </c>
      <c r="F4721">
        <v>0</v>
      </c>
    </row>
    <row r="4722" spans="2:6" ht="15.75" customHeight="1" x14ac:dyDescent="0.25">
      <c r="B4722" t="str">
        <v>Quicksilver Protocol</v>
      </c>
      <c r="C4722" t="str">
        <v>Liquid Staking</v>
      </c>
      <c r="D4722" t="str">
        <v>QCK</v>
      </c>
      <c r="E4722">
        <v>127938.65639233431</v>
      </c>
      <c r="F4722">
        <v>213877.55622033071</v>
      </c>
    </row>
    <row r="4723" spans="2:6" ht="15.75" customHeight="1" x14ac:dyDescent="0.25">
      <c r="B4723" t="str">
        <v>Quickswap Dex</v>
      </c>
      <c r="C4723" t="str">
        <v>Dexs</v>
      </c>
      <c r="D4723" t="str">
        <v>QUICK</v>
      </c>
      <c r="E4723">
        <v>410162600.26347607</v>
      </c>
      <c r="F4723">
        <v>8985000.6006569229</v>
      </c>
    </row>
    <row r="4724" spans="2:6" ht="15.75" customHeight="1" x14ac:dyDescent="0.25">
      <c r="B4724" t="str">
        <v>Quickswap Hydra</v>
      </c>
      <c r="C4724" t="str">
        <v>Dexs</v>
      </c>
      <c r="D4724" t="str">
        <v>QUICK</v>
      </c>
      <c r="E4724">
        <v>0</v>
      </c>
      <c r="F4724">
        <v>0</v>
      </c>
    </row>
    <row r="4725" spans="2:6" ht="15.75" customHeight="1" x14ac:dyDescent="0.25">
      <c r="B4725" t="str">
        <v>Quickswap Lend</v>
      </c>
      <c r="C4725" t="str">
        <v>Lending</v>
      </c>
      <c r="D4725" t="str">
        <v>QUICK</v>
      </c>
      <c r="E4725">
        <v>2458.7462093177041</v>
      </c>
      <c r="F4725">
        <v>0</v>
      </c>
    </row>
    <row r="4726" spans="2:6" ht="15.75" customHeight="1" x14ac:dyDescent="0.25">
      <c r="B4726" t="str">
        <v>QuickSwap Liquidity Hub</v>
      </c>
      <c r="C4726" t="str">
        <v>Services</v>
      </c>
      <c r="D4726" t="str">
        <v>QUICK</v>
      </c>
      <c r="E4726">
        <v>0</v>
      </c>
      <c r="F4726">
        <v>0</v>
      </c>
    </row>
    <row r="4727" spans="2:6" ht="15.75" customHeight="1" x14ac:dyDescent="0.25">
      <c r="B4727" t="str">
        <v>Quickswap V3</v>
      </c>
      <c r="C4727" t="str">
        <v>Dexs</v>
      </c>
      <c r="D4727" t="str">
        <v>QUICK</v>
      </c>
      <c r="E4727">
        <v>26900070.235648047</v>
      </c>
      <c r="F4727">
        <v>0</v>
      </c>
    </row>
    <row r="4728" spans="2:6" ht="15.75" customHeight="1" x14ac:dyDescent="0.25">
      <c r="B4728" t="str">
        <v>Quickswap V4</v>
      </c>
      <c r="C4728" t="str">
        <v>Dexs</v>
      </c>
      <c r="D4728" t="str">
        <v>QUICK</v>
      </c>
      <c r="E4728">
        <v>5102357.5766025279</v>
      </c>
      <c r="F4728">
        <v>0</v>
      </c>
    </row>
    <row r="4729" spans="2:6" ht="15.75" customHeight="1" x14ac:dyDescent="0.25">
      <c r="B4729" t="str">
        <v>Quill Finance</v>
      </c>
      <c r="C4729" t="str">
        <v>CDP</v>
      </c>
      <c r="D4729" t="str">
        <v>-</v>
      </c>
      <c r="E4729">
        <v>203417.20857685973</v>
      </c>
      <c r="F4729">
        <v>0</v>
      </c>
    </row>
    <row r="4730" spans="2:6" ht="15.75" customHeight="1" x14ac:dyDescent="0.25">
      <c r="B4730" t="str">
        <v>Quillswap</v>
      </c>
      <c r="C4730" t="str">
        <v>Dexs</v>
      </c>
      <c r="D4730" t="str">
        <v>-</v>
      </c>
      <c r="E4730">
        <v>208.10755535730982</v>
      </c>
      <c r="F4730">
        <v>0</v>
      </c>
    </row>
    <row r="4731" spans="2:6" ht="15.75" customHeight="1" x14ac:dyDescent="0.25">
      <c r="B4731" t="str">
        <v>QuipuSwap Stableswap</v>
      </c>
      <c r="C4731" t="str">
        <v>Dexs</v>
      </c>
      <c r="D4731" t="str">
        <v>QUIPU</v>
      </c>
      <c r="E4731">
        <v>45962.877678903627</v>
      </c>
      <c r="F4731">
        <v>0</v>
      </c>
    </row>
    <row r="4732" spans="2:6" ht="15.75" customHeight="1" x14ac:dyDescent="0.25">
      <c r="B4732" t="str">
        <v>QuipuSwap V1</v>
      </c>
      <c r="C4732" t="str">
        <v>Dexs</v>
      </c>
      <c r="D4732" t="str">
        <v>QUIPU</v>
      </c>
      <c r="E4732">
        <v>587356.24250334362</v>
      </c>
      <c r="F4732">
        <v>0</v>
      </c>
    </row>
    <row r="4733" spans="2:6" ht="15.75" customHeight="1" x14ac:dyDescent="0.25">
      <c r="B4733" t="str">
        <v>QuipuSwap V2</v>
      </c>
      <c r="C4733" t="str">
        <v>Dexs</v>
      </c>
      <c r="D4733" t="str">
        <v>QUIPU</v>
      </c>
      <c r="E4733">
        <v>54256.720486276994</v>
      </c>
      <c r="F4733">
        <v>0</v>
      </c>
    </row>
    <row r="4734" spans="2:6" ht="15.75" customHeight="1" x14ac:dyDescent="0.25">
      <c r="B4734" t="str">
        <v>QuipuSwap V3</v>
      </c>
      <c r="C4734" t="str">
        <v>Dexs</v>
      </c>
      <c r="D4734" t="str">
        <v>QUIPU</v>
      </c>
      <c r="E4734">
        <v>124383.34225507284</v>
      </c>
      <c r="F4734">
        <v>0</v>
      </c>
    </row>
    <row r="4735" spans="2:6" ht="15.75" customHeight="1" x14ac:dyDescent="0.25">
      <c r="B4735" t="str">
        <v>QuokkaLend</v>
      </c>
      <c r="C4735" t="str">
        <v>Lending</v>
      </c>
      <c r="D4735" t="str">
        <v>-</v>
      </c>
      <c r="E4735">
        <v>36.774950158930629</v>
      </c>
      <c r="F4735">
        <v>0</v>
      </c>
    </row>
    <row r="4736" spans="2:6" ht="15.75" customHeight="1" x14ac:dyDescent="0.25">
      <c r="B4736" t="str">
        <v>Quoll</v>
      </c>
      <c r="C4736" t="str">
        <v>Yield</v>
      </c>
      <c r="D4736" t="str">
        <v>QUO</v>
      </c>
      <c r="E4736">
        <v>33241.412985930416</v>
      </c>
      <c r="F4736">
        <v>0</v>
      </c>
    </row>
    <row r="4737" spans="2:6" ht="15.75" customHeight="1" x14ac:dyDescent="0.25">
      <c r="B4737" t="str">
        <v>QX</v>
      </c>
      <c r="C4737" t="str">
        <v>Dexs</v>
      </c>
      <c r="D4737" t="str">
        <v>-</v>
      </c>
      <c r="E4737">
        <v>103829.68947878407</v>
      </c>
      <c r="F4737">
        <v>0</v>
      </c>
    </row>
    <row r="4738" spans="2:6" ht="15.75" customHeight="1" x14ac:dyDescent="0.25">
      <c r="B4738" t="str">
        <v>R U Generous</v>
      </c>
      <c r="C4738" t="str">
        <v>Reserve Currency</v>
      </c>
      <c r="D4738" t="str">
        <v>RUG</v>
      </c>
      <c r="E4738">
        <v>0</v>
      </c>
      <c r="F4738">
        <v>0</v>
      </c>
    </row>
    <row r="4739" spans="2:6" ht="15.75" customHeight="1" x14ac:dyDescent="0.25">
      <c r="B4739" t="str">
        <v>R-Planet</v>
      </c>
      <c r="C4739" t="str">
        <v>Gaming</v>
      </c>
      <c r="D4739" t="str">
        <v>-</v>
      </c>
      <c r="E4739">
        <v>2681.4762691022988</v>
      </c>
      <c r="F4739">
        <v>0</v>
      </c>
    </row>
    <row r="4740" spans="2:6" ht="15.75" customHeight="1" x14ac:dyDescent="0.25">
      <c r="B4740" t="str">
        <v>R3R</v>
      </c>
      <c r="C4740" t="str">
        <v>Prediction Market</v>
      </c>
      <c r="D4740" t="str">
        <v>-</v>
      </c>
      <c r="E4740">
        <v>1755.2312708267939</v>
      </c>
      <c r="F4740">
        <v>0</v>
      </c>
    </row>
    <row r="4741" spans="2:6" ht="15.75" customHeight="1" x14ac:dyDescent="0.25">
      <c r="B4741" t="str">
        <v>Ra Exchange</v>
      </c>
      <c r="C4741" t="str">
        <v>Dexs</v>
      </c>
      <c r="D4741" t="str">
        <v>-</v>
      </c>
      <c r="E4741">
        <v>961325.93557011662</v>
      </c>
      <c r="F4741">
        <v>0</v>
      </c>
    </row>
    <row r="4742" spans="2:6" ht="15.75" customHeight="1" x14ac:dyDescent="0.25">
      <c r="B4742" t="str">
        <v>RAAC</v>
      </c>
      <c r="C4742" t="str">
        <v>RWA</v>
      </c>
      <c r="D4742" t="str">
        <v>-</v>
      </c>
      <c r="E4742">
        <v>0</v>
      </c>
      <c r="F4742">
        <v>0</v>
      </c>
    </row>
    <row r="4743" spans="2:6" ht="15.75" customHeight="1" x14ac:dyDescent="0.25">
      <c r="B4743" t="str">
        <v>Rabbit Finance</v>
      </c>
      <c r="C4743" t="str">
        <v>Lending</v>
      </c>
      <c r="D4743" t="str">
        <v>RABBIT</v>
      </c>
      <c r="E4743">
        <v>0</v>
      </c>
      <c r="F4743">
        <v>32027.299918388759</v>
      </c>
    </row>
    <row r="4744" spans="2:6" ht="15.75" customHeight="1" x14ac:dyDescent="0.25">
      <c r="B4744" t="str">
        <v>Rabbit Swap</v>
      </c>
      <c r="C4744" t="str">
        <v>Dexs</v>
      </c>
      <c r="D4744" t="str">
        <v>-</v>
      </c>
      <c r="E4744">
        <v>490849.49778736167</v>
      </c>
      <c r="F4744">
        <v>0</v>
      </c>
    </row>
    <row r="4745" spans="2:6" ht="15.75" customHeight="1" x14ac:dyDescent="0.25">
      <c r="B4745" t="str">
        <v>RabbitX</v>
      </c>
      <c r="C4745" t="str">
        <v>Derivatives</v>
      </c>
      <c r="D4745" t="str">
        <v>RBX</v>
      </c>
      <c r="E4745">
        <v>1900.4623216318048</v>
      </c>
      <c r="F4745">
        <v>0</v>
      </c>
    </row>
    <row r="4746" spans="2:6" ht="15.75" customHeight="1" x14ac:dyDescent="0.25">
      <c r="B4746" t="str">
        <v>Rabby Perps</v>
      </c>
      <c r="C4746" t="str">
        <v>Interface</v>
      </c>
      <c r="D4746" t="str">
        <v>-</v>
      </c>
      <c r="E4746">
        <v>0</v>
      </c>
      <c r="F4746">
        <v>0</v>
      </c>
    </row>
    <row r="4747" spans="2:6" ht="15.75" customHeight="1" x14ac:dyDescent="0.25">
      <c r="B4747" t="str">
        <v>Rabby Wallet</v>
      </c>
      <c r="C4747" t="str">
        <v>Wallets</v>
      </c>
      <c r="D4747" t="str">
        <v>-</v>
      </c>
      <c r="E4747">
        <v>0</v>
      </c>
      <c r="F4747">
        <v>0</v>
      </c>
    </row>
    <row r="4748" spans="2:6" ht="15.75" customHeight="1" x14ac:dyDescent="0.25">
      <c r="B4748" t="str">
        <v>Raccoon Finance</v>
      </c>
      <c r="C4748" t="str">
        <v>Yield Aggregator</v>
      </c>
      <c r="D4748" t="str">
        <v>RAC</v>
      </c>
      <c r="E4748">
        <v>0</v>
      </c>
      <c r="F4748">
        <v>0</v>
      </c>
    </row>
    <row r="4749" spans="2:6" ht="15.75" customHeight="1" x14ac:dyDescent="0.25">
      <c r="B4749" t="str">
        <v>RaccoonSwap</v>
      </c>
      <c r="C4749" t="str">
        <v>Dexs</v>
      </c>
      <c r="D4749" t="str">
        <v>-</v>
      </c>
      <c r="E4749">
        <v>64333.593279954228</v>
      </c>
      <c r="F4749">
        <v>0</v>
      </c>
    </row>
    <row r="4750" spans="2:6" ht="15.75" customHeight="1" x14ac:dyDescent="0.25">
      <c r="B4750" t="str">
        <v>Racks</v>
      </c>
      <c r="C4750" t="str">
        <v>Derivatives</v>
      </c>
      <c r="D4750" t="str">
        <v>-</v>
      </c>
      <c r="E4750">
        <v>4367.780569732091</v>
      </c>
      <c r="F4750">
        <v>0</v>
      </c>
    </row>
    <row r="4751" spans="2:6" ht="15.75" customHeight="1" x14ac:dyDescent="0.25">
      <c r="B4751" t="str">
        <v>Racoon.Bet</v>
      </c>
      <c r="C4751" t="str">
        <v>Gaming</v>
      </c>
      <c r="D4751" t="str">
        <v>-</v>
      </c>
      <c r="E4751">
        <v>0</v>
      </c>
      <c r="F4751">
        <v>0</v>
      </c>
    </row>
    <row r="4752" spans="2:6" ht="15.75" customHeight="1" x14ac:dyDescent="0.25">
      <c r="B4752" t="str">
        <v>RaDao</v>
      </c>
      <c r="C4752" t="str">
        <v>Reserve Currency</v>
      </c>
      <c r="D4752" t="str">
        <v>RA</v>
      </c>
      <c r="E4752">
        <v>0</v>
      </c>
      <c r="F4752">
        <v>0</v>
      </c>
    </row>
    <row r="4753" spans="2:6" ht="15.75" customHeight="1" x14ac:dyDescent="0.25">
      <c r="B4753" t="str">
        <v>Radial</v>
      </c>
      <c r="C4753" t="str">
        <v>Yield</v>
      </c>
      <c r="D4753" t="str">
        <v>RDL</v>
      </c>
      <c r="E4753">
        <v>3264.5871329063816</v>
      </c>
      <c r="F4753">
        <v>0</v>
      </c>
    </row>
    <row r="4754" spans="2:6" ht="15.75" customHeight="1" x14ac:dyDescent="0.25">
      <c r="B4754" t="str">
        <v>Radiant V1</v>
      </c>
      <c r="C4754" t="str">
        <v>Lending</v>
      </c>
      <c r="D4754" t="str">
        <v>RDNT</v>
      </c>
      <c r="E4754">
        <v>299288.81263071281</v>
      </c>
      <c r="F4754">
        <v>0</v>
      </c>
    </row>
    <row r="4755" spans="2:6" ht="15.75" customHeight="1" x14ac:dyDescent="0.25">
      <c r="B4755" t="str">
        <v>Radiant V2</v>
      </c>
      <c r="C4755" t="str">
        <v>Lending</v>
      </c>
      <c r="D4755" t="str">
        <v>RDNT</v>
      </c>
      <c r="E4755">
        <v>5530006.9599525491</v>
      </c>
      <c r="F4755">
        <v>0</v>
      </c>
    </row>
    <row r="4756" spans="2:6" ht="15.75" customHeight="1" x14ac:dyDescent="0.25">
      <c r="B4756" t="str">
        <v>Radiate Protocol</v>
      </c>
      <c r="C4756" t="str">
        <v>Yield</v>
      </c>
      <c r="D4756" t="str">
        <v>RADT</v>
      </c>
      <c r="E4756">
        <v>107.58662792698203</v>
      </c>
      <c r="F4756">
        <v>0</v>
      </c>
    </row>
    <row r="4757" spans="2:6" ht="15.75" customHeight="1" x14ac:dyDescent="0.25">
      <c r="B4757" t="str">
        <v>RadioShack</v>
      </c>
      <c r="C4757" t="str">
        <v>Dexs</v>
      </c>
      <c r="D4757" t="str">
        <v>RADIO</v>
      </c>
      <c r="E4757">
        <v>652532.30332085595</v>
      </c>
      <c r="F4757">
        <v>191544.34479398452</v>
      </c>
    </row>
    <row r="4758" spans="2:6" ht="15.75" customHeight="1" x14ac:dyDescent="0.25">
      <c r="B4758" t="str">
        <v>RadLock</v>
      </c>
      <c r="C4758" t="str">
        <v>Token Locker</v>
      </c>
      <c r="D4758" t="str">
        <v>-</v>
      </c>
      <c r="E4758">
        <v>33028.039458835694</v>
      </c>
      <c r="F4758">
        <v>0</v>
      </c>
    </row>
    <row r="4759" spans="2:6" ht="15.75" customHeight="1" x14ac:dyDescent="0.25">
      <c r="B4759" t="str">
        <v>Radpie</v>
      </c>
      <c r="C4759" t="str">
        <v>Yield</v>
      </c>
      <c r="D4759" t="str">
        <v>RDP</v>
      </c>
      <c r="E4759">
        <v>7752619.8308441527</v>
      </c>
      <c r="F4759">
        <v>0</v>
      </c>
    </row>
    <row r="4760" spans="2:6" ht="15.75" customHeight="1" x14ac:dyDescent="0.25">
      <c r="B4760" t="str">
        <v>Raft</v>
      </c>
      <c r="C4760" t="str">
        <v>CDP</v>
      </c>
      <c r="D4760" t="str">
        <v>RAFT</v>
      </c>
      <c r="E4760">
        <v>25323.35781530142</v>
      </c>
      <c r="F4760">
        <v>0</v>
      </c>
    </row>
    <row r="4761" spans="2:6" ht="15.75" customHeight="1" x14ac:dyDescent="0.25">
      <c r="B4761" t="str">
        <v>Raga Finance</v>
      </c>
      <c r="C4761" t="str">
        <v>Yield Aggregator</v>
      </c>
      <c r="D4761" t="str">
        <v>-</v>
      </c>
      <c r="E4761">
        <v>72.963892383028892</v>
      </c>
      <c r="F4761">
        <v>0</v>
      </c>
    </row>
    <row r="4762" spans="2:6" ht="15.75" customHeight="1" x14ac:dyDescent="0.25">
      <c r="B4762" t="str">
        <v>Rage Trade</v>
      </c>
      <c r="C4762" t="str">
        <v>Derivatives</v>
      </c>
      <c r="D4762" t="str">
        <v>-</v>
      </c>
      <c r="E4762">
        <v>0</v>
      </c>
      <c r="F4762">
        <v>0</v>
      </c>
    </row>
    <row r="4763" spans="2:6" ht="15.75" customHeight="1" x14ac:dyDescent="0.25">
      <c r="B4763" t="str">
        <v>Rage Trade v1</v>
      </c>
      <c r="C4763" t="str">
        <v>Yield</v>
      </c>
      <c r="D4763" t="str">
        <v>-</v>
      </c>
      <c r="E4763">
        <v>5.9291460000000002</v>
      </c>
      <c r="F4763">
        <v>0</v>
      </c>
    </row>
    <row r="4764" spans="2:6" ht="15.75" customHeight="1" x14ac:dyDescent="0.25">
      <c r="B4764" t="str">
        <v>RagnarokDAO</v>
      </c>
      <c r="C4764" t="str">
        <v>Reserve Currency</v>
      </c>
      <c r="D4764" t="str">
        <v>RGK</v>
      </c>
      <c r="E4764">
        <v>0</v>
      </c>
      <c r="F4764">
        <v>0</v>
      </c>
    </row>
    <row r="4765" spans="2:6" ht="15.75" customHeight="1" x14ac:dyDescent="0.25">
      <c r="B4765" t="str">
        <v>RAIDSHIFT Marketplace</v>
      </c>
      <c r="C4765" t="str">
        <v>Dexs</v>
      </c>
      <c r="D4765" t="str">
        <v>-</v>
      </c>
      <c r="E4765">
        <v>5.9943291395043931E-2</v>
      </c>
      <c r="F4765">
        <v>0</v>
      </c>
    </row>
    <row r="4766" spans="2:6" ht="15.75" customHeight="1" x14ac:dyDescent="0.25">
      <c r="B4766" t="str">
        <v>Railgun</v>
      </c>
      <c r="C4766" t="str">
        <v>Privacy</v>
      </c>
      <c r="D4766" t="str">
        <v>RAIL</v>
      </c>
      <c r="E4766">
        <v>100070641.94290519</v>
      </c>
      <c r="F4766">
        <v>119159274.87544888</v>
      </c>
    </row>
    <row r="4767" spans="2:6" ht="15.75" customHeight="1" x14ac:dyDescent="0.25">
      <c r="B4767" t="str">
        <v>Rain</v>
      </c>
      <c r="C4767" t="str">
        <v>Prediction Market</v>
      </c>
      <c r="D4767" t="str">
        <v>RAIN</v>
      </c>
      <c r="E4767">
        <v>1509334.6406073086</v>
      </c>
      <c r="F4767">
        <v>2991462600.3485389</v>
      </c>
    </row>
    <row r="4768" spans="2:6" ht="15.75" customHeight="1" x14ac:dyDescent="0.25">
      <c r="B4768" t="str">
        <v>Rain.fi</v>
      </c>
      <c r="C4768" t="str">
        <v>Lending</v>
      </c>
      <c r="D4768" t="str">
        <v>-</v>
      </c>
      <c r="E4768">
        <v>415273.97237184033</v>
      </c>
      <c r="F4768">
        <v>0</v>
      </c>
    </row>
    <row r="4769" spans="2:6" ht="15.75" customHeight="1" x14ac:dyDescent="0.25">
      <c r="B4769" t="str">
        <v>Rainbow Bridge</v>
      </c>
      <c r="C4769" t="str">
        <v>Bridge</v>
      </c>
      <c r="D4769" t="str">
        <v>-</v>
      </c>
      <c r="E4769">
        <v>3127806.8003974184</v>
      </c>
      <c r="F4769">
        <v>0</v>
      </c>
    </row>
    <row r="4770" spans="2:6" ht="15.75" customHeight="1" x14ac:dyDescent="0.25">
      <c r="B4770" t="str">
        <v>Rainbow Perps</v>
      </c>
      <c r="C4770" t="str">
        <v>Interface</v>
      </c>
      <c r="D4770" t="str">
        <v>-</v>
      </c>
      <c r="E4770">
        <v>0</v>
      </c>
      <c r="F4770">
        <v>0</v>
      </c>
    </row>
    <row r="4771" spans="2:6" ht="15.75" customHeight="1" x14ac:dyDescent="0.25">
      <c r="B4771" t="str">
        <v>Rainbow Swap</v>
      </c>
      <c r="C4771" t="str">
        <v>DEX Aggregator</v>
      </c>
      <c r="D4771" t="str">
        <v>-</v>
      </c>
      <c r="E4771">
        <v>0</v>
      </c>
      <c r="F4771">
        <v>0</v>
      </c>
    </row>
    <row r="4772" spans="2:6" ht="15.75" customHeight="1" x14ac:dyDescent="0.25">
      <c r="B4772" t="str">
        <v>Rainbow Wallet</v>
      </c>
      <c r="C4772" t="str">
        <v>Wallets</v>
      </c>
      <c r="D4772" t="str">
        <v>-</v>
      </c>
      <c r="E4772">
        <v>0</v>
      </c>
      <c r="F4772">
        <v>0</v>
      </c>
    </row>
    <row r="4773" spans="2:6" ht="15.75" customHeight="1" x14ac:dyDescent="0.25">
      <c r="B4773" t="str">
        <v>Raindex</v>
      </c>
      <c r="C4773" t="str">
        <v>Dexs</v>
      </c>
      <c r="D4773" t="str">
        <v>-</v>
      </c>
      <c r="E4773">
        <v>85955.88359397462</v>
      </c>
      <c r="F4773">
        <v>0</v>
      </c>
    </row>
    <row r="4774" spans="2:6" ht="15.75" customHeight="1" x14ac:dyDescent="0.25">
      <c r="B4774" t="str">
        <v>Rakeoff</v>
      </c>
      <c r="C4774" t="str">
        <v>Staking Pool</v>
      </c>
      <c r="D4774" t="str">
        <v>-</v>
      </c>
      <c r="E4774">
        <v>41273.480513108472</v>
      </c>
      <c r="F4774">
        <v>0</v>
      </c>
    </row>
    <row r="4775" spans="2:6" ht="15.75" customHeight="1" x14ac:dyDescent="0.25">
      <c r="B4775" t="str">
        <v>Ram Protocol</v>
      </c>
      <c r="C4775" t="str">
        <v>Lending</v>
      </c>
      <c r="D4775" t="str">
        <v>RAM</v>
      </c>
      <c r="E4775">
        <v>25524.223386218713</v>
      </c>
      <c r="F4775">
        <v>0</v>
      </c>
    </row>
    <row r="4776" spans="2:6" ht="15.75" customHeight="1" x14ac:dyDescent="0.25">
      <c r="B4776" t="str">
        <v>Ramp</v>
      </c>
      <c r="C4776" t="str">
        <v>CDP</v>
      </c>
      <c r="D4776" t="str">
        <v>RAMP</v>
      </c>
      <c r="E4776">
        <v>0</v>
      </c>
      <c r="F4776">
        <v>11382584.160307027</v>
      </c>
    </row>
    <row r="4777" spans="2:6" ht="15.75" customHeight="1" x14ac:dyDescent="0.25">
      <c r="B4777" t="str">
        <v>Ramses CL</v>
      </c>
      <c r="C4777" t="str">
        <v>Dexs</v>
      </c>
      <c r="D4777" t="str">
        <v>RAM</v>
      </c>
      <c r="E4777">
        <v>4108694.3909824551</v>
      </c>
      <c r="F4777">
        <v>0</v>
      </c>
    </row>
    <row r="4778" spans="2:6" ht="15.75" customHeight="1" x14ac:dyDescent="0.25">
      <c r="B4778" t="str">
        <v>Ramses HL</v>
      </c>
      <c r="C4778" t="str">
        <v>Dexs</v>
      </c>
      <c r="D4778" t="str">
        <v>RAM</v>
      </c>
      <c r="E4778">
        <v>3865047.1378881061</v>
      </c>
      <c r="F4778">
        <v>0</v>
      </c>
    </row>
    <row r="4779" spans="2:6" ht="15.75" customHeight="1" x14ac:dyDescent="0.25">
      <c r="B4779" t="str">
        <v>Ramses HL Legacy</v>
      </c>
      <c r="C4779" t="str">
        <v>Dexs</v>
      </c>
      <c r="D4779" t="str">
        <v>RAM</v>
      </c>
      <c r="E4779">
        <v>49457.097451176116</v>
      </c>
      <c r="F4779">
        <v>0</v>
      </c>
    </row>
    <row r="4780" spans="2:6" ht="15.75" customHeight="1" x14ac:dyDescent="0.25">
      <c r="B4780" t="str">
        <v>Ramses Legacy</v>
      </c>
      <c r="C4780" t="str">
        <v>Dexs</v>
      </c>
      <c r="D4780" t="str">
        <v>RAM</v>
      </c>
      <c r="E4780">
        <v>1334584.8392290396</v>
      </c>
      <c r="F4780">
        <v>0</v>
      </c>
    </row>
    <row r="4781" spans="2:6" ht="15.75" customHeight="1" x14ac:dyDescent="0.25">
      <c r="B4781" t="str">
        <v>Random Reward</v>
      </c>
      <c r="C4781" t="str">
        <v>Prediction Market</v>
      </c>
      <c r="D4781" t="str">
        <v>-</v>
      </c>
      <c r="E4781">
        <v>42.577189386589595</v>
      </c>
      <c r="F4781">
        <v>0</v>
      </c>
    </row>
    <row r="4782" spans="2:6" ht="15.75" customHeight="1" x14ac:dyDescent="0.25">
      <c r="B4782" t="str">
        <v>Rangers Bridge</v>
      </c>
      <c r="C4782" t="str">
        <v>Bridge</v>
      </c>
      <c r="D4782" t="str">
        <v>-</v>
      </c>
      <c r="E4782">
        <v>0</v>
      </c>
      <c r="F4782">
        <v>0</v>
      </c>
    </row>
    <row r="4783" spans="2:6" ht="15.75" customHeight="1" x14ac:dyDescent="0.25">
      <c r="B4783" t="str">
        <v>Rango</v>
      </c>
      <c r="C4783" t="str">
        <v>Bridge Aggregator</v>
      </c>
      <c r="D4783" t="str">
        <v>-</v>
      </c>
      <c r="E4783">
        <v>0</v>
      </c>
      <c r="F4783">
        <v>0</v>
      </c>
    </row>
    <row r="4784" spans="2:6" ht="15.75" customHeight="1" x14ac:dyDescent="0.25">
      <c r="B4784" t="str">
        <v>Rank Trading</v>
      </c>
      <c r="C4784" t="str">
        <v>Yield</v>
      </c>
      <c r="D4784" t="str">
        <v>RAN</v>
      </c>
      <c r="E4784">
        <v>3708487.7890262813</v>
      </c>
      <c r="F4784">
        <v>595382.49254383205</v>
      </c>
    </row>
    <row r="4785" spans="2:6" ht="15.75" customHeight="1" x14ac:dyDescent="0.25">
      <c r="B4785" t="str">
        <v>Rari Capital</v>
      </c>
      <c r="C4785" t="str">
        <v>Yield Aggregator</v>
      </c>
      <c r="D4785" t="str">
        <v>RGT</v>
      </c>
      <c r="E4785">
        <v>2074768.4082089281</v>
      </c>
      <c r="F4785">
        <v>431039.64430128457</v>
      </c>
    </row>
    <row r="4786" spans="2:6" ht="15.75" customHeight="1" x14ac:dyDescent="0.25">
      <c r="B4786" t="str">
        <v>Rari Chain</v>
      </c>
      <c r="C4786" t="str">
        <v>Canonical Bridge</v>
      </c>
      <c r="D4786" t="str">
        <v>-</v>
      </c>
      <c r="E4786">
        <v>1296319.8120420405</v>
      </c>
      <c r="F4786">
        <v>0</v>
      </c>
    </row>
    <row r="4787" spans="2:6" ht="15.75" customHeight="1" x14ac:dyDescent="0.25">
      <c r="B4787" t="str">
        <v>Rarible</v>
      </c>
      <c r="C4787" t="str">
        <v>Services</v>
      </c>
      <c r="D4787" t="str">
        <v>RARI</v>
      </c>
      <c r="E4787">
        <v>0</v>
      </c>
      <c r="F4787">
        <v>4453028.6055495106</v>
      </c>
    </row>
    <row r="4788" spans="2:6" ht="15.75" customHeight="1" x14ac:dyDescent="0.25">
      <c r="B4788" t="str">
        <v>Rarify</v>
      </c>
      <c r="C4788" t="str">
        <v>Yield</v>
      </c>
      <c r="D4788" t="str">
        <v>RARE</v>
      </c>
      <c r="E4788">
        <v>0</v>
      </c>
      <c r="F4788">
        <v>0</v>
      </c>
    </row>
    <row r="4789" spans="2:6" ht="15.75" customHeight="1" x14ac:dyDescent="0.25">
      <c r="B4789" t="str">
        <v>RateX</v>
      </c>
      <c r="C4789" t="str">
        <v>Yield</v>
      </c>
      <c r="D4789" t="str">
        <v>RTX</v>
      </c>
      <c r="E4789">
        <v>34972810.805147171</v>
      </c>
      <c r="F4789">
        <v>0</v>
      </c>
    </row>
    <row r="4790" spans="2:6" ht="15.75" customHeight="1" x14ac:dyDescent="0.25">
      <c r="B4790" t="str">
        <v>Ratio Finance</v>
      </c>
      <c r="C4790" t="str">
        <v>CDP</v>
      </c>
      <c r="D4790" t="str">
        <v>RATIO</v>
      </c>
      <c r="E4790">
        <v>0</v>
      </c>
      <c r="F4790">
        <v>0</v>
      </c>
    </row>
    <row r="4791" spans="2:6" ht="15.75" customHeight="1" x14ac:dyDescent="0.25">
      <c r="B4791" t="str">
        <v>Ravcube Finance</v>
      </c>
      <c r="C4791" t="str">
        <v>Algo-Stables</v>
      </c>
      <c r="D4791" t="str">
        <v>RAV</v>
      </c>
      <c r="E4791">
        <v>0</v>
      </c>
      <c r="F4791">
        <v>0</v>
      </c>
    </row>
    <row r="4792" spans="2:6" ht="15.75" customHeight="1" x14ac:dyDescent="0.25">
      <c r="B4792" t="str">
        <v>Raven</v>
      </c>
      <c r="C4792" t="str">
        <v>Yield</v>
      </c>
      <c r="D4792" t="str">
        <v>RAVEN</v>
      </c>
      <c r="E4792">
        <v>397.01693575130872</v>
      </c>
      <c r="F4792">
        <v>0</v>
      </c>
    </row>
    <row r="4793" spans="2:6" ht="15.75" customHeight="1" x14ac:dyDescent="0.25">
      <c r="B4793" t="str">
        <v>Rawr Trade</v>
      </c>
      <c r="C4793" t="str">
        <v>Dexs</v>
      </c>
      <c r="D4793" t="str">
        <v>Nova</v>
      </c>
      <c r="E4793">
        <v>3713.1486636723639</v>
      </c>
      <c r="F4793">
        <v>0</v>
      </c>
    </row>
    <row r="4794" spans="2:6" ht="15.75" customHeight="1" x14ac:dyDescent="0.25">
      <c r="B4794" t="str">
        <v>RayBot</v>
      </c>
      <c r="C4794" t="str">
        <v>Telegram Bot</v>
      </c>
      <c r="D4794" t="str">
        <v>-</v>
      </c>
      <c r="E4794">
        <v>0</v>
      </c>
      <c r="F4794">
        <v>0</v>
      </c>
    </row>
    <row r="4795" spans="2:6" ht="15.75" customHeight="1" x14ac:dyDescent="0.25">
      <c r="B4795" t="str">
        <v>Raydium AMM</v>
      </c>
      <c r="C4795" t="str">
        <v>Dexs</v>
      </c>
      <c r="D4795" t="str">
        <v>RAY</v>
      </c>
      <c r="E4795">
        <v>1527709969.7316308</v>
      </c>
      <c r="F4795">
        <v>0</v>
      </c>
    </row>
    <row r="4796" spans="2:6" ht="15.75" customHeight="1" x14ac:dyDescent="0.25">
      <c r="B4796" t="str">
        <v>Raydium Perps</v>
      </c>
      <c r="C4796" t="str">
        <v>Interface</v>
      </c>
      <c r="D4796" t="str">
        <v>RAY</v>
      </c>
      <c r="E4796">
        <v>0</v>
      </c>
      <c r="F4796">
        <v>0</v>
      </c>
    </row>
    <row r="4797" spans="2:6" ht="15.75" customHeight="1" x14ac:dyDescent="0.25">
      <c r="B4797" t="str">
        <v>Razor DEX</v>
      </c>
      <c r="C4797" t="str">
        <v>Dexs</v>
      </c>
      <c r="D4797" t="str">
        <v>-</v>
      </c>
      <c r="E4797">
        <v>0</v>
      </c>
      <c r="F4797">
        <v>0</v>
      </c>
    </row>
    <row r="4798" spans="2:6" ht="15.75" customHeight="1" x14ac:dyDescent="0.25">
      <c r="B4798" t="str">
        <v>RBX</v>
      </c>
      <c r="C4798" t="str">
        <v>Dexs</v>
      </c>
      <c r="D4798" t="str">
        <v>RBX</v>
      </c>
      <c r="E4798">
        <v>9939.9013995644927</v>
      </c>
      <c r="F4798">
        <v>0</v>
      </c>
    </row>
    <row r="4799" spans="2:6" ht="15.75" customHeight="1" x14ac:dyDescent="0.25">
      <c r="B4799" t="str">
        <v>RCPswap</v>
      </c>
      <c r="C4799" t="str">
        <v>Dexs</v>
      </c>
      <c r="D4799" t="str">
        <v>-</v>
      </c>
      <c r="E4799">
        <v>68639.135799209544</v>
      </c>
      <c r="F4799">
        <v>0</v>
      </c>
    </row>
    <row r="4800" spans="2:6" ht="15.75" customHeight="1" x14ac:dyDescent="0.25">
      <c r="B4800" t="str">
        <v>Re</v>
      </c>
      <c r="C4800" t="str">
        <v>Insurance</v>
      </c>
      <c r="D4800" t="str">
        <v>-</v>
      </c>
      <c r="E4800">
        <v>396795405.37392962</v>
      </c>
      <c r="F4800">
        <v>0</v>
      </c>
    </row>
    <row r="4801" spans="2:6" ht="15.75" customHeight="1" x14ac:dyDescent="0.25">
      <c r="B4801" t="str">
        <v>re.al protocol</v>
      </c>
      <c r="C4801" t="str">
        <v>RWA</v>
      </c>
      <c r="D4801" t="str">
        <v>RWA</v>
      </c>
      <c r="E4801">
        <v>0</v>
      </c>
      <c r="F4801">
        <v>0</v>
      </c>
    </row>
    <row r="4802" spans="2:6" ht="15.75" customHeight="1" x14ac:dyDescent="0.25">
      <c r="B4802" t="str">
        <v>Re7 Labs</v>
      </c>
      <c r="C4802" t="str">
        <v>Risk Curators</v>
      </c>
      <c r="D4802" t="str">
        <v>-</v>
      </c>
      <c r="E4802">
        <v>145218814.29722679</v>
      </c>
      <c r="F4802">
        <v>0</v>
      </c>
    </row>
    <row r="4803" spans="2:6" ht="15.75" customHeight="1" x14ac:dyDescent="0.25">
      <c r="B4803" t="str">
        <v>ReachMe</v>
      </c>
      <c r="C4803" t="str">
        <v>SoFi</v>
      </c>
      <c r="D4803" t="str">
        <v>-</v>
      </c>
      <c r="E4803">
        <v>0</v>
      </c>
      <c r="F4803">
        <v>0</v>
      </c>
    </row>
    <row r="4804" spans="2:6" ht="15.75" customHeight="1" x14ac:dyDescent="0.25">
      <c r="B4804" t="str">
        <v>Reactor DEX</v>
      </c>
      <c r="C4804" t="str">
        <v>Dexs</v>
      </c>
      <c r="D4804" t="str">
        <v>-</v>
      </c>
      <c r="E4804">
        <v>1523845.4231940184</v>
      </c>
      <c r="F4804">
        <v>0</v>
      </c>
    </row>
    <row r="4805" spans="2:6" ht="15.75" customHeight="1" x14ac:dyDescent="0.25">
      <c r="B4805" t="str">
        <v>ReactorFusion</v>
      </c>
      <c r="C4805" t="str">
        <v>Lending</v>
      </c>
      <c r="D4805" t="str">
        <v>RF</v>
      </c>
      <c r="E4805">
        <v>832728.52846280625</v>
      </c>
      <c r="F4805">
        <v>0</v>
      </c>
    </row>
    <row r="4806" spans="2:6" ht="15.75" customHeight="1" x14ac:dyDescent="0.25">
      <c r="B4806" t="str">
        <v>Real Protocol</v>
      </c>
      <c r="C4806" t="str">
        <v>CDP</v>
      </c>
      <c r="D4806" t="str">
        <v>REALP</v>
      </c>
      <c r="E4806">
        <v>5.8077784709689363E-2</v>
      </c>
      <c r="F4806">
        <v>0</v>
      </c>
    </row>
    <row r="4807" spans="2:6" ht="15.75" customHeight="1" x14ac:dyDescent="0.25">
      <c r="B4807" t="str">
        <v>Realms</v>
      </c>
      <c r="C4807" t="str">
        <v>Governance Incentives</v>
      </c>
      <c r="D4807" t="str">
        <v>EPCT</v>
      </c>
      <c r="E4807">
        <v>42255282.694074295</v>
      </c>
      <c r="F4807">
        <v>0</v>
      </c>
    </row>
    <row r="4808" spans="2:6" ht="15.75" customHeight="1" x14ac:dyDescent="0.25">
      <c r="B4808" t="str">
        <v>Realms World</v>
      </c>
      <c r="C4808" t="str">
        <v>Gaming</v>
      </c>
      <c r="D4808" t="str">
        <v>LORDS</v>
      </c>
      <c r="E4808">
        <v>0</v>
      </c>
      <c r="F4808">
        <v>2996883.517745926</v>
      </c>
    </row>
    <row r="4809" spans="2:6" ht="15.75" customHeight="1" x14ac:dyDescent="0.25">
      <c r="B4809" t="str">
        <v>Realperp</v>
      </c>
      <c r="C4809" t="str">
        <v>Derivatives</v>
      </c>
      <c r="D4809" t="str">
        <v>RAP</v>
      </c>
      <c r="E4809">
        <v>171657.20712613213</v>
      </c>
      <c r="F4809">
        <v>0</v>
      </c>
    </row>
    <row r="4810" spans="2:6" ht="15.75" customHeight="1" x14ac:dyDescent="0.25">
      <c r="B4810" t="str">
        <v>RealT RMM Marketplace</v>
      </c>
      <c r="C4810" t="str">
        <v>Lending</v>
      </c>
      <c r="D4810" t="str">
        <v>REG</v>
      </c>
      <c r="E4810">
        <v>117859.52959297513</v>
      </c>
      <c r="F4810">
        <v>0</v>
      </c>
    </row>
    <row r="4811" spans="2:6" ht="15.75" customHeight="1" x14ac:dyDescent="0.25">
      <c r="B4811" t="str">
        <v>RealT RMM Marketplace V2</v>
      </c>
      <c r="C4811" t="str">
        <v>Lending</v>
      </c>
      <c r="D4811" t="str">
        <v>REG</v>
      </c>
      <c r="E4811">
        <v>2612106.6549788062</v>
      </c>
      <c r="F4811">
        <v>0</v>
      </c>
    </row>
    <row r="4812" spans="2:6" ht="15.75" customHeight="1" x14ac:dyDescent="0.25">
      <c r="B4812" t="str">
        <v>RealT Tokens</v>
      </c>
      <c r="C4812" t="str">
        <v>RWA</v>
      </c>
      <c r="D4812" t="str">
        <v>REG</v>
      </c>
      <c r="E4812">
        <v>155888123.15776616</v>
      </c>
      <c r="F4812">
        <v>0</v>
      </c>
    </row>
    <row r="4813" spans="2:6" ht="15.75" customHeight="1" x14ac:dyDescent="0.25">
      <c r="B4813" t="str">
        <v>RealtyX</v>
      </c>
      <c r="C4813" t="str">
        <v>RWA</v>
      </c>
      <c r="D4813" t="str">
        <v>-</v>
      </c>
      <c r="E4813">
        <v>1353991.9254371934</v>
      </c>
      <c r="F4813">
        <v>0</v>
      </c>
    </row>
    <row r="4814" spans="2:6" ht="15.75" customHeight="1" x14ac:dyDescent="0.25">
      <c r="B4814" t="str">
        <v>Reaper Farm</v>
      </c>
      <c r="C4814" t="str">
        <v>Yield Aggregator</v>
      </c>
      <c r="D4814" t="str">
        <v>OATH</v>
      </c>
      <c r="E4814">
        <v>1647105.0460700849</v>
      </c>
      <c r="F4814">
        <v>0</v>
      </c>
    </row>
    <row r="4815" spans="2:6" ht="15.75" customHeight="1" x14ac:dyDescent="0.25">
      <c r="B4815" t="str">
        <v>Reax Assets</v>
      </c>
      <c r="C4815" t="str">
        <v>Synthetics</v>
      </c>
      <c r="D4815" t="str">
        <v>REAX</v>
      </c>
      <c r="E4815">
        <v>8.1334514189382117E-6</v>
      </c>
      <c r="F4815">
        <v>0</v>
      </c>
    </row>
    <row r="4816" spans="2:6" ht="15.75" customHeight="1" x14ac:dyDescent="0.25">
      <c r="B4816" t="str">
        <v>Reax Lending</v>
      </c>
      <c r="C4816" t="str">
        <v>Lending</v>
      </c>
      <c r="D4816" t="str">
        <v>REAX</v>
      </c>
      <c r="E4816">
        <v>5.2938471335391805E-2</v>
      </c>
      <c r="F4816">
        <v>0</v>
      </c>
    </row>
    <row r="4817" spans="2:6" ht="15.75" customHeight="1" x14ac:dyDescent="0.25">
      <c r="B4817" t="str">
        <v>Reax Swaps</v>
      </c>
      <c r="C4817" t="str">
        <v>Dexs</v>
      </c>
      <c r="D4817" t="str">
        <v>REAX</v>
      </c>
      <c r="E4817">
        <v>4.4004891102449957</v>
      </c>
      <c r="F4817">
        <v>0</v>
      </c>
    </row>
    <row r="4818" spans="2:6" ht="15.75" customHeight="1" x14ac:dyDescent="0.25">
      <c r="B4818" t="str">
        <v>Rebalance Finance</v>
      </c>
      <c r="C4818" t="str">
        <v>Lending</v>
      </c>
      <c r="D4818" t="str">
        <v>-</v>
      </c>
      <c r="E4818">
        <v>858.79740354335809</v>
      </c>
      <c r="F4818">
        <v>0</v>
      </c>
    </row>
    <row r="4819" spans="2:6" ht="15.75" customHeight="1" x14ac:dyDescent="0.25">
      <c r="B4819" t="str">
        <v>Redacted Protocol</v>
      </c>
      <c r="C4819" t="str">
        <v>Yield</v>
      </c>
      <c r="D4819" t="str">
        <v>BTRFLY</v>
      </c>
      <c r="E4819">
        <v>43601.382038297932</v>
      </c>
      <c r="F4819">
        <v>236316.91508829457</v>
      </c>
    </row>
    <row r="4820" spans="2:6" ht="15.75" customHeight="1" x14ac:dyDescent="0.25">
      <c r="B4820" t="str">
        <v>reddex</v>
      </c>
      <c r="C4820" t="str">
        <v>Dexs</v>
      </c>
      <c r="D4820" t="str">
        <v>LQDX</v>
      </c>
      <c r="E4820">
        <v>31580.320551852994</v>
      </c>
      <c r="F4820">
        <v>50449.839299448744</v>
      </c>
    </row>
    <row r="4821" spans="2:6" ht="15.75" customHeight="1" x14ac:dyDescent="0.25">
      <c r="B4821" t="str">
        <v>Redemption</v>
      </c>
      <c r="C4821" t="str">
        <v>Dexs</v>
      </c>
      <c r="D4821" t="str">
        <v>-</v>
      </c>
      <c r="E4821">
        <v>606.63682893288899</v>
      </c>
      <c r="F4821">
        <v>0</v>
      </c>
    </row>
    <row r="4822" spans="2:6" ht="15.75" customHeight="1" x14ac:dyDescent="0.25">
      <c r="B4822" t="str">
        <v>Redemption Finance</v>
      </c>
      <c r="C4822" t="str">
        <v>Farm</v>
      </c>
      <c r="D4822" t="str">
        <v>RDMP</v>
      </c>
      <c r="E4822">
        <v>27.725745266967202</v>
      </c>
      <c r="F4822">
        <v>0</v>
      </c>
    </row>
    <row r="4823" spans="2:6" ht="15.75" customHeight="1" x14ac:dyDescent="0.25">
      <c r="B4823" t="str">
        <v>Redstone</v>
      </c>
      <c r="C4823" t="str">
        <v>Canonical Bridge</v>
      </c>
      <c r="D4823" t="str">
        <v>-</v>
      </c>
      <c r="E4823">
        <v>946669.85889624932</v>
      </c>
      <c r="F4823">
        <v>0</v>
      </c>
    </row>
    <row r="4824" spans="2:6" ht="15.75" customHeight="1" x14ac:dyDescent="0.25">
      <c r="B4824" t="str">
        <v>RedStone Oracles</v>
      </c>
      <c r="C4824" t="str">
        <v>Oracle</v>
      </c>
      <c r="D4824" t="str">
        <v>RED</v>
      </c>
      <c r="E4824">
        <v>0</v>
      </c>
      <c r="F4824">
        <v>0</v>
      </c>
    </row>
    <row r="4825" spans="2:6" ht="15.75" customHeight="1" x14ac:dyDescent="0.25">
      <c r="B4825" t="str">
        <v>Reflexer</v>
      </c>
      <c r="C4825" t="str">
        <v>CDP</v>
      </c>
      <c r="D4825" t="str">
        <v>FLX</v>
      </c>
      <c r="E4825">
        <v>3464053.0181571222</v>
      </c>
      <c r="F4825">
        <v>1554393.4910616206</v>
      </c>
    </row>
    <row r="4826" spans="2:6" ht="15.75" customHeight="1" x14ac:dyDescent="0.25">
      <c r="B4826" t="str">
        <v>ReformDAO</v>
      </c>
      <c r="C4826" t="str">
        <v>Farm</v>
      </c>
      <c r="D4826" t="str">
        <v>RFRM</v>
      </c>
      <c r="E4826">
        <v>0</v>
      </c>
      <c r="F4826">
        <v>0</v>
      </c>
    </row>
    <row r="4827" spans="2:6" ht="15.75" customHeight="1" x14ac:dyDescent="0.25">
      <c r="B4827" t="str">
        <v>ReHold V1</v>
      </c>
      <c r="C4827" t="str">
        <v>Yield</v>
      </c>
      <c r="D4827" t="str">
        <v>-</v>
      </c>
      <c r="E4827">
        <v>0.15141779710740588</v>
      </c>
      <c r="F4827">
        <v>0</v>
      </c>
    </row>
    <row r="4828" spans="2:6" ht="15.75" customHeight="1" x14ac:dyDescent="0.25">
      <c r="B4828" t="str">
        <v>ReHold V2</v>
      </c>
      <c r="C4828" t="str">
        <v>Yield</v>
      </c>
      <c r="D4828" t="str">
        <v>-</v>
      </c>
      <c r="E4828">
        <v>22.97056490009874</v>
      </c>
      <c r="F4828">
        <v>0</v>
      </c>
    </row>
    <row r="4829" spans="2:6" ht="15.75" customHeight="1" x14ac:dyDescent="0.25">
      <c r="B4829" t="str">
        <v>RelayChain</v>
      </c>
      <c r="C4829" t="str">
        <v>Bridge</v>
      </c>
      <c r="D4829" t="str">
        <v>RELAY</v>
      </c>
      <c r="E4829">
        <v>5634.2780091322165</v>
      </c>
      <c r="F4829">
        <v>0</v>
      </c>
    </row>
    <row r="4830" spans="2:6" ht="15.75" customHeight="1" x14ac:dyDescent="0.25">
      <c r="B4830" t="str">
        <v>Relend Network</v>
      </c>
      <c r="C4830" t="str">
        <v>Risk Curators</v>
      </c>
      <c r="D4830" t="str">
        <v>-</v>
      </c>
      <c r="E4830">
        <v>67564.703070144722</v>
      </c>
      <c r="F4830">
        <v>0</v>
      </c>
    </row>
    <row r="4831" spans="2:6" ht="15.75" customHeight="1" x14ac:dyDescent="0.25">
      <c r="B4831" t="str">
        <v>Remora Markets</v>
      </c>
      <c r="C4831" t="str">
        <v>RWA</v>
      </c>
      <c r="D4831" t="str">
        <v>-</v>
      </c>
      <c r="E4831">
        <v>3326609.6691563125</v>
      </c>
      <c r="F4831">
        <v>0</v>
      </c>
    </row>
    <row r="4832" spans="2:6" ht="15.75" customHeight="1" x14ac:dyDescent="0.25">
      <c r="B4832" t="str">
        <v>Renec Lend</v>
      </c>
      <c r="C4832" t="str">
        <v>Lending</v>
      </c>
      <c r="D4832" t="str">
        <v>REL</v>
      </c>
      <c r="E4832">
        <v>11254.391887258706</v>
      </c>
      <c r="F4832">
        <v>0</v>
      </c>
    </row>
    <row r="4833" spans="2:6" ht="15.75" customHeight="1" x14ac:dyDescent="0.25">
      <c r="B4833" t="str">
        <v>Renegade</v>
      </c>
      <c r="C4833" t="str">
        <v>Dexs</v>
      </c>
      <c r="D4833" t="str">
        <v>-</v>
      </c>
      <c r="E4833">
        <v>326716.1868181373</v>
      </c>
      <c r="F4833">
        <v>0</v>
      </c>
    </row>
    <row r="4834" spans="2:6" ht="15.75" customHeight="1" x14ac:dyDescent="0.25">
      <c r="B4834" t="str">
        <v>RenVM</v>
      </c>
      <c r="C4834" t="str">
        <v>Bridge</v>
      </c>
      <c r="D4834" t="str">
        <v>REN</v>
      </c>
      <c r="E4834">
        <v>0</v>
      </c>
      <c r="F4834">
        <v>5708646.0642568478</v>
      </c>
    </row>
    <row r="4835" spans="2:6" ht="15.75" customHeight="1" x14ac:dyDescent="0.25">
      <c r="B4835" t="str">
        <v>Renzo</v>
      </c>
      <c r="C4835" t="str">
        <v>Liquid Restaking</v>
      </c>
      <c r="D4835" t="str">
        <v>REZ</v>
      </c>
      <c r="E4835">
        <v>649629065.8261112</v>
      </c>
      <c r="F4835">
        <v>24023949.834614322</v>
      </c>
    </row>
    <row r="4836" spans="2:6" ht="15.75" customHeight="1" x14ac:dyDescent="0.25">
      <c r="B4836" t="str">
        <v>Republic Note</v>
      </c>
      <c r="C4836" t="str">
        <v>RWA</v>
      </c>
      <c r="D4836" t="str">
        <v>NOTE</v>
      </c>
      <c r="E4836">
        <v>23535543.610373322</v>
      </c>
      <c r="F4836">
        <v>0</v>
      </c>
    </row>
    <row r="4837" spans="2:6" ht="15.75" customHeight="1" x14ac:dyDescent="0.25">
      <c r="B4837" t="str">
        <v>Request Network</v>
      </c>
      <c r="C4837" t="str">
        <v>Developer Tools</v>
      </c>
      <c r="D4837" t="str">
        <v>REQ</v>
      </c>
      <c r="E4837">
        <v>0</v>
      </c>
      <c r="F4837">
        <v>78517143.620596126</v>
      </c>
    </row>
    <row r="4838" spans="2:6" ht="15.75" customHeight="1" x14ac:dyDescent="0.25">
      <c r="B4838" t="str">
        <v>Reserve Protocol</v>
      </c>
      <c r="C4838" t="str">
        <v>Indexes</v>
      </c>
      <c r="D4838" t="str">
        <v>RSR</v>
      </c>
      <c r="E4838">
        <v>168331519.81022784</v>
      </c>
      <c r="F4838">
        <v>171976642.59114358</v>
      </c>
    </row>
    <row r="4839" spans="2:6" ht="15.75" customHeight="1" x14ac:dyDescent="0.25">
      <c r="B4839" t="str">
        <v>Reservoir</v>
      </c>
      <c r="C4839" t="str">
        <v>Dexs</v>
      </c>
      <c r="D4839" t="str">
        <v>-</v>
      </c>
      <c r="E4839">
        <v>23.027240868549889</v>
      </c>
      <c r="F4839">
        <v>0</v>
      </c>
    </row>
    <row r="4840" spans="2:6" ht="15.75" customHeight="1" x14ac:dyDescent="0.25">
      <c r="B4840" t="str">
        <v>Reservoir Protocol</v>
      </c>
      <c r="C4840" t="str">
        <v>CDP</v>
      </c>
      <c r="D4840" t="str">
        <v>-</v>
      </c>
      <c r="E4840">
        <v>81190258.79997021</v>
      </c>
      <c r="F4840">
        <v>0</v>
      </c>
    </row>
    <row r="4841" spans="2:6" ht="15.75" customHeight="1" x14ac:dyDescent="0.25">
      <c r="B4841" t="str">
        <v>Resolv</v>
      </c>
      <c r="C4841" t="str">
        <v>Basis Trading</v>
      </c>
      <c r="D4841" t="str">
        <v>RESOLV</v>
      </c>
      <c r="E4841">
        <v>490449130.53846025</v>
      </c>
      <c r="F4841">
        <v>25476348.805982586</v>
      </c>
    </row>
    <row r="4842" spans="2:6" ht="15.75" customHeight="1" x14ac:dyDescent="0.25">
      <c r="B4842" t="str">
        <v>Resonate Finance</v>
      </c>
      <c r="C4842" t="str">
        <v>Yield</v>
      </c>
      <c r="D4842" t="str">
        <v>-</v>
      </c>
      <c r="E4842">
        <v>1583336</v>
      </c>
      <c r="F4842">
        <v>0</v>
      </c>
    </row>
    <row r="4843" spans="2:6" ht="15.75" customHeight="1" x14ac:dyDescent="0.25">
      <c r="B4843" t="str">
        <v>Restake Finance</v>
      </c>
      <c r="C4843" t="str">
        <v>Liquid Restaking</v>
      </c>
      <c r="D4843" t="str">
        <v>RSTK</v>
      </c>
      <c r="E4843">
        <v>82588.691810210876</v>
      </c>
      <c r="F4843">
        <v>163615.82913569637</v>
      </c>
    </row>
    <row r="4844" spans="2:6" ht="15.75" customHeight="1" x14ac:dyDescent="0.25">
      <c r="B4844" t="str">
        <v>Resupply</v>
      </c>
      <c r="C4844" t="str">
        <v>Lending</v>
      </c>
      <c r="D4844" t="str">
        <v>RSUP</v>
      </c>
      <c r="E4844">
        <v>57043047.26104486</v>
      </c>
      <c r="F4844">
        <v>4204629.9960217159</v>
      </c>
    </row>
    <row r="4845" spans="2:6" ht="15.75" customHeight="1" x14ac:dyDescent="0.25">
      <c r="B4845" t="str">
        <v>Reti Pooling</v>
      </c>
      <c r="C4845" t="str">
        <v>Staking Pool</v>
      </c>
      <c r="D4845" t="str">
        <v>-</v>
      </c>
      <c r="E4845">
        <v>68520652.63862361</v>
      </c>
      <c r="F4845">
        <v>0</v>
      </c>
    </row>
    <row r="4846" spans="2:6" ht="15.75" customHeight="1" x14ac:dyDescent="0.25">
      <c r="B4846" t="str">
        <v>Retreeb</v>
      </c>
      <c r="C4846" t="str">
        <v>Payments</v>
      </c>
      <c r="D4846" t="str">
        <v>TREEB</v>
      </c>
      <c r="E4846">
        <v>0</v>
      </c>
      <c r="F4846">
        <v>0</v>
      </c>
    </row>
    <row r="4847" spans="2:6" ht="15.75" customHeight="1" x14ac:dyDescent="0.25">
      <c r="B4847" t="str">
        <v>Retro</v>
      </c>
      <c r="C4847" t="str">
        <v>Dexs</v>
      </c>
      <c r="D4847" t="str">
        <v>RETRO</v>
      </c>
      <c r="E4847">
        <v>39649.134840818464</v>
      </c>
      <c r="F4847">
        <v>0</v>
      </c>
    </row>
    <row r="4848" spans="2:6" ht="15.75" customHeight="1" x14ac:dyDescent="0.25">
      <c r="B4848" t="str">
        <v>RetroDefi</v>
      </c>
      <c r="C4848" t="str">
        <v>Yield</v>
      </c>
      <c r="D4848" t="str">
        <v>RCUBE</v>
      </c>
      <c r="E4848">
        <v>2282.2459196743876</v>
      </c>
      <c r="F4848">
        <v>0</v>
      </c>
    </row>
    <row r="4849" spans="2:6" ht="15.75" customHeight="1" x14ac:dyDescent="0.25">
      <c r="B4849" t="str">
        <v>Return Finance</v>
      </c>
      <c r="C4849" t="str">
        <v>Yield Aggregator</v>
      </c>
      <c r="D4849" t="str">
        <v>-</v>
      </c>
      <c r="E4849">
        <v>255.85213387391838</v>
      </c>
      <c r="F4849">
        <v>0</v>
      </c>
    </row>
    <row r="4850" spans="2:6" ht="15.75" customHeight="1" x14ac:dyDescent="0.25">
      <c r="B4850" t="str">
        <v>Revault</v>
      </c>
      <c r="C4850" t="str">
        <v>Yield</v>
      </c>
      <c r="D4850" t="str">
        <v>REVA</v>
      </c>
      <c r="E4850">
        <v>2430559.5194431851</v>
      </c>
      <c r="F4850">
        <v>460120.13252134953</v>
      </c>
    </row>
    <row r="4851" spans="2:6" ht="15.75" customHeight="1" x14ac:dyDescent="0.25">
      <c r="B4851" t="str">
        <v>Reverse</v>
      </c>
      <c r="C4851" t="str">
        <v>Reserve Currency</v>
      </c>
      <c r="D4851" t="str">
        <v>RVRS</v>
      </c>
      <c r="E4851">
        <v>0</v>
      </c>
      <c r="F4851">
        <v>0</v>
      </c>
    </row>
    <row r="4852" spans="2:6" ht="15.75" customHeight="1" x14ac:dyDescent="0.25">
      <c r="B4852" t="str">
        <v>Revert Compoundor</v>
      </c>
      <c r="C4852" t="str">
        <v>Liquidity Automation</v>
      </c>
      <c r="D4852" t="str">
        <v>-</v>
      </c>
      <c r="E4852">
        <v>337916.52171806659</v>
      </c>
      <c r="F4852">
        <v>0</v>
      </c>
    </row>
    <row r="4853" spans="2:6" ht="15.75" customHeight="1" x14ac:dyDescent="0.25">
      <c r="B4853" t="str">
        <v>Revert Lend</v>
      </c>
      <c r="C4853" t="str">
        <v>Lending</v>
      </c>
      <c r="D4853" t="str">
        <v>-</v>
      </c>
      <c r="E4853">
        <v>11480800.373725178</v>
      </c>
      <c r="F4853">
        <v>0</v>
      </c>
    </row>
    <row r="4854" spans="2:6" ht="15.75" customHeight="1" x14ac:dyDescent="0.25">
      <c r="B4854" t="str">
        <v>Revert V3 Staker</v>
      </c>
      <c r="C4854" t="str">
        <v>Liquidity manager</v>
      </c>
      <c r="D4854" t="str">
        <v>-</v>
      </c>
      <c r="E4854">
        <v>563.90494848777519</v>
      </c>
      <c r="F4854">
        <v>0</v>
      </c>
    </row>
    <row r="4855" spans="2:6" ht="15.75" customHeight="1" x14ac:dyDescent="0.25">
      <c r="B4855" t="str">
        <v>Revest Finance</v>
      </c>
      <c r="C4855" t="str">
        <v>NFT Lending</v>
      </c>
      <c r="D4855" t="str">
        <v>RVST</v>
      </c>
      <c r="E4855">
        <v>76475.083117001632</v>
      </c>
      <c r="F4855">
        <v>229711.99589265729</v>
      </c>
    </row>
    <row r="4856" spans="2:6" ht="15.75" customHeight="1" x14ac:dyDescent="0.25">
      <c r="B4856" t="str">
        <v>Revoke.cash</v>
      </c>
      <c r="C4856" t="str">
        <v>Developer Tools</v>
      </c>
      <c r="D4856" t="str">
        <v>-</v>
      </c>
      <c r="E4856">
        <v>0</v>
      </c>
      <c r="F4856">
        <v>0</v>
      </c>
    </row>
    <row r="4857" spans="2:6" ht="15.75" customHeight="1" x14ac:dyDescent="0.25">
      <c r="B4857" t="str">
        <v>Revoluzion</v>
      </c>
      <c r="C4857" t="str">
        <v>Services</v>
      </c>
      <c r="D4857" t="str">
        <v>RVZ</v>
      </c>
      <c r="E4857">
        <v>0</v>
      </c>
      <c r="F4857">
        <v>0</v>
      </c>
    </row>
    <row r="4858" spans="2:6" ht="15.75" customHeight="1" x14ac:dyDescent="0.25">
      <c r="B4858" t="str">
        <v>Revoswap</v>
      </c>
      <c r="C4858" t="str">
        <v>Dexs</v>
      </c>
      <c r="D4858" t="str">
        <v>-</v>
      </c>
      <c r="E4858">
        <v>52097.237124152583</v>
      </c>
      <c r="F4858">
        <v>0</v>
      </c>
    </row>
    <row r="4859" spans="2:6" ht="15.75" customHeight="1" x14ac:dyDescent="0.25">
      <c r="B4859" t="str">
        <v>Revuto</v>
      </c>
      <c r="C4859" t="str">
        <v>Services</v>
      </c>
      <c r="D4859" t="str">
        <v>REVU</v>
      </c>
      <c r="E4859">
        <v>0</v>
      </c>
      <c r="F4859">
        <v>384153.37567134696</v>
      </c>
    </row>
    <row r="4860" spans="2:6" ht="15.75" customHeight="1" x14ac:dyDescent="0.25">
      <c r="B4860" t="str">
        <v>REX Staking</v>
      </c>
      <c r="C4860" t="str">
        <v>Lending</v>
      </c>
      <c r="D4860" t="str">
        <v>-</v>
      </c>
      <c r="E4860">
        <v>2814518.2370763281</v>
      </c>
      <c r="F4860">
        <v>0</v>
      </c>
    </row>
    <row r="4861" spans="2:6" ht="15.75" customHeight="1" x14ac:dyDescent="0.25">
      <c r="B4861" t="str">
        <v>RexDex</v>
      </c>
      <c r="C4861" t="str">
        <v>Dexs</v>
      </c>
      <c r="D4861" t="str">
        <v>REX</v>
      </c>
      <c r="E4861">
        <v>8624.9486407148925</v>
      </c>
      <c r="F4861">
        <v>0</v>
      </c>
    </row>
    <row r="4862" spans="2:6" ht="15.75" customHeight="1" x14ac:dyDescent="0.25">
      <c r="B4862" t="str">
        <v>Reya Bridge</v>
      </c>
      <c r="C4862" t="str">
        <v>Canonical Bridge</v>
      </c>
      <c r="D4862" t="str">
        <v>-</v>
      </c>
      <c r="E4862">
        <v>4937157.7413460864</v>
      </c>
      <c r="F4862">
        <v>0</v>
      </c>
    </row>
    <row r="4863" spans="2:6" ht="15.75" customHeight="1" x14ac:dyDescent="0.25">
      <c r="B4863" t="str">
        <v>Reya Perps</v>
      </c>
      <c r="C4863" t="str">
        <v>Derivatives</v>
      </c>
      <c r="D4863" t="str">
        <v>-</v>
      </c>
      <c r="E4863">
        <v>26434768.535551984</v>
      </c>
      <c r="F4863">
        <v>0</v>
      </c>
    </row>
    <row r="4864" spans="2:6" ht="15.75" customHeight="1" x14ac:dyDescent="0.25">
      <c r="B4864" t="str">
        <v>REYIELD Finance</v>
      </c>
      <c r="C4864" t="str">
        <v>Liquidity manager</v>
      </c>
      <c r="D4864" t="str">
        <v>-</v>
      </c>
      <c r="E4864">
        <v>7413.6178558603915</v>
      </c>
      <c r="F4864">
        <v>0</v>
      </c>
    </row>
    <row r="4865" spans="2:6" ht="15.75" customHeight="1" x14ac:dyDescent="0.25">
      <c r="B4865" t="str">
        <v>Rezerve Lending</v>
      </c>
      <c r="C4865" t="str">
        <v>Lending</v>
      </c>
      <c r="D4865" t="str">
        <v>RZR</v>
      </c>
      <c r="E4865">
        <v>1230665.6824792544</v>
      </c>
      <c r="F4865">
        <v>0</v>
      </c>
    </row>
    <row r="4866" spans="2:6" ht="15.75" customHeight="1" x14ac:dyDescent="0.25">
      <c r="B4866" t="str">
        <v>Rezerve Money</v>
      </c>
      <c r="C4866" t="str">
        <v>Reserve Currency</v>
      </c>
      <c r="D4866" t="str">
        <v>RZR</v>
      </c>
      <c r="E4866">
        <v>1063444.6652164243</v>
      </c>
      <c r="F4866">
        <v>0</v>
      </c>
    </row>
    <row r="4867" spans="2:6" ht="15.75" customHeight="1" x14ac:dyDescent="0.25">
      <c r="B4867" t="str">
        <v>RFOX</v>
      </c>
      <c r="C4867" t="str">
        <v>Yield</v>
      </c>
      <c r="D4867" t="str">
        <v>RFOX</v>
      </c>
      <c r="E4867">
        <v>0</v>
      </c>
      <c r="F4867">
        <v>394968.58302806917</v>
      </c>
    </row>
    <row r="4868" spans="2:6" ht="15.75" customHeight="1" x14ac:dyDescent="0.25">
      <c r="B4868" t="str">
        <v>RFX Exchange V1</v>
      </c>
      <c r="C4868" t="str">
        <v>Derivatives</v>
      </c>
      <c r="D4868" t="str">
        <v>-</v>
      </c>
      <c r="E4868">
        <v>0</v>
      </c>
      <c r="F4868">
        <v>0</v>
      </c>
    </row>
    <row r="4869" spans="2:6" ht="15.75" customHeight="1" x14ac:dyDescent="0.25">
      <c r="B4869" t="str">
        <v>RFX Exchange V2</v>
      </c>
      <c r="C4869" t="str">
        <v>Derivatives</v>
      </c>
      <c r="D4869" t="str">
        <v>-</v>
      </c>
      <c r="E4869">
        <v>499.63485665995546</v>
      </c>
      <c r="F4869">
        <v>0</v>
      </c>
    </row>
    <row r="4870" spans="2:6" ht="15.75" customHeight="1" x14ac:dyDescent="0.25">
      <c r="B4870" t="str">
        <v>RHEA DAO</v>
      </c>
      <c r="C4870" t="str">
        <v>Reserve Currency</v>
      </c>
      <c r="D4870" t="str">
        <v>RHEA</v>
      </c>
      <c r="E4870">
        <v>0</v>
      </c>
      <c r="F4870">
        <v>0</v>
      </c>
    </row>
    <row r="4871" spans="2:6" ht="15.75" customHeight="1" x14ac:dyDescent="0.25">
      <c r="B4871" t="str">
        <v>Rhea Dex</v>
      </c>
      <c r="C4871" t="str">
        <v>Dexs</v>
      </c>
      <c r="D4871" t="str">
        <v>RHEA</v>
      </c>
      <c r="E4871">
        <v>32084788.776647221</v>
      </c>
      <c r="F4871">
        <v>0</v>
      </c>
    </row>
    <row r="4872" spans="2:6" ht="15.75" customHeight="1" x14ac:dyDescent="0.25">
      <c r="B4872" t="str">
        <v>Rhea Lend</v>
      </c>
      <c r="C4872" t="str">
        <v>Lending</v>
      </c>
      <c r="D4872" t="str">
        <v>RHEA</v>
      </c>
      <c r="E4872">
        <v>92323394.487848699</v>
      </c>
      <c r="F4872">
        <v>0</v>
      </c>
    </row>
    <row r="4873" spans="2:6" ht="15.75" customHeight="1" x14ac:dyDescent="0.25">
      <c r="B4873" t="str">
        <v>RHEA LST</v>
      </c>
      <c r="C4873" t="str">
        <v>Liquid Staking</v>
      </c>
      <c r="D4873" t="str">
        <v>-</v>
      </c>
      <c r="E4873">
        <v>18251825.004139323</v>
      </c>
      <c r="F4873">
        <v>0</v>
      </c>
    </row>
    <row r="4874" spans="2:6" ht="15.75" customHeight="1" x14ac:dyDescent="0.25">
      <c r="B4874" t="str">
        <v>Rheo</v>
      </c>
      <c r="C4874" t="str">
        <v>Lending</v>
      </c>
      <c r="D4874" t="str">
        <v>-</v>
      </c>
      <c r="E4874">
        <v>1113294.4531017262</v>
      </c>
      <c r="F4874">
        <v>0</v>
      </c>
    </row>
    <row r="4875" spans="2:6" ht="15.75" customHeight="1" x14ac:dyDescent="0.25">
      <c r="B4875" t="str">
        <v>Rhino.fi</v>
      </c>
      <c r="C4875" t="str">
        <v>Bridge</v>
      </c>
      <c r="D4875" t="str">
        <v>RHINO</v>
      </c>
      <c r="E4875">
        <v>677889.03519064211</v>
      </c>
      <c r="F4875">
        <v>0</v>
      </c>
    </row>
    <row r="4876" spans="2:6" ht="15.75" customHeight="1" x14ac:dyDescent="0.25">
      <c r="B4876" t="str">
        <v>Rho Markets</v>
      </c>
      <c r="C4876" t="str">
        <v>Lending</v>
      </c>
      <c r="D4876" t="str">
        <v>-</v>
      </c>
      <c r="E4876">
        <v>162.50674114227786</v>
      </c>
      <c r="F4876">
        <v>0</v>
      </c>
    </row>
    <row r="4877" spans="2:6" ht="15.75" customHeight="1" x14ac:dyDescent="0.25">
      <c r="B4877" t="str">
        <v>Rho Protocol</v>
      </c>
      <c r="C4877" t="str">
        <v>Derivatives</v>
      </c>
      <c r="D4877" t="str">
        <v>-</v>
      </c>
      <c r="E4877">
        <v>60548.199840207002</v>
      </c>
      <c r="F4877">
        <v>0</v>
      </c>
    </row>
    <row r="4878" spans="2:6" ht="15.75" customHeight="1" x14ac:dyDescent="0.25">
      <c r="B4878" t="str">
        <v>Rho Vaults</v>
      </c>
      <c r="C4878" t="str">
        <v>Yield</v>
      </c>
      <c r="D4878" t="str">
        <v>-</v>
      </c>
      <c r="E4878">
        <v>32457.523626093778</v>
      </c>
      <c r="F4878">
        <v>0</v>
      </c>
    </row>
    <row r="4879" spans="2:6" ht="15.75" customHeight="1" x14ac:dyDescent="0.25">
      <c r="B4879" t="str">
        <v>Rho X</v>
      </c>
      <c r="C4879" t="str">
        <v>Derivatives</v>
      </c>
      <c r="D4879" t="str">
        <v>-</v>
      </c>
      <c r="E4879">
        <v>825651.79201113584</v>
      </c>
      <c r="F4879">
        <v>0</v>
      </c>
    </row>
    <row r="4880" spans="2:6" ht="15.75" customHeight="1" x14ac:dyDescent="0.25">
      <c r="B4880" t="str">
        <v>Rhombus Protocol</v>
      </c>
      <c r="C4880" t="str">
        <v>Lending</v>
      </c>
      <c r="D4880" t="str">
        <v>-</v>
      </c>
      <c r="E4880">
        <v>53809.646630447482</v>
      </c>
      <c r="F4880">
        <v>0</v>
      </c>
    </row>
    <row r="4881" spans="2:6" ht="15.75" customHeight="1" x14ac:dyDescent="0.25">
      <c r="B4881" t="str">
        <v>Ribbon</v>
      </c>
      <c r="C4881" t="str">
        <v>Options Vault</v>
      </c>
      <c r="D4881" t="str">
        <v>RBN</v>
      </c>
      <c r="E4881">
        <v>5258507.878573779</v>
      </c>
      <c r="F4881">
        <v>0</v>
      </c>
    </row>
    <row r="4882" spans="2:6" ht="15.75" customHeight="1" x14ac:dyDescent="0.25">
      <c r="B4882" t="str">
        <v>Ribbon Earn</v>
      </c>
      <c r="C4882" t="str">
        <v>Options</v>
      </c>
      <c r="D4882" t="str">
        <v>RBN</v>
      </c>
      <c r="E4882">
        <v>1346054.7308976329</v>
      </c>
      <c r="F4882">
        <v>0</v>
      </c>
    </row>
    <row r="4883" spans="2:6" ht="15.75" customHeight="1" x14ac:dyDescent="0.25">
      <c r="B4883" t="str">
        <v>Ribbon Lend</v>
      </c>
      <c r="C4883" t="str">
        <v>Uncollateralized Lending</v>
      </c>
      <c r="D4883" t="str">
        <v>RBN</v>
      </c>
      <c r="E4883">
        <v>53020.181095450949</v>
      </c>
      <c r="F4883">
        <v>0</v>
      </c>
    </row>
    <row r="4884" spans="2:6" ht="15.75" customHeight="1" x14ac:dyDescent="0.25">
      <c r="B4884" t="str">
        <v>Riddle</v>
      </c>
      <c r="C4884" t="str">
        <v>Launchpad</v>
      </c>
      <c r="D4884" t="str">
        <v>-</v>
      </c>
      <c r="E4884">
        <v>17151.154887833116</v>
      </c>
      <c r="F4884">
        <v>0</v>
      </c>
    </row>
    <row r="4885" spans="2:6" ht="15.75" customHeight="1" x14ac:dyDescent="0.25">
      <c r="B4885" t="str">
        <v>Ridotto</v>
      </c>
      <c r="C4885" t="str">
        <v>Luck Games</v>
      </c>
      <c r="D4885" t="str">
        <v>RDT</v>
      </c>
      <c r="E4885">
        <v>48975.730517361124</v>
      </c>
      <c r="F4885">
        <v>1361759.3774176838</v>
      </c>
    </row>
    <row r="4886" spans="2:6" ht="15.75" customHeight="1" x14ac:dyDescent="0.25">
      <c r="B4886" t="str">
        <v>RIF ON CHAIN</v>
      </c>
      <c r="C4886" t="str">
        <v>Dual-Token Stablecoin</v>
      </c>
      <c r="D4886" t="str">
        <v>-</v>
      </c>
      <c r="E4886">
        <v>11061413.188044017</v>
      </c>
      <c r="F4886">
        <v>0</v>
      </c>
    </row>
    <row r="4887" spans="2:6" ht="15.75" customHeight="1" x14ac:dyDescent="0.25">
      <c r="B4887" t="str">
        <v>Rift Finance</v>
      </c>
      <c r="C4887" t="str">
        <v>Yield</v>
      </c>
      <c r="D4887" t="str">
        <v>-</v>
      </c>
      <c r="E4887">
        <v>113096.06071898548</v>
      </c>
      <c r="F4887">
        <v>0</v>
      </c>
    </row>
    <row r="4888" spans="2:6" ht="15.75" customHeight="1" x14ac:dyDescent="0.25">
      <c r="B4888" t="str">
        <v>Rigoblock</v>
      </c>
      <c r="C4888" t="str">
        <v>Onchain Capital Allocator</v>
      </c>
      <c r="D4888" t="str">
        <v>GRG</v>
      </c>
      <c r="E4888">
        <v>72187.691411962995</v>
      </c>
      <c r="F4888">
        <v>462922.21885023388</v>
      </c>
    </row>
    <row r="4889" spans="2:6" ht="15.75" customHeight="1" x14ac:dyDescent="0.25">
      <c r="B4889" t="str">
        <v>Rikkei Finance</v>
      </c>
      <c r="C4889" t="str">
        <v>Lending</v>
      </c>
      <c r="D4889" t="str">
        <v>RIFI</v>
      </c>
      <c r="E4889">
        <v>1.0683314050232078</v>
      </c>
      <c r="F4889">
        <v>0</v>
      </c>
    </row>
    <row r="4890" spans="2:6" ht="15.75" customHeight="1" x14ac:dyDescent="0.25">
      <c r="B4890" t="str">
        <v>Ring Few</v>
      </c>
      <c r="C4890" t="str">
        <v>Dexs</v>
      </c>
      <c r="D4890" t="str">
        <v>-</v>
      </c>
      <c r="E4890">
        <v>60766293.137865931</v>
      </c>
      <c r="F4890">
        <v>0</v>
      </c>
    </row>
    <row r="4891" spans="2:6" ht="15.75" customHeight="1" x14ac:dyDescent="0.25">
      <c r="B4891" t="str">
        <v>Ring Swap</v>
      </c>
      <c r="C4891" t="str">
        <v>Dexs</v>
      </c>
      <c r="D4891" t="str">
        <v>-</v>
      </c>
      <c r="E4891">
        <v>182.48403920577124</v>
      </c>
      <c r="F4891">
        <v>0</v>
      </c>
    </row>
    <row r="4892" spans="2:6" ht="15.75" customHeight="1" x14ac:dyDescent="0.25">
      <c r="B4892" t="str">
        <v>RingFi</v>
      </c>
      <c r="C4892" t="str">
        <v>Yield</v>
      </c>
      <c r="D4892" t="str">
        <v>RING</v>
      </c>
      <c r="E4892">
        <v>0</v>
      </c>
      <c r="F4892">
        <v>28.961679857204029</v>
      </c>
    </row>
    <row r="4893" spans="2:6" ht="15.75" customHeight="1" x14ac:dyDescent="0.25">
      <c r="B4893" t="str">
        <v>Ringswap</v>
      </c>
      <c r="C4893" t="str">
        <v>Farm</v>
      </c>
      <c r="D4893" t="str">
        <v>RING</v>
      </c>
      <c r="E4893">
        <v>5.8029671387850819</v>
      </c>
      <c r="F4893">
        <v>0</v>
      </c>
    </row>
    <row r="4894" spans="2:6" ht="15.75" customHeight="1" x14ac:dyDescent="0.25">
      <c r="B4894" t="str">
        <v>RIP.FUN</v>
      </c>
      <c r="C4894" t="str">
        <v>NFT Marketplace</v>
      </c>
      <c r="D4894" t="str">
        <v>-</v>
      </c>
      <c r="E4894">
        <v>0</v>
      </c>
      <c r="F4894">
        <v>0</v>
      </c>
    </row>
    <row r="4895" spans="2:6" ht="15.75" customHeight="1" x14ac:dyDescent="0.25">
      <c r="B4895" t="str">
        <v>Ripae</v>
      </c>
      <c r="C4895" t="str">
        <v>Algo-Stables</v>
      </c>
      <c r="D4895" t="str">
        <v>PAE</v>
      </c>
      <c r="E4895">
        <v>0</v>
      </c>
      <c r="F4895">
        <v>0</v>
      </c>
    </row>
    <row r="4896" spans="2:6" ht="15.75" customHeight="1" x14ac:dyDescent="0.25">
      <c r="B4896" t="str">
        <v>Rising Undead</v>
      </c>
      <c r="C4896" t="str">
        <v>Gaming</v>
      </c>
      <c r="D4896" t="str">
        <v>-</v>
      </c>
      <c r="E4896">
        <v>4.247587537766272E-5</v>
      </c>
      <c r="F4896">
        <v>0</v>
      </c>
    </row>
    <row r="4897" spans="2:6" ht="15.75" customHeight="1" x14ac:dyDescent="0.25">
      <c r="B4897" t="str">
        <v>Risk Harbor</v>
      </c>
      <c r="C4897" t="str">
        <v>Insurance</v>
      </c>
      <c r="D4897" t="str">
        <v>-</v>
      </c>
      <c r="E4897">
        <v>38722.776176484374</v>
      </c>
      <c r="F4897">
        <v>0</v>
      </c>
    </row>
    <row r="4898" spans="2:6" ht="15.75" customHeight="1" x14ac:dyDescent="0.25">
      <c r="B4898" t="str">
        <v>Risq Protocol</v>
      </c>
      <c r="C4898" t="str">
        <v>Prediction Market</v>
      </c>
      <c r="D4898" t="str">
        <v>RISQ</v>
      </c>
      <c r="E4898">
        <v>1050.8999681043683</v>
      </c>
      <c r="F4898">
        <v>0</v>
      </c>
    </row>
    <row r="4899" spans="2:6" ht="15.75" customHeight="1" x14ac:dyDescent="0.25">
      <c r="B4899" t="str">
        <v>Ritsu Protocol</v>
      </c>
      <c r="C4899" t="str">
        <v>Dexs</v>
      </c>
      <c r="D4899" t="str">
        <v>-</v>
      </c>
      <c r="E4899">
        <v>557327.2711874363</v>
      </c>
      <c r="F4899">
        <v>0</v>
      </c>
    </row>
    <row r="4900" spans="2:6" ht="15.75" customHeight="1" x14ac:dyDescent="0.25">
      <c r="B4900" t="str">
        <v>River Omni-CDP</v>
      </c>
      <c r="C4900" t="str">
        <v>CeDeFi</v>
      </c>
      <c r="D4900" t="str">
        <v>-</v>
      </c>
      <c r="E4900">
        <v>117217853.43917011</v>
      </c>
      <c r="F4900">
        <v>0</v>
      </c>
    </row>
    <row r="4901" spans="2:6" ht="15.75" customHeight="1" x14ac:dyDescent="0.25">
      <c r="B4901" t="str">
        <v>River4Fun</v>
      </c>
      <c r="C4901" t="str">
        <v>Farm</v>
      </c>
      <c r="D4901" t="str">
        <v>River Pts</v>
      </c>
      <c r="E4901">
        <v>3305.5673072065847</v>
      </c>
      <c r="F4901">
        <v>0</v>
      </c>
    </row>
    <row r="4902" spans="2:6" ht="15.75" customHeight="1" x14ac:dyDescent="0.25">
      <c r="B4902" t="str">
        <v>Rivera Money</v>
      </c>
      <c r="C4902" t="str">
        <v>Liquidity manager</v>
      </c>
      <c r="D4902" t="str">
        <v>-</v>
      </c>
      <c r="E4902">
        <v>11641.814711749686</v>
      </c>
      <c r="F4902">
        <v>0</v>
      </c>
    </row>
    <row r="4903" spans="2:6" ht="15.75" customHeight="1" x14ac:dyDescent="0.25">
      <c r="B4903" t="str">
        <v>RivrKitty</v>
      </c>
      <c r="C4903" t="str">
        <v>Yield</v>
      </c>
      <c r="D4903" t="str">
        <v>RKITTY</v>
      </c>
      <c r="E4903">
        <v>0</v>
      </c>
      <c r="F4903">
        <v>0</v>
      </c>
    </row>
    <row r="4904" spans="2:6" ht="15.75" customHeight="1" x14ac:dyDescent="0.25">
      <c r="B4904" t="str">
        <v>Rivus DAO</v>
      </c>
      <c r="C4904" t="str">
        <v>Liquid Staking</v>
      </c>
      <c r="D4904" t="str">
        <v>RIVUS</v>
      </c>
      <c r="E4904">
        <v>4471.059668971714</v>
      </c>
      <c r="F4904">
        <v>8611.7849643207192</v>
      </c>
    </row>
    <row r="4905" spans="2:6" ht="15.75" customHeight="1" x14ac:dyDescent="0.25">
      <c r="B4905" t="str">
        <v>RIZE</v>
      </c>
      <c r="C4905" t="str">
        <v>Yield Aggregator</v>
      </c>
      <c r="D4905" t="str">
        <v>-</v>
      </c>
      <c r="E4905">
        <v>1.9714983593395793E-3</v>
      </c>
      <c r="F4905">
        <v>0</v>
      </c>
    </row>
    <row r="4906" spans="2:6" ht="15.75" customHeight="1" x14ac:dyDescent="0.25">
      <c r="B4906" t="str">
        <v>RlyFun</v>
      </c>
      <c r="C4906" t="str">
        <v>Launchpad</v>
      </c>
      <c r="D4906" t="str">
        <v>-</v>
      </c>
      <c r="E4906">
        <v>32816.453523765726</v>
      </c>
      <c r="F4906">
        <v>0</v>
      </c>
    </row>
    <row r="4907" spans="2:6" ht="15.75" customHeight="1" x14ac:dyDescent="0.25">
      <c r="B4907" t="str">
        <v>Roaring Lion</v>
      </c>
      <c r="C4907" t="str">
        <v>Algo-Stables</v>
      </c>
      <c r="D4907" t="str">
        <v>LION</v>
      </c>
      <c r="E4907">
        <v>0</v>
      </c>
      <c r="F4907">
        <v>0</v>
      </c>
    </row>
    <row r="4908" spans="2:6" ht="15.75" customHeight="1" x14ac:dyDescent="0.25">
      <c r="B4908" t="str">
        <v>RobiniaSwap</v>
      </c>
      <c r="C4908" t="str">
        <v>Dexs</v>
      </c>
      <c r="D4908" t="str">
        <v>RBS</v>
      </c>
      <c r="E4908">
        <v>28122.526913376438</v>
      </c>
      <c r="F4908">
        <v>0</v>
      </c>
    </row>
    <row r="4909" spans="2:6" ht="15.75" customHeight="1" x14ac:dyDescent="0.25">
      <c r="B4909" t="str">
        <v>Robo-Advisor for Yield</v>
      </c>
      <c r="C4909" t="str">
        <v>Yield</v>
      </c>
      <c r="D4909" t="str">
        <v>-</v>
      </c>
      <c r="E4909">
        <v>4478.6946477740012</v>
      </c>
      <c r="F4909">
        <v>0</v>
      </c>
    </row>
    <row r="4910" spans="2:6" ht="15.75" customHeight="1" x14ac:dyDescent="0.25">
      <c r="B4910" t="str">
        <v>Robo-Vault</v>
      </c>
      <c r="C4910" t="str">
        <v>Yield</v>
      </c>
      <c r="D4910" t="str">
        <v>-</v>
      </c>
      <c r="E4910">
        <v>5052.9067617592818</v>
      </c>
      <c r="F4910">
        <v>0</v>
      </c>
    </row>
    <row r="4911" spans="2:6" ht="15.75" customHeight="1" x14ac:dyDescent="0.25">
      <c r="B4911" t="str">
        <v>Robots.Farm</v>
      </c>
      <c r="C4911" t="str">
        <v>Gaming</v>
      </c>
      <c r="D4911" t="str">
        <v>RBF</v>
      </c>
      <c r="E4911">
        <v>1480.1015739923896</v>
      </c>
      <c r="F4911">
        <v>0</v>
      </c>
    </row>
    <row r="4912" spans="2:6" ht="15.75" customHeight="1" x14ac:dyDescent="0.25">
      <c r="B4912" t="str">
        <v>RociFi V1</v>
      </c>
      <c r="C4912" t="str">
        <v>Lending</v>
      </c>
      <c r="D4912" t="str">
        <v>-</v>
      </c>
      <c r="E4912">
        <v>33219.29183562188</v>
      </c>
      <c r="F4912">
        <v>0</v>
      </c>
    </row>
    <row r="4913" spans="2:6" ht="15.75" customHeight="1" x14ac:dyDescent="0.25">
      <c r="B4913" t="str">
        <v>RociFi V2</v>
      </c>
      <c r="C4913" t="str">
        <v>Lending</v>
      </c>
      <c r="D4913" t="str">
        <v>-</v>
      </c>
      <c r="E4913">
        <v>20966.335033935502</v>
      </c>
      <c r="F4913">
        <v>0</v>
      </c>
    </row>
    <row r="4914" spans="2:6" ht="15.75" customHeight="1" x14ac:dyDescent="0.25">
      <c r="B4914" t="str">
        <v>Rock Staking</v>
      </c>
      <c r="C4914" t="str">
        <v>Staking Pool</v>
      </c>
      <c r="D4914" t="str">
        <v>-</v>
      </c>
      <c r="E4914">
        <v>0</v>
      </c>
      <c r="F4914">
        <v>0</v>
      </c>
    </row>
    <row r="4915" spans="2:6" ht="15.75" customHeight="1" x14ac:dyDescent="0.25">
      <c r="B4915" t="str">
        <v>Rocket Pool</v>
      </c>
      <c r="C4915" t="str">
        <v>Liquid Staking</v>
      </c>
      <c r="D4915" t="str">
        <v>RPL</v>
      </c>
      <c r="E4915">
        <v>1807876398.9873421</v>
      </c>
      <c r="F4915">
        <v>46111947.955365337</v>
      </c>
    </row>
    <row r="4916" spans="2:6" ht="15.75" customHeight="1" x14ac:dyDescent="0.25">
      <c r="B4916" t="str">
        <v>RocketSwap</v>
      </c>
      <c r="C4916" t="str">
        <v>Dexs</v>
      </c>
      <c r="D4916" t="str">
        <v>RSWP</v>
      </c>
      <c r="E4916">
        <v>0</v>
      </c>
      <c r="F4916">
        <v>0</v>
      </c>
    </row>
    <row r="4917" spans="2:6" ht="15.75" customHeight="1" x14ac:dyDescent="0.25">
      <c r="B4917" t="str">
        <v>RocketSwap Base</v>
      </c>
      <c r="C4917" t="str">
        <v>Dexs</v>
      </c>
      <c r="D4917" t="str">
        <v>RCKT</v>
      </c>
      <c r="E4917">
        <v>690040.19571773813</v>
      </c>
      <c r="F4917">
        <v>0</v>
      </c>
    </row>
    <row r="4918" spans="2:6" ht="15.75" customHeight="1" x14ac:dyDescent="0.25">
      <c r="B4918" t="str">
        <v>RockSolid Network</v>
      </c>
      <c r="C4918" t="str">
        <v>Yield</v>
      </c>
      <c r="D4918" t="str">
        <v>-</v>
      </c>
      <c r="E4918">
        <v>25317449.267861873</v>
      </c>
      <c r="F4918">
        <v>0</v>
      </c>
    </row>
    <row r="4919" spans="2:6" ht="15.75" customHeight="1" x14ac:dyDescent="0.25">
      <c r="B4919" t="str">
        <v>Rockswap</v>
      </c>
      <c r="C4919" t="str">
        <v>Dexs</v>
      </c>
      <c r="D4919" t="str">
        <v>ROCK</v>
      </c>
      <c r="E4919">
        <v>0</v>
      </c>
      <c r="F4919">
        <v>1598.3056247546133</v>
      </c>
    </row>
    <row r="4920" spans="2:6" ht="15.75" customHeight="1" x14ac:dyDescent="0.25">
      <c r="B4920" t="str">
        <v>Rocky</v>
      </c>
      <c r="C4920" t="str">
        <v>CDP</v>
      </c>
      <c r="D4920" t="str">
        <v>-</v>
      </c>
      <c r="E4920">
        <v>1.3107173013204696</v>
      </c>
      <c r="F4920">
        <v>0</v>
      </c>
    </row>
    <row r="4921" spans="2:6" ht="15.75" customHeight="1" x14ac:dyDescent="0.25">
      <c r="B4921" t="str">
        <v>Rodeo</v>
      </c>
      <c r="C4921" t="str">
        <v>Yield</v>
      </c>
      <c r="D4921" t="str">
        <v>RDO</v>
      </c>
      <c r="E4921">
        <v>1.6986969999999997E-3</v>
      </c>
      <c r="F4921">
        <v>0</v>
      </c>
    </row>
    <row r="4922" spans="2:6" ht="15.75" customHeight="1" x14ac:dyDescent="0.25">
      <c r="B4922" t="str">
        <v>Roe Finance</v>
      </c>
      <c r="C4922" t="str">
        <v>Lending</v>
      </c>
      <c r="D4922" t="str">
        <v>-</v>
      </c>
      <c r="E4922">
        <v>335.83638969769061</v>
      </c>
      <c r="F4922">
        <v>0</v>
      </c>
    </row>
    <row r="4923" spans="2:6" ht="15.75" customHeight="1" x14ac:dyDescent="0.25">
      <c r="B4923" t="str">
        <v>Roguex</v>
      </c>
      <c r="C4923" t="str">
        <v>Dexs</v>
      </c>
      <c r="D4923" t="str">
        <v>ROX</v>
      </c>
      <c r="E4923">
        <v>50051.857968027798</v>
      </c>
      <c r="F4923">
        <v>0</v>
      </c>
    </row>
    <row r="4924" spans="2:6" ht="15.75" customHeight="1" x14ac:dyDescent="0.25">
      <c r="B4924" t="str">
        <v>Roketo</v>
      </c>
      <c r="C4924" t="str">
        <v>Payments</v>
      </c>
      <c r="D4924" t="str">
        <v>-</v>
      </c>
      <c r="E4924">
        <v>5332.9493363849078</v>
      </c>
      <c r="F4924">
        <v>0</v>
      </c>
    </row>
    <row r="4925" spans="2:6" ht="15.75" customHeight="1" x14ac:dyDescent="0.25">
      <c r="B4925" t="str">
        <v>Roll Fun</v>
      </c>
      <c r="C4925" t="str">
        <v>Launchpad</v>
      </c>
      <c r="D4925" t="str">
        <v>-</v>
      </c>
      <c r="E4925">
        <v>4183.2236116963031</v>
      </c>
      <c r="F4925">
        <v>0</v>
      </c>
    </row>
    <row r="4926" spans="2:6" ht="15.75" customHeight="1" x14ac:dyDescent="0.25">
      <c r="B4926" t="str">
        <v>Rollie Finance</v>
      </c>
      <c r="C4926" t="str">
        <v>Derivatives</v>
      </c>
      <c r="D4926" t="str">
        <v>-</v>
      </c>
      <c r="E4926">
        <v>4254.9911264759676</v>
      </c>
      <c r="F4926">
        <v>0</v>
      </c>
    </row>
    <row r="4927" spans="2:6" ht="15.75" customHeight="1" x14ac:dyDescent="0.25">
      <c r="B4927" t="str">
        <v>Rollspace</v>
      </c>
      <c r="C4927" t="str">
        <v>Luck Games</v>
      </c>
      <c r="D4927" t="str">
        <v>-</v>
      </c>
      <c r="E4927">
        <v>69.276601714750996</v>
      </c>
      <c r="F4927">
        <v>0</v>
      </c>
    </row>
    <row r="4928" spans="2:6" ht="15.75" customHeight="1" x14ac:dyDescent="0.25">
      <c r="B4928" t="str">
        <v>Rollup Finance Stake</v>
      </c>
      <c r="C4928" t="str">
        <v>Derivatives</v>
      </c>
      <c r="D4928" t="str">
        <v>-</v>
      </c>
      <c r="E4928">
        <v>134.57015671590145</v>
      </c>
      <c r="F4928">
        <v>0</v>
      </c>
    </row>
    <row r="4929" spans="2:6" ht="15.75" customHeight="1" x14ac:dyDescent="0.25">
      <c r="B4929" t="str">
        <v>Rollup Finance vAMM</v>
      </c>
      <c r="C4929" t="str">
        <v>Derivatives</v>
      </c>
      <c r="D4929" t="str">
        <v>-</v>
      </c>
      <c r="E4929">
        <v>1.329231140852633E-2</v>
      </c>
      <c r="F4929">
        <v>0</v>
      </c>
    </row>
    <row r="4930" spans="2:6" ht="15.75" customHeight="1" x14ac:dyDescent="0.25">
      <c r="B4930" t="str">
        <v>RollX</v>
      </c>
      <c r="C4930" t="str">
        <v>Derivatives</v>
      </c>
      <c r="D4930" t="str">
        <v>-</v>
      </c>
      <c r="E4930">
        <v>2139553.1772532631</v>
      </c>
      <c r="F4930">
        <v>0</v>
      </c>
    </row>
    <row r="4931" spans="2:6" ht="15.75" customHeight="1" x14ac:dyDescent="0.25">
      <c r="B4931" t="str">
        <v>Ronin Bridge</v>
      </c>
      <c r="C4931" t="str">
        <v>Canonical Bridge</v>
      </c>
      <c r="D4931" t="str">
        <v>RON</v>
      </c>
      <c r="E4931">
        <v>6471146.8694171617</v>
      </c>
      <c r="F4931">
        <v>101892936.34221569</v>
      </c>
    </row>
    <row r="4932" spans="2:6" ht="15.75" customHeight="1" x14ac:dyDescent="0.25">
      <c r="B4932" t="str">
        <v>Rook</v>
      </c>
      <c r="C4932" t="str">
        <v>Dexs</v>
      </c>
      <c r="D4932" t="str">
        <v>ROOK</v>
      </c>
      <c r="E4932">
        <v>1927513.212890204</v>
      </c>
      <c r="F4932">
        <v>411565.00427094556</v>
      </c>
    </row>
    <row r="4933" spans="2:6" ht="15.75" customHeight="1" x14ac:dyDescent="0.25">
      <c r="B4933" t="str">
        <v>Rooster Protocol V1</v>
      </c>
      <c r="C4933" t="str">
        <v>Dexs</v>
      </c>
      <c r="D4933" t="str">
        <v>-</v>
      </c>
      <c r="E4933">
        <v>407172.64299620962</v>
      </c>
      <c r="F4933">
        <v>0</v>
      </c>
    </row>
    <row r="4934" spans="2:6" ht="15.75" customHeight="1" x14ac:dyDescent="0.25">
      <c r="B4934" t="str">
        <v>Rooster Protocol V2</v>
      </c>
      <c r="C4934" t="str">
        <v>Dexs</v>
      </c>
      <c r="D4934" t="str">
        <v>-</v>
      </c>
      <c r="E4934">
        <v>2875325.0369996959</v>
      </c>
      <c r="F4934">
        <v>0</v>
      </c>
    </row>
    <row r="4935" spans="2:6" ht="15.75" customHeight="1" x14ac:dyDescent="0.25">
      <c r="B4935" t="str">
        <v>Root Finance</v>
      </c>
      <c r="C4935" t="str">
        <v>Lending</v>
      </c>
      <c r="D4935" t="str">
        <v>-</v>
      </c>
      <c r="E4935">
        <v>207746.37217293985</v>
      </c>
      <c r="F4935">
        <v>0</v>
      </c>
    </row>
    <row r="4936" spans="2:6" ht="15.75" customHeight="1" x14ac:dyDescent="0.25">
      <c r="B4936" t="str">
        <v>Roots</v>
      </c>
      <c r="C4936" t="str">
        <v>CDP</v>
      </c>
      <c r="D4936" t="str">
        <v>MEAD</v>
      </c>
      <c r="E4936">
        <v>28309.960496023643</v>
      </c>
      <c r="F4936">
        <v>49817.810788706542</v>
      </c>
    </row>
    <row r="4937" spans="2:6" ht="15.75" customHeight="1" x14ac:dyDescent="0.25">
      <c r="B4937" t="str">
        <v>Rootstock Collective</v>
      </c>
      <c r="C4937" t="str">
        <v>Governance Incentives</v>
      </c>
      <c r="D4937" t="str">
        <v>-</v>
      </c>
      <c r="E4937">
        <v>0</v>
      </c>
      <c r="F4937">
        <v>0</v>
      </c>
    </row>
    <row r="4938" spans="2:6" ht="15.75" customHeight="1" x14ac:dyDescent="0.25">
      <c r="B4938" t="str">
        <v>Rose</v>
      </c>
      <c r="C4938" t="str">
        <v>Dexs</v>
      </c>
      <c r="D4938" t="str">
        <v>ROSE</v>
      </c>
      <c r="E4938">
        <v>126365.9309966517</v>
      </c>
      <c r="F4938">
        <v>0</v>
      </c>
    </row>
    <row r="4939" spans="2:6" ht="15.75" customHeight="1" x14ac:dyDescent="0.25">
      <c r="B4939" t="str">
        <v>Rosen Bridge</v>
      </c>
      <c r="C4939" t="str">
        <v>Bridge</v>
      </c>
      <c r="D4939" t="str">
        <v>RSN</v>
      </c>
      <c r="E4939">
        <v>3083937.9367724317</v>
      </c>
      <c r="F4939">
        <v>0</v>
      </c>
    </row>
    <row r="4940" spans="2:6" ht="15.75" customHeight="1" x14ac:dyDescent="0.25">
      <c r="B4940" t="str">
        <v>RoseonX</v>
      </c>
      <c r="C4940" t="str">
        <v>Derivatives</v>
      </c>
      <c r="D4940" t="str">
        <v>ROSX</v>
      </c>
      <c r="E4940">
        <v>0</v>
      </c>
      <c r="F4940">
        <v>2811.933307699564</v>
      </c>
    </row>
    <row r="4941" spans="2:6" ht="15.75" customHeight="1" x14ac:dyDescent="0.25">
      <c r="B4941" t="str">
        <v>RosSwap</v>
      </c>
      <c r="C4941" t="str">
        <v>Dexs</v>
      </c>
      <c r="D4941" t="str">
        <v>-</v>
      </c>
      <c r="E4941">
        <v>0</v>
      </c>
      <c r="F4941">
        <v>0</v>
      </c>
    </row>
    <row r="4942" spans="2:6" ht="15.75" customHeight="1" x14ac:dyDescent="0.25">
      <c r="B4942" t="str">
        <v>Rosy Stake</v>
      </c>
      <c r="C4942" t="str">
        <v>Farm</v>
      </c>
      <c r="D4942" t="str">
        <v>ROSY</v>
      </c>
      <c r="E4942">
        <v>0</v>
      </c>
      <c r="F4942">
        <v>0</v>
      </c>
    </row>
    <row r="4943" spans="2:6" ht="15.75" customHeight="1" x14ac:dyDescent="0.25">
      <c r="B4943" t="str">
        <v>rotki</v>
      </c>
      <c r="C4943" t="str">
        <v>Portfolio Tracker</v>
      </c>
      <c r="D4943" t="str">
        <v>-</v>
      </c>
      <c r="E4943">
        <v>0</v>
      </c>
      <c r="F4943">
        <v>0</v>
      </c>
    </row>
    <row r="4944" spans="2:6" ht="15.75" customHeight="1" x14ac:dyDescent="0.25">
      <c r="B4944" t="str">
        <v>ROUP</v>
      </c>
      <c r="C4944" t="str">
        <v>Bridge</v>
      </c>
      <c r="D4944" t="str">
        <v>Roup</v>
      </c>
      <c r="E4944">
        <v>181.46774099865388</v>
      </c>
      <c r="F4944">
        <v>0</v>
      </c>
    </row>
    <row r="4945" spans="2:6" ht="15.75" customHeight="1" x14ac:dyDescent="0.25">
      <c r="B4945" t="str">
        <v>Router Protocol</v>
      </c>
      <c r="C4945" t="str">
        <v>Cross Chain Bridge</v>
      </c>
      <c r="D4945" t="str">
        <v>ROUTE</v>
      </c>
      <c r="E4945">
        <v>9940.0125124228398</v>
      </c>
      <c r="F4945">
        <v>0</v>
      </c>
    </row>
    <row r="4946" spans="2:6" ht="15.75" customHeight="1" x14ac:dyDescent="0.25">
      <c r="B4946" t="str">
        <v>Royco Protocol</v>
      </c>
      <c r="C4946" t="str">
        <v>Yield</v>
      </c>
      <c r="D4946" t="str">
        <v>-</v>
      </c>
      <c r="E4946">
        <v>24049112.823780399</v>
      </c>
      <c r="F4946">
        <v>0</v>
      </c>
    </row>
    <row r="4947" spans="2:6" ht="15.75" customHeight="1" x14ac:dyDescent="0.25">
      <c r="B4947" t="str">
        <v>RSK Bridge</v>
      </c>
      <c r="C4947" t="str">
        <v>Canonical Bridge</v>
      </c>
      <c r="D4947" t="str">
        <v>-</v>
      </c>
      <c r="E4947">
        <v>1213159.3181918049</v>
      </c>
      <c r="F4947">
        <v>0</v>
      </c>
    </row>
    <row r="4948" spans="2:6" ht="15.75" customHeight="1" x14ac:dyDescent="0.25">
      <c r="B4948" t="str">
        <v>RskSwap</v>
      </c>
      <c r="C4948" t="str">
        <v>Dexs</v>
      </c>
      <c r="D4948" t="str">
        <v>-</v>
      </c>
      <c r="E4948">
        <v>40991.495049218021</v>
      </c>
      <c r="F4948">
        <v>0</v>
      </c>
    </row>
    <row r="4949" spans="2:6" ht="15.75" customHeight="1" x14ac:dyDescent="0.25">
      <c r="B4949" t="str">
        <v>RSS3 Bridge</v>
      </c>
      <c r="C4949" t="str">
        <v>Canonical Bridge</v>
      </c>
      <c r="D4949" t="str">
        <v>-</v>
      </c>
      <c r="E4949">
        <v>6112389.9357906803</v>
      </c>
      <c r="F4949">
        <v>0</v>
      </c>
    </row>
    <row r="4950" spans="2:6" ht="15.75" customHeight="1" x14ac:dyDescent="0.25">
      <c r="B4950" t="str">
        <v>Rubic</v>
      </c>
      <c r="C4950" t="str">
        <v>DEX Aggregator</v>
      </c>
      <c r="D4950" t="str">
        <v>RBC</v>
      </c>
      <c r="E4950">
        <v>0</v>
      </c>
      <c r="F4950">
        <v>1190340.9842448037</v>
      </c>
    </row>
    <row r="4951" spans="2:6" ht="15.75" customHeight="1" x14ac:dyDescent="0.25">
      <c r="B4951" t="str">
        <v>Rubicon</v>
      </c>
      <c r="C4951" t="str">
        <v>Dexs</v>
      </c>
      <c r="D4951" t="str">
        <v>RUBI</v>
      </c>
      <c r="E4951">
        <v>293026.69786588097</v>
      </c>
      <c r="F4951">
        <v>244842.47144325293</v>
      </c>
    </row>
    <row r="4952" spans="2:6" ht="15.75" customHeight="1" x14ac:dyDescent="0.25">
      <c r="B4952" t="str">
        <v>Rubik Finance</v>
      </c>
      <c r="C4952" t="str">
        <v>Algo-Stables</v>
      </c>
      <c r="D4952" t="str">
        <v>RUBIK</v>
      </c>
      <c r="E4952">
        <v>0</v>
      </c>
      <c r="F4952">
        <v>0</v>
      </c>
    </row>
    <row r="4953" spans="2:6" ht="15.75" customHeight="1" x14ac:dyDescent="0.25">
      <c r="B4953" t="str">
        <v>RubikFarm</v>
      </c>
      <c r="C4953" t="str">
        <v>Farm</v>
      </c>
      <c r="D4953" t="str">
        <v>RUBIK</v>
      </c>
      <c r="E4953">
        <v>30.662067797715693</v>
      </c>
      <c r="F4953">
        <v>0</v>
      </c>
    </row>
    <row r="4954" spans="2:6" ht="15.75" customHeight="1" x14ac:dyDescent="0.25">
      <c r="B4954" t="str">
        <v>Ruby Finance</v>
      </c>
      <c r="C4954" t="str">
        <v>Algo-Stables</v>
      </c>
      <c r="D4954" t="str">
        <v>RUBY</v>
      </c>
      <c r="E4954">
        <v>5.3492618073297322</v>
      </c>
      <c r="F4954">
        <v>0</v>
      </c>
    </row>
    <row r="4955" spans="2:6" ht="15.75" customHeight="1" x14ac:dyDescent="0.25">
      <c r="B4955" t="str">
        <v>Ruby.Exchange Stable</v>
      </c>
      <c r="C4955" t="str">
        <v>Dexs</v>
      </c>
      <c r="D4955" t="str">
        <v>RUBY</v>
      </c>
      <c r="E4955">
        <v>6099.0353838712599</v>
      </c>
      <c r="F4955">
        <v>0</v>
      </c>
    </row>
    <row r="4956" spans="2:6" ht="15.75" customHeight="1" x14ac:dyDescent="0.25">
      <c r="B4956" t="str">
        <v>Ruby.Exchange Yield</v>
      </c>
      <c r="C4956" t="str">
        <v>Yield</v>
      </c>
      <c r="D4956" t="str">
        <v>RUBY</v>
      </c>
      <c r="E4956">
        <v>154962.65177526817</v>
      </c>
      <c r="F4956">
        <v>0</v>
      </c>
    </row>
    <row r="4957" spans="2:6" ht="15.75" customHeight="1" x14ac:dyDescent="0.25">
      <c r="B4957" t="str">
        <v>RubyDex</v>
      </c>
      <c r="C4957" t="str">
        <v>Derivatives</v>
      </c>
      <c r="D4957" t="str">
        <v>-</v>
      </c>
      <c r="E4957">
        <v>24.11720826084273</v>
      </c>
      <c r="F4957">
        <v>0</v>
      </c>
    </row>
    <row r="4958" spans="2:6" ht="15.75" customHeight="1" x14ac:dyDescent="0.25">
      <c r="B4958" t="str">
        <v>RubyScore</v>
      </c>
      <c r="C4958" t="str">
        <v>Services</v>
      </c>
      <c r="D4958" t="str">
        <v>-</v>
      </c>
      <c r="E4958">
        <v>0</v>
      </c>
      <c r="F4958">
        <v>0</v>
      </c>
    </row>
    <row r="4959" spans="2:6" ht="15.75" customHeight="1" x14ac:dyDescent="0.25">
      <c r="B4959" t="str">
        <v>Ruler</v>
      </c>
      <c r="C4959" t="str">
        <v>Lending</v>
      </c>
      <c r="D4959" t="str">
        <v>RULER</v>
      </c>
      <c r="E4959">
        <v>0</v>
      </c>
      <c r="F4959">
        <v>1391.4898831245282</v>
      </c>
    </row>
    <row r="4960" spans="2:6" ht="15.75" customHeight="1" x14ac:dyDescent="0.25">
      <c r="B4960" t="str">
        <v>Rumi Finance</v>
      </c>
      <c r="C4960" t="str">
        <v>Yield Aggregator</v>
      </c>
      <c r="D4960" t="str">
        <v>RUMI</v>
      </c>
      <c r="E4960">
        <v>0</v>
      </c>
      <c r="F4960">
        <v>0</v>
      </c>
    </row>
    <row r="4961" spans="2:6" ht="15.75" customHeight="1" x14ac:dyDescent="0.25">
      <c r="B4961" t="str">
        <v>Rumpel Labs</v>
      </c>
      <c r="C4961" t="str">
        <v>Synthetics</v>
      </c>
      <c r="D4961" t="str">
        <v>-</v>
      </c>
      <c r="E4961">
        <v>3951517.2662457</v>
      </c>
      <c r="F4961">
        <v>0</v>
      </c>
    </row>
    <row r="4962" spans="2:6" ht="15.75" customHeight="1" x14ac:dyDescent="0.25">
      <c r="B4962" t="str">
        <v>Run Money</v>
      </c>
      <c r="C4962" t="str">
        <v>Yield Lottery</v>
      </c>
      <c r="D4962" t="str">
        <v>-</v>
      </c>
      <c r="E4962">
        <v>3105.2786443922623</v>
      </c>
      <c r="F4962">
        <v>0</v>
      </c>
    </row>
    <row r="4963" spans="2:6" ht="15.75" customHeight="1" x14ac:dyDescent="0.25">
      <c r="B4963" t="str">
        <v>Ruscet</v>
      </c>
      <c r="C4963" t="str">
        <v>Derivatives</v>
      </c>
      <c r="D4963" t="str">
        <v>-</v>
      </c>
      <c r="E4963">
        <v>7509.2231521736639</v>
      </c>
      <c r="F4963">
        <v>0</v>
      </c>
    </row>
    <row r="4964" spans="2:6" ht="15.75" customHeight="1" x14ac:dyDescent="0.25">
      <c r="B4964" t="str">
        <v>Rush</v>
      </c>
      <c r="C4964" t="str">
        <v>Telegram Bot</v>
      </c>
      <c r="D4964" t="str">
        <v>-</v>
      </c>
      <c r="E4964">
        <v>0</v>
      </c>
      <c r="F4964">
        <v>0</v>
      </c>
    </row>
    <row r="4965" spans="2:6" ht="15.75" customHeight="1" x14ac:dyDescent="0.25">
      <c r="B4965" t="str">
        <v>Rysk V1</v>
      </c>
      <c r="C4965" t="str">
        <v>Options</v>
      </c>
      <c r="D4965" t="str">
        <v>-</v>
      </c>
      <c r="E4965">
        <v>198000.84749414618</v>
      </c>
      <c r="F4965">
        <v>0</v>
      </c>
    </row>
    <row r="4966" spans="2:6" ht="15.75" customHeight="1" x14ac:dyDescent="0.25">
      <c r="B4966" t="str">
        <v>Rysk V12</v>
      </c>
      <c r="C4966" t="str">
        <v>Options</v>
      </c>
      <c r="D4966" t="str">
        <v>-</v>
      </c>
      <c r="E4966">
        <v>31994892.746309381</v>
      </c>
      <c r="F4966">
        <v>0</v>
      </c>
    </row>
    <row r="4967" spans="2:6" ht="15.75" customHeight="1" x14ac:dyDescent="0.25">
      <c r="B4967" t="str">
        <v>Ryze.Fi</v>
      </c>
      <c r="C4967" t="str">
        <v>Derivatives</v>
      </c>
      <c r="D4967" t="str">
        <v>-</v>
      </c>
      <c r="E4967">
        <v>6354.4397613759566</v>
      </c>
      <c r="F4967">
        <v>0</v>
      </c>
    </row>
    <row r="4968" spans="2:6" ht="15.75" customHeight="1" x14ac:dyDescent="0.25">
      <c r="B4968" t="str">
        <v>S Finance</v>
      </c>
      <c r="C4968" t="str">
        <v>Dexs</v>
      </c>
      <c r="D4968" t="str">
        <v>SFG</v>
      </c>
      <c r="E4968">
        <v>33.975678833551378</v>
      </c>
      <c r="F4968">
        <v>0</v>
      </c>
    </row>
    <row r="4969" spans="2:6" ht="15.75" customHeight="1" x14ac:dyDescent="0.25">
      <c r="B4969" t="str">
        <v>Saber</v>
      </c>
      <c r="C4969" t="str">
        <v>Dexs</v>
      </c>
      <c r="D4969" t="str">
        <v>SBR</v>
      </c>
      <c r="E4969">
        <v>7257722.7790739257</v>
      </c>
      <c r="F4969">
        <v>1674794.5603138325</v>
      </c>
    </row>
    <row r="4970" spans="2:6" ht="15.75" customHeight="1" x14ac:dyDescent="0.25">
      <c r="B4970" t="str">
        <v>Sable Finance</v>
      </c>
      <c r="C4970" t="str">
        <v>CDP</v>
      </c>
      <c r="D4970" t="str">
        <v>SABLE</v>
      </c>
      <c r="E4970">
        <v>777088.09285678132</v>
      </c>
      <c r="F4970">
        <v>93344.672781731046</v>
      </c>
    </row>
    <row r="4971" spans="2:6" ht="15.75" customHeight="1" x14ac:dyDescent="0.25">
      <c r="B4971" t="str">
        <v>Sablier Flow</v>
      </c>
      <c r="C4971" t="str">
        <v>Payments</v>
      </c>
      <c r="D4971" t="str">
        <v>-</v>
      </c>
      <c r="E4971">
        <v>1005963.1310619204</v>
      </c>
      <c r="F4971">
        <v>0</v>
      </c>
    </row>
    <row r="4972" spans="2:6" ht="15.75" customHeight="1" x14ac:dyDescent="0.25">
      <c r="B4972" t="str">
        <v>Sablier Legacy</v>
      </c>
      <c r="C4972" t="str">
        <v>Payments</v>
      </c>
      <c r="D4972" t="str">
        <v>-</v>
      </c>
      <c r="E4972">
        <v>664994.18904028332</v>
      </c>
      <c r="F4972">
        <v>0</v>
      </c>
    </row>
    <row r="4973" spans="2:6" ht="15.75" customHeight="1" x14ac:dyDescent="0.25">
      <c r="B4973" t="str">
        <v>Sablier Lockup</v>
      </c>
      <c r="C4973" t="str">
        <v>Payments</v>
      </c>
      <c r="D4973" t="str">
        <v>-</v>
      </c>
      <c r="E4973">
        <v>5586860.6376172164</v>
      </c>
      <c r="F4973">
        <v>0</v>
      </c>
    </row>
    <row r="4974" spans="2:6" ht="15.75" customHeight="1" x14ac:dyDescent="0.25">
      <c r="B4974" t="str">
        <v>Sacra</v>
      </c>
      <c r="C4974" t="str">
        <v>Gaming</v>
      </c>
      <c r="D4974" t="str">
        <v>SACRA</v>
      </c>
      <c r="E4974">
        <v>994.89114018536281</v>
      </c>
      <c r="F4974">
        <v>0</v>
      </c>
    </row>
    <row r="4975" spans="2:6" ht="15.75" customHeight="1" x14ac:dyDescent="0.25">
      <c r="B4975" t="str">
        <v>Saddle Finance</v>
      </c>
      <c r="C4975" t="str">
        <v>Dexs</v>
      </c>
      <c r="D4975" t="str">
        <v>SDL</v>
      </c>
      <c r="E4975">
        <v>1129447.5491789323</v>
      </c>
      <c r="F4975">
        <v>63307.656597608591</v>
      </c>
    </row>
    <row r="4976" spans="2:6" ht="15.75" customHeight="1" x14ac:dyDescent="0.25">
      <c r="B4976" t="str">
        <v>Safe</v>
      </c>
      <c r="C4976" t="str">
        <v>Services</v>
      </c>
      <c r="D4976" t="str">
        <v>SAFE</v>
      </c>
      <c r="E4976">
        <v>0</v>
      </c>
      <c r="F4976">
        <v>107919220.13295069</v>
      </c>
    </row>
    <row r="4977" spans="2:6" ht="15.75" customHeight="1" x14ac:dyDescent="0.25">
      <c r="B4977" t="str">
        <v>SafeOHM</v>
      </c>
      <c r="C4977" t="str">
        <v>Reserve Currency</v>
      </c>
      <c r="D4977" t="str">
        <v>SOHM</v>
      </c>
      <c r="E4977">
        <v>0</v>
      </c>
      <c r="F4977">
        <v>0</v>
      </c>
    </row>
    <row r="4978" spans="2:6" ht="15.75" customHeight="1" x14ac:dyDescent="0.25">
      <c r="B4978" t="str">
        <v>SafeSwap</v>
      </c>
      <c r="C4978" t="str">
        <v>Dexs</v>
      </c>
      <c r="D4978" t="str">
        <v>SSGTX</v>
      </c>
      <c r="E4978">
        <v>2949.5605931155715</v>
      </c>
      <c r="F4978">
        <v>0</v>
      </c>
    </row>
    <row r="4979" spans="2:6" ht="15.75" customHeight="1" x14ac:dyDescent="0.25">
      <c r="B4979" t="str">
        <v>Saffron Finance</v>
      </c>
      <c r="C4979" t="str">
        <v>Yield</v>
      </c>
      <c r="D4979" t="str">
        <v>SFI</v>
      </c>
      <c r="E4979">
        <v>0</v>
      </c>
      <c r="F4979">
        <v>21724072.005407695</v>
      </c>
    </row>
    <row r="4980" spans="2:6" ht="15.75" customHeight="1" x14ac:dyDescent="0.25">
      <c r="B4980" t="str">
        <v>SageBet</v>
      </c>
      <c r="C4980" t="str">
        <v>Prediction Market</v>
      </c>
      <c r="D4980" t="str">
        <v>-</v>
      </c>
      <c r="E4980">
        <v>749.71177392355264</v>
      </c>
      <c r="F4980">
        <v>0</v>
      </c>
    </row>
    <row r="4981" spans="2:6" ht="15.75" customHeight="1" x14ac:dyDescent="0.25">
      <c r="B4981" t="str">
        <v>Sahara Exchange</v>
      </c>
      <c r="C4981" t="str">
        <v>Dexs</v>
      </c>
      <c r="D4981" t="str">
        <v>ANKH</v>
      </c>
      <c r="E4981">
        <v>112.31743138196593</v>
      </c>
      <c r="F4981">
        <v>0</v>
      </c>
    </row>
    <row r="4982" spans="2:6" ht="15.75" customHeight="1" x14ac:dyDescent="0.25">
      <c r="B4982" t="str">
        <v>SaharaDAO</v>
      </c>
      <c r="C4982" t="str">
        <v>Algo-Stables</v>
      </c>
      <c r="D4982" t="str">
        <v>MNG</v>
      </c>
      <c r="E4982">
        <v>37.972136277967429</v>
      </c>
      <c r="F4982">
        <v>0</v>
      </c>
    </row>
    <row r="4983" spans="2:6" ht="15.75" customHeight="1" x14ac:dyDescent="0.25">
      <c r="B4983" t="str">
        <v>SailFish Finance</v>
      </c>
      <c r="C4983" t="str">
        <v>Dexs</v>
      </c>
      <c r="D4983" t="str">
        <v>-</v>
      </c>
      <c r="E4983">
        <v>1201581.0393230687</v>
      </c>
      <c r="F4983">
        <v>0</v>
      </c>
    </row>
    <row r="4984" spans="2:6" ht="15.75" customHeight="1" x14ac:dyDescent="0.25">
      <c r="B4984" t="str">
        <v>Sailing Protocol</v>
      </c>
      <c r="C4984" t="str">
        <v>RWA</v>
      </c>
      <c r="D4984" t="str">
        <v>-</v>
      </c>
      <c r="E4984">
        <v>0</v>
      </c>
      <c r="F4984">
        <v>0</v>
      </c>
    </row>
    <row r="4985" spans="2:6" ht="15.75" customHeight="1" x14ac:dyDescent="0.25">
      <c r="B4985" t="str">
        <v>Sailor</v>
      </c>
      <c r="C4985" t="str">
        <v>Dexs</v>
      </c>
      <c r="D4985" t="str">
        <v>-</v>
      </c>
      <c r="E4985">
        <v>37217236.595144585</v>
      </c>
      <c r="F4985">
        <v>0</v>
      </c>
    </row>
    <row r="4986" spans="2:6" ht="15.75" customHeight="1" x14ac:dyDescent="0.25">
      <c r="B4986" t="str">
        <v>SaitaSwap</v>
      </c>
      <c r="C4986" t="str">
        <v>Dexs</v>
      </c>
      <c r="D4986" t="str">
        <v>STC</v>
      </c>
      <c r="E4986">
        <v>47588.610930202529</v>
      </c>
      <c r="F4986">
        <v>92312228.567557842</v>
      </c>
    </row>
    <row r="4987" spans="2:6" ht="15.75" customHeight="1" x14ac:dyDescent="0.25">
      <c r="B4987" t="str">
        <v>Sakai Vault</v>
      </c>
      <c r="C4987" t="str">
        <v>Derivatives</v>
      </c>
      <c r="D4987" t="str">
        <v>SAKAI</v>
      </c>
      <c r="E4987">
        <v>0</v>
      </c>
      <c r="F4987">
        <v>101022.96759576139</v>
      </c>
    </row>
    <row r="4988" spans="2:6" ht="15.75" customHeight="1" x14ac:dyDescent="0.25">
      <c r="B4988" t="str">
        <v>SakeFinance</v>
      </c>
      <c r="C4988" t="str">
        <v>Lending</v>
      </c>
      <c r="D4988" t="str">
        <v>SONE</v>
      </c>
      <c r="E4988">
        <v>4501107.928540214</v>
      </c>
      <c r="F4988">
        <v>480297.4590576372</v>
      </c>
    </row>
    <row r="4989" spans="2:6" ht="15.75" customHeight="1" x14ac:dyDescent="0.25">
      <c r="B4989" t="str">
        <v>SakePerp</v>
      </c>
      <c r="C4989" t="str">
        <v>Dexs</v>
      </c>
      <c r="D4989" t="str">
        <v>SAKE</v>
      </c>
      <c r="E4989">
        <v>77211.211344881041</v>
      </c>
      <c r="F4989">
        <v>72676.444109976001</v>
      </c>
    </row>
    <row r="4990" spans="2:6" ht="15.75" customHeight="1" x14ac:dyDescent="0.25">
      <c r="B4990" t="str">
        <v>SakuraSwap AMM</v>
      </c>
      <c r="C4990" t="str">
        <v>Dexs</v>
      </c>
      <c r="D4990" t="str">
        <v>-</v>
      </c>
      <c r="E4990">
        <v>4193808.5949426643</v>
      </c>
      <c r="F4990">
        <v>0</v>
      </c>
    </row>
    <row r="4991" spans="2:6" ht="15.75" customHeight="1" x14ac:dyDescent="0.25">
      <c r="B4991" t="str">
        <v>SakuraSwap CLMM</v>
      </c>
      <c r="C4991" t="str">
        <v>Dexs</v>
      </c>
      <c r="D4991" t="str">
        <v>-</v>
      </c>
      <c r="E4991">
        <v>3965553.6066511143</v>
      </c>
      <c r="F4991">
        <v>0</v>
      </c>
    </row>
    <row r="4992" spans="2:6" ht="15.75" customHeight="1" x14ac:dyDescent="0.25">
      <c r="B4992" t="str">
        <v>Salem Finance</v>
      </c>
      <c r="C4992" t="str">
        <v>Yield</v>
      </c>
      <c r="D4992" t="str">
        <v>SALEM</v>
      </c>
      <c r="E4992">
        <v>16532.981450387342</v>
      </c>
      <c r="F4992">
        <v>0</v>
      </c>
    </row>
    <row r="4993" spans="2:6" ht="15.75" customHeight="1" x14ac:dyDescent="0.25">
      <c r="B4993" t="str">
        <v>SALSA</v>
      </c>
      <c r="C4993" t="str">
        <v>Liquid Staking</v>
      </c>
      <c r="D4993" t="str">
        <v>-</v>
      </c>
      <c r="E4993">
        <v>41518.122979543048</v>
      </c>
      <c r="F4993">
        <v>0</v>
      </c>
    </row>
    <row r="4994" spans="2:6" ht="15.75" customHeight="1" x14ac:dyDescent="0.25">
      <c r="B4994" t="str">
        <v>Salsadex</v>
      </c>
      <c r="C4994" t="str">
        <v>Interface</v>
      </c>
      <c r="D4994" t="str">
        <v>-</v>
      </c>
      <c r="E4994">
        <v>0</v>
      </c>
      <c r="F4994">
        <v>0</v>
      </c>
    </row>
    <row r="4995" spans="2:6" ht="15.75" customHeight="1" x14ac:dyDescent="0.25">
      <c r="B4995" t="str">
        <v>Salty.IO</v>
      </c>
      <c r="C4995" t="str">
        <v>Dexs</v>
      </c>
      <c r="D4995" t="str">
        <v>SALT</v>
      </c>
      <c r="E4995">
        <v>633.19271047350139</v>
      </c>
      <c r="F4995">
        <v>0</v>
      </c>
    </row>
    <row r="4996" spans="2:6" ht="15.75" customHeight="1" x14ac:dyDescent="0.25">
      <c r="B4996" t="str">
        <v>Salvor</v>
      </c>
      <c r="C4996" t="str">
        <v>NFT Marketplace</v>
      </c>
      <c r="D4996" t="str">
        <v>ART</v>
      </c>
      <c r="E4996">
        <v>519157.86543809384</v>
      </c>
      <c r="F4996">
        <v>564085.36570639396</v>
      </c>
    </row>
    <row r="4997" spans="2:6" ht="15.75" customHeight="1" x14ac:dyDescent="0.25">
      <c r="B4997" t="str">
        <v>SamoDAO</v>
      </c>
      <c r="C4997" t="str">
        <v>Reserve Currency</v>
      </c>
      <c r="D4997" t="str">
        <v>samoDAO</v>
      </c>
      <c r="E4997">
        <v>282.25469780957127</v>
      </c>
      <c r="F4997">
        <v>0</v>
      </c>
    </row>
    <row r="4998" spans="2:6" ht="15.75" customHeight="1" x14ac:dyDescent="0.25">
      <c r="B4998" t="str">
        <v>Sanctuary</v>
      </c>
      <c r="C4998" t="str">
        <v>Dexs</v>
      </c>
      <c r="D4998" t="str">
        <v>-</v>
      </c>
      <c r="E4998">
        <v>918.7621486921397</v>
      </c>
      <c r="F4998">
        <v>0</v>
      </c>
    </row>
    <row r="4999" spans="2:6" ht="15.75" customHeight="1" x14ac:dyDescent="0.25">
      <c r="B4999" t="str">
        <v>Sanctum Infinity</v>
      </c>
      <c r="C4999" t="str">
        <v>Dexs</v>
      </c>
      <c r="D4999" t="str">
        <v>CLOUD</v>
      </c>
      <c r="E4999">
        <v>289899633.72152859</v>
      </c>
      <c r="F4999">
        <v>0</v>
      </c>
    </row>
    <row r="5000" spans="2:6" ht="15.75" customHeight="1" x14ac:dyDescent="0.25">
      <c r="B5000" t="str">
        <v>Sanctum Reserve</v>
      </c>
      <c r="C5000" t="str">
        <v>Yield</v>
      </c>
      <c r="D5000" t="str">
        <v>CLOUD</v>
      </c>
      <c r="E5000">
        <v>84062200.098776624</v>
      </c>
      <c r="F5000">
        <v>0</v>
      </c>
    </row>
    <row r="5001" spans="2:6" ht="15.75" customHeight="1" x14ac:dyDescent="0.25">
      <c r="B5001" t="str">
        <v>Sanctum Validator LSTs</v>
      </c>
      <c r="C5001" t="str">
        <v>Liquid Staking</v>
      </c>
      <c r="D5001" t="str">
        <v>CLOUD</v>
      </c>
      <c r="E5001">
        <v>1681283638.1567221</v>
      </c>
      <c r="F5001">
        <v>0</v>
      </c>
    </row>
    <row r="5002" spans="2:6" ht="15.75" customHeight="1" x14ac:dyDescent="0.25">
      <c r="B5002" t="str">
        <v>SandClock</v>
      </c>
      <c r="C5002" t="str">
        <v>Yield</v>
      </c>
      <c r="D5002" t="str">
        <v>QUARTZ</v>
      </c>
      <c r="E5002">
        <v>109513.05027161101</v>
      </c>
      <c r="F5002">
        <v>549404.32087380835</v>
      </c>
    </row>
    <row r="5003" spans="2:6" ht="15.75" customHeight="1" x14ac:dyDescent="0.25">
      <c r="B5003" t="str">
        <v>Sandglass</v>
      </c>
      <c r="C5003" t="str">
        <v>Yield</v>
      </c>
      <c r="D5003" t="str">
        <v>-</v>
      </c>
      <c r="E5003">
        <v>148755.1307630713</v>
      </c>
      <c r="F5003">
        <v>0</v>
      </c>
    </row>
    <row r="5004" spans="2:6" ht="15.75" customHeight="1" x14ac:dyDescent="0.25">
      <c r="B5004" t="str">
        <v>SandySwap</v>
      </c>
      <c r="C5004" t="str">
        <v>Dexs</v>
      </c>
      <c r="D5004" t="str">
        <v>-</v>
      </c>
      <c r="E5004">
        <v>750.73916273499322</v>
      </c>
      <c r="F5004">
        <v>0</v>
      </c>
    </row>
    <row r="5005" spans="2:6" ht="15.75" customHeight="1" x14ac:dyDescent="0.25">
      <c r="B5005" t="str">
        <v>Sanko Bridge</v>
      </c>
      <c r="C5005" t="str">
        <v>Canonical Bridge</v>
      </c>
      <c r="D5005" t="str">
        <v>DMT</v>
      </c>
      <c r="E5005">
        <v>2572344.1030609435</v>
      </c>
      <c r="F5005">
        <v>4444913.9206586145</v>
      </c>
    </row>
    <row r="5006" spans="2:6" ht="15.75" customHeight="1" x14ac:dyDescent="0.25">
      <c r="B5006" t="str">
        <v>Sanko GameCorp</v>
      </c>
      <c r="C5006" t="str">
        <v>SoFi</v>
      </c>
      <c r="D5006" t="str">
        <v>-</v>
      </c>
      <c r="E5006">
        <v>7490.8867200907052</v>
      </c>
      <c r="F5006">
        <v>0</v>
      </c>
    </row>
    <row r="5007" spans="2:6" ht="15.75" customHeight="1" x14ac:dyDescent="0.25">
      <c r="B5007" t="str">
        <v>Santa Browser</v>
      </c>
      <c r="C5007" t="str">
        <v>Services</v>
      </c>
      <c r="D5007" t="str">
        <v>-</v>
      </c>
      <c r="E5007">
        <v>0</v>
      </c>
      <c r="F5007">
        <v>0</v>
      </c>
    </row>
    <row r="5008" spans="2:6" ht="15.75" customHeight="1" x14ac:dyDescent="0.25">
      <c r="B5008" t="str">
        <v>Sapphire Defi</v>
      </c>
      <c r="C5008" t="str">
        <v>Yield</v>
      </c>
      <c r="D5008" t="str">
        <v>SAPPHIRE</v>
      </c>
      <c r="E5008">
        <v>524.23202455655701</v>
      </c>
      <c r="F5008">
        <v>0</v>
      </c>
    </row>
    <row r="5009" spans="2:6" ht="15.75" customHeight="1" x14ac:dyDescent="0.25">
      <c r="B5009" t="str">
        <v>Sapphire Mine</v>
      </c>
      <c r="C5009" t="str">
        <v>Yield</v>
      </c>
      <c r="D5009" t="str">
        <v>-</v>
      </c>
      <c r="E5009">
        <v>1.31510876128401</v>
      </c>
      <c r="F5009">
        <v>0</v>
      </c>
    </row>
    <row r="5010" spans="2:6" ht="15.75" customHeight="1" x14ac:dyDescent="0.25">
      <c r="B5010" t="str">
        <v>Saros AMM</v>
      </c>
      <c r="C5010" t="str">
        <v>Dexs</v>
      </c>
      <c r="D5010" t="str">
        <v>SAROS</v>
      </c>
      <c r="E5010">
        <v>407554.01388206065</v>
      </c>
      <c r="F5010">
        <v>0</v>
      </c>
    </row>
    <row r="5011" spans="2:6" ht="15.75" customHeight="1" x14ac:dyDescent="0.25">
      <c r="B5011" t="str">
        <v>Saros DLMM</v>
      </c>
      <c r="C5011" t="str">
        <v>Dexs</v>
      </c>
      <c r="D5011" t="str">
        <v>SAROS</v>
      </c>
      <c r="E5011">
        <v>244430.26266897173</v>
      </c>
      <c r="F5011">
        <v>0</v>
      </c>
    </row>
    <row r="5012" spans="2:6" ht="15.75" customHeight="1" x14ac:dyDescent="0.25">
      <c r="B5012" t="str">
        <v>Saru</v>
      </c>
      <c r="C5012" t="str">
        <v>Dexs</v>
      </c>
      <c r="D5012" t="str">
        <v>-</v>
      </c>
      <c r="E5012">
        <v>2755.4535910044528</v>
      </c>
      <c r="F5012">
        <v>0</v>
      </c>
    </row>
    <row r="5013" spans="2:6" ht="15.75" customHeight="1" x14ac:dyDescent="0.25">
      <c r="B5013" t="str">
        <v>SashimiDAO</v>
      </c>
      <c r="C5013" t="str">
        <v>Reserve Currency</v>
      </c>
      <c r="D5013" t="str">
        <v>SASHI</v>
      </c>
      <c r="E5013">
        <v>1.4429489353265359</v>
      </c>
      <c r="F5013">
        <v>0</v>
      </c>
    </row>
    <row r="5014" spans="2:6" ht="15.75" customHeight="1" x14ac:dyDescent="0.25">
      <c r="B5014" t="str">
        <v>SashimiSwap</v>
      </c>
      <c r="C5014" t="str">
        <v>Dexs</v>
      </c>
      <c r="D5014" t="str">
        <v>SASHIMI</v>
      </c>
      <c r="E5014">
        <v>20384.29972553924</v>
      </c>
      <c r="F5014">
        <v>77841.214908299982</v>
      </c>
    </row>
    <row r="5015" spans="2:6" ht="15.75" customHeight="1" x14ac:dyDescent="0.25">
      <c r="B5015" t="str">
        <v>Satin Exchange</v>
      </c>
      <c r="C5015" t="str">
        <v>Dexs</v>
      </c>
      <c r="D5015" t="str">
        <v>SATIN</v>
      </c>
      <c r="E5015">
        <v>1194.330674654864</v>
      </c>
      <c r="F5015">
        <v>0</v>
      </c>
    </row>
    <row r="5016" spans="2:6" ht="15.75" customHeight="1" x14ac:dyDescent="0.25">
      <c r="B5016" t="str">
        <v>SatLayer</v>
      </c>
      <c r="C5016" t="str">
        <v>Anchor BTC</v>
      </c>
      <c r="D5016" t="str">
        <v>SLAY</v>
      </c>
      <c r="E5016">
        <v>55007307.442209654</v>
      </c>
      <c r="F5016">
        <v>1293304.9662752117</v>
      </c>
    </row>
    <row r="5017" spans="2:6" ht="15.75" customHeight="1" x14ac:dyDescent="0.25">
      <c r="B5017" t="str">
        <v>Satori Perp</v>
      </c>
      <c r="C5017" t="str">
        <v>Derivatives</v>
      </c>
      <c r="D5017" t="str">
        <v>-</v>
      </c>
      <c r="E5017">
        <v>1498387.6555583666</v>
      </c>
      <c r="F5017">
        <v>0</v>
      </c>
    </row>
    <row r="5018" spans="2:6" ht="15.75" customHeight="1" x14ac:dyDescent="0.25">
      <c r="B5018" t="str">
        <v>Satori Spots</v>
      </c>
      <c r="C5018" t="str">
        <v>Dexs</v>
      </c>
      <c r="D5018" t="str">
        <v>-</v>
      </c>
      <c r="E5018">
        <v>3207.8430369396683</v>
      </c>
      <c r="F5018">
        <v>0</v>
      </c>
    </row>
    <row r="5019" spans="2:6" ht="15.75" customHeight="1" x14ac:dyDescent="0.25">
      <c r="B5019" t="str">
        <v>Satoshi DEX</v>
      </c>
      <c r="C5019" t="str">
        <v>Dexs</v>
      </c>
      <c r="D5019" t="str">
        <v>SATX</v>
      </c>
      <c r="E5019">
        <v>5300.7592931334793</v>
      </c>
      <c r="F5019">
        <v>64430.16353375261</v>
      </c>
    </row>
    <row r="5020" spans="2:6" ht="15.75" customHeight="1" x14ac:dyDescent="0.25">
      <c r="B5020" t="str">
        <v>Satoshi Finance</v>
      </c>
      <c r="C5020" t="str">
        <v>CDP</v>
      </c>
      <c r="D5020" t="str">
        <v>SATO</v>
      </c>
      <c r="E5020">
        <v>241.72881870826146</v>
      </c>
      <c r="F5020">
        <v>0</v>
      </c>
    </row>
    <row r="5021" spans="2:6" ht="15.75" customHeight="1" x14ac:dyDescent="0.25">
      <c r="B5021" t="str">
        <v>SATOSHI PERPS</v>
      </c>
      <c r="C5021" t="str">
        <v>Derivatives</v>
      </c>
      <c r="D5021" t="str">
        <v>-</v>
      </c>
      <c r="E5021">
        <v>7439.6404432811396</v>
      </c>
      <c r="F5021">
        <v>0</v>
      </c>
    </row>
    <row r="5022" spans="2:6" ht="15.75" customHeight="1" x14ac:dyDescent="0.25">
      <c r="B5022" t="str">
        <v>SatoshiCoreSwap</v>
      </c>
      <c r="C5022" t="str">
        <v>Dexs</v>
      </c>
      <c r="D5022" t="str">
        <v>SATCORE</v>
      </c>
      <c r="E5022">
        <v>348782.02179438306</v>
      </c>
      <c r="F5022">
        <v>0</v>
      </c>
    </row>
    <row r="5023" spans="2:6" ht="15.75" customHeight="1" x14ac:dyDescent="0.25">
      <c r="B5023" t="str">
        <v>Satsat</v>
      </c>
      <c r="C5023" t="str">
        <v>Farm</v>
      </c>
      <c r="D5023" t="str">
        <v>STST</v>
      </c>
      <c r="E5023">
        <v>729.95250637177321</v>
      </c>
      <c r="F5023">
        <v>0</v>
      </c>
    </row>
    <row r="5024" spans="2:6" ht="15.75" customHeight="1" x14ac:dyDescent="0.25">
      <c r="B5024" t="str">
        <v>Saturn Swap</v>
      </c>
      <c r="C5024" t="str">
        <v>Dexs</v>
      </c>
      <c r="D5024" t="str">
        <v>SATURN</v>
      </c>
      <c r="E5024">
        <v>70185.114586673531</v>
      </c>
      <c r="F5024">
        <v>0</v>
      </c>
    </row>
    <row r="5025" spans="2:6" ht="15.75" customHeight="1" x14ac:dyDescent="0.25">
      <c r="B5025" t="str">
        <v>SaucerSwap V1</v>
      </c>
      <c r="C5025" t="str">
        <v>Dexs</v>
      </c>
      <c r="D5025" t="str">
        <v>SAUCE</v>
      </c>
      <c r="E5025">
        <v>18224006.869563423</v>
      </c>
      <c r="F5025">
        <v>0</v>
      </c>
    </row>
    <row r="5026" spans="2:6" ht="15.75" customHeight="1" x14ac:dyDescent="0.25">
      <c r="B5026" t="str">
        <v>SaucerSwap V2</v>
      </c>
      <c r="C5026" t="str">
        <v>Dexs</v>
      </c>
      <c r="D5026" t="str">
        <v>SAUCE</v>
      </c>
      <c r="E5026">
        <v>29004750.989243492</v>
      </c>
      <c r="F5026">
        <v>0</v>
      </c>
    </row>
    <row r="5027" spans="2:6" ht="15.75" customHeight="1" x14ac:dyDescent="0.25">
      <c r="B5027" t="str">
        <v>Savanna Finance</v>
      </c>
      <c r="C5027" t="str">
        <v>Algo-Stables</v>
      </c>
      <c r="D5027" t="str">
        <v>SVN</v>
      </c>
      <c r="E5027">
        <v>1184.0209094177517</v>
      </c>
      <c r="F5027">
        <v>3269.6281769123102</v>
      </c>
    </row>
    <row r="5028" spans="2:6" ht="15.75" customHeight="1" x14ac:dyDescent="0.25">
      <c r="B5028" t="str">
        <v>Save</v>
      </c>
      <c r="C5028" t="str">
        <v>Lending</v>
      </c>
      <c r="D5028" t="str">
        <v>SAVE</v>
      </c>
      <c r="E5028">
        <v>137989234.3647542</v>
      </c>
      <c r="F5028">
        <v>0</v>
      </c>
    </row>
    <row r="5029" spans="2:6" ht="15.75" customHeight="1" x14ac:dyDescent="0.25">
      <c r="B5029" t="str">
        <v>Save SOL</v>
      </c>
      <c r="C5029" t="str">
        <v>Liquid Staking</v>
      </c>
      <c r="D5029" t="str">
        <v>SAVE</v>
      </c>
      <c r="E5029">
        <v>8293357.915572416</v>
      </c>
      <c r="F5029">
        <v>0</v>
      </c>
    </row>
    <row r="5030" spans="2:6" ht="15.75" customHeight="1" x14ac:dyDescent="0.25">
      <c r="B5030" t="str">
        <v>SavmDEX</v>
      </c>
      <c r="C5030" t="str">
        <v>Dexs</v>
      </c>
      <c r="D5030" t="str">
        <v>SAD</v>
      </c>
      <c r="E5030">
        <v>20104.094326254475</v>
      </c>
      <c r="F5030">
        <v>0</v>
      </c>
    </row>
    <row r="5031" spans="2:6" ht="15.75" customHeight="1" x14ac:dyDescent="0.25">
      <c r="B5031" t="str">
        <v>savmSwap</v>
      </c>
      <c r="C5031" t="str">
        <v>Dexs</v>
      </c>
      <c r="D5031" t="str">
        <v>-</v>
      </c>
      <c r="E5031">
        <v>621411.62414436438</v>
      </c>
      <c r="F5031">
        <v>0</v>
      </c>
    </row>
    <row r="5032" spans="2:6" ht="15.75" customHeight="1" x14ac:dyDescent="0.25">
      <c r="B5032" t="str">
        <v>Savvy</v>
      </c>
      <c r="C5032" t="str">
        <v>CDP</v>
      </c>
      <c r="D5032" t="str">
        <v>SVY</v>
      </c>
      <c r="E5032">
        <v>184250.532402424</v>
      </c>
      <c r="F5032">
        <v>1790145.4952817482</v>
      </c>
    </row>
    <row r="5033" spans="2:6" ht="15.75" customHeight="1" x14ac:dyDescent="0.25">
      <c r="B5033" t="str">
        <v>Sboom</v>
      </c>
      <c r="C5033" t="str">
        <v>Dexs</v>
      </c>
      <c r="D5033" t="str">
        <v>-</v>
      </c>
      <c r="E5033">
        <v>6539.2109730252978</v>
      </c>
      <c r="F5033">
        <v>0</v>
      </c>
    </row>
    <row r="5034" spans="2:6" ht="15.75" customHeight="1" x14ac:dyDescent="0.25">
      <c r="B5034" t="str">
        <v>Scale</v>
      </c>
      <c r="C5034" t="str">
        <v>Dexs</v>
      </c>
      <c r="D5034" t="str">
        <v>SCALE</v>
      </c>
      <c r="E5034">
        <v>332152.93563251814</v>
      </c>
      <c r="F5034">
        <v>0</v>
      </c>
    </row>
    <row r="5035" spans="2:6" ht="15.75" customHeight="1" x14ac:dyDescent="0.25">
      <c r="B5035" t="str">
        <v>Scallop Aggregator</v>
      </c>
      <c r="C5035" t="str">
        <v>DEX Aggregator</v>
      </c>
      <c r="D5035" t="str">
        <v>SCA</v>
      </c>
      <c r="E5035">
        <v>0</v>
      </c>
      <c r="F5035">
        <v>0</v>
      </c>
    </row>
    <row r="5036" spans="2:6" ht="15.75" customHeight="1" x14ac:dyDescent="0.25">
      <c r="B5036" t="str">
        <v>Scallop Lend</v>
      </c>
      <c r="C5036" t="str">
        <v>Lending</v>
      </c>
      <c r="D5036" t="str">
        <v>SCA</v>
      </c>
      <c r="E5036">
        <v>40017257.436535329</v>
      </c>
      <c r="F5036">
        <v>0</v>
      </c>
    </row>
    <row r="5037" spans="2:6" ht="15.75" customHeight="1" x14ac:dyDescent="0.25">
      <c r="B5037" t="str">
        <v>Scallop Pool</v>
      </c>
      <c r="C5037" t="str">
        <v>Yield</v>
      </c>
      <c r="D5037" t="str">
        <v>SCA</v>
      </c>
      <c r="E5037">
        <v>17902.204638447285</v>
      </c>
      <c r="F5037">
        <v>0</v>
      </c>
    </row>
    <row r="5038" spans="2:6" ht="15.75" customHeight="1" x14ac:dyDescent="0.25">
      <c r="B5038" t="str">
        <v>sCANTO</v>
      </c>
      <c r="C5038" t="str">
        <v>Liquid Staking</v>
      </c>
      <c r="D5038" t="str">
        <v>-</v>
      </c>
      <c r="E5038">
        <v>2485.9380522396732</v>
      </c>
      <c r="F5038">
        <v>0</v>
      </c>
    </row>
    <row r="5039" spans="2:6" ht="15.75" customHeight="1" x14ac:dyDescent="0.25">
      <c r="B5039" t="str">
        <v>Scarab Finance</v>
      </c>
      <c r="C5039" t="str">
        <v>Algo-Stables</v>
      </c>
      <c r="D5039" t="str">
        <v>SCARAB</v>
      </c>
      <c r="E5039">
        <v>0</v>
      </c>
      <c r="F5039">
        <v>0</v>
      </c>
    </row>
    <row r="5040" spans="2:6" ht="15.75" customHeight="1" x14ac:dyDescent="0.25">
      <c r="B5040" t="str">
        <v>ScareCrow Finance</v>
      </c>
      <c r="C5040" t="str">
        <v>Yield</v>
      </c>
      <c r="D5040" t="str">
        <v>SCARE</v>
      </c>
      <c r="E5040">
        <v>314.24902839836676</v>
      </c>
      <c r="F5040">
        <v>0</v>
      </c>
    </row>
    <row r="5041" spans="2:6" ht="15.75" customHeight="1" x14ac:dyDescent="0.25">
      <c r="B5041" t="str">
        <v>ScarySwap</v>
      </c>
      <c r="C5041" t="str">
        <v>Dexs</v>
      </c>
      <c r="D5041" t="str">
        <v>PUMPKIN</v>
      </c>
      <c r="E5041">
        <v>606.12993280065598</v>
      </c>
      <c r="F5041">
        <v>0</v>
      </c>
    </row>
    <row r="5042" spans="2:6" ht="15.75" customHeight="1" x14ac:dyDescent="0.25">
      <c r="B5042" t="str">
        <v>Scatter</v>
      </c>
      <c r="C5042" t="str">
        <v>NFT Marketplace</v>
      </c>
      <c r="D5042" t="str">
        <v>-</v>
      </c>
      <c r="E5042">
        <v>0</v>
      </c>
      <c r="F5042">
        <v>0</v>
      </c>
    </row>
    <row r="5043" spans="2:6" ht="15.75" customHeight="1" x14ac:dyDescent="0.25">
      <c r="B5043" t="str">
        <v>Sceptre Liquid</v>
      </c>
      <c r="C5043" t="str">
        <v>Liquid Staking</v>
      </c>
      <c r="D5043" t="str">
        <v>-</v>
      </c>
      <c r="E5043">
        <v>24517549.72927985</v>
      </c>
      <c r="F5043">
        <v>0</v>
      </c>
    </row>
    <row r="5044" spans="2:6" ht="15.75" customHeight="1" x14ac:dyDescent="0.25">
      <c r="B5044" t="str">
        <v>Scientix</v>
      </c>
      <c r="C5044" t="str">
        <v>Synthetics</v>
      </c>
      <c r="D5044" t="str">
        <v>SCIX</v>
      </c>
      <c r="E5044">
        <v>369838.06922286132</v>
      </c>
      <c r="F5044">
        <v>0</v>
      </c>
    </row>
    <row r="5045" spans="2:6" ht="15.75" customHeight="1" x14ac:dyDescent="0.25">
      <c r="B5045" t="str">
        <v>Scion Finance</v>
      </c>
      <c r="C5045" t="str">
        <v>Yield Aggregator</v>
      </c>
      <c r="D5045" t="str">
        <v>-</v>
      </c>
      <c r="E5045">
        <v>1596.6336165259911</v>
      </c>
      <c r="F5045">
        <v>0</v>
      </c>
    </row>
    <row r="5046" spans="2:6" ht="15.75" customHeight="1" x14ac:dyDescent="0.25">
      <c r="B5046" t="str">
        <v>scoop</v>
      </c>
      <c r="C5046" t="str">
        <v>SoFi</v>
      </c>
      <c r="D5046" t="str">
        <v>-</v>
      </c>
      <c r="E5046">
        <v>23710.072746664195</v>
      </c>
      <c r="F5046">
        <v>0</v>
      </c>
    </row>
    <row r="5047" spans="2:6" ht="15.75" customHeight="1" x14ac:dyDescent="0.25">
      <c r="B5047" t="str">
        <v>Scopuly</v>
      </c>
      <c r="C5047" t="str">
        <v>Dexs</v>
      </c>
      <c r="D5047" t="str">
        <v>SCOP</v>
      </c>
      <c r="E5047">
        <v>1406375.5418193999</v>
      </c>
      <c r="F5047">
        <v>0</v>
      </c>
    </row>
    <row r="5048" spans="2:6" ht="15.75" customHeight="1" x14ac:dyDescent="0.25">
      <c r="B5048" t="str">
        <v>ScorePlay.xyz</v>
      </c>
      <c r="C5048" t="str">
        <v>Prediction Market</v>
      </c>
      <c r="D5048" t="str">
        <v>-</v>
      </c>
      <c r="E5048">
        <v>3062.6234236994214</v>
      </c>
      <c r="F5048">
        <v>0</v>
      </c>
    </row>
    <row r="5049" spans="2:6" ht="15.75" customHeight="1" x14ac:dyDescent="0.25">
      <c r="B5049" t="str">
        <v>Scranton Finance</v>
      </c>
      <c r="C5049" t="str">
        <v>Yield</v>
      </c>
      <c r="D5049" t="str">
        <v>PAPER</v>
      </c>
      <c r="E5049">
        <v>1.0231327434059374</v>
      </c>
      <c r="F5049">
        <v>0</v>
      </c>
    </row>
    <row r="5050" spans="2:6" ht="15.75" customHeight="1" x14ac:dyDescent="0.25">
      <c r="B5050" t="str">
        <v>Scream</v>
      </c>
      <c r="C5050" t="str">
        <v>Lending</v>
      </c>
      <c r="D5050" t="str">
        <v>SCREAM</v>
      </c>
      <c r="E5050">
        <v>1288676.9123830262</v>
      </c>
      <c r="F5050">
        <v>0</v>
      </c>
    </row>
    <row r="5051" spans="2:6" ht="15.75" customHeight="1" x14ac:dyDescent="0.25">
      <c r="B5051" t="str">
        <v>Scribe V4</v>
      </c>
      <c r="C5051" t="str">
        <v>Dexs</v>
      </c>
      <c r="D5051" t="str">
        <v>-</v>
      </c>
      <c r="E5051">
        <v>4205.3386702638873</v>
      </c>
      <c r="F5051">
        <v>0</v>
      </c>
    </row>
    <row r="5052" spans="2:6" ht="15.75" customHeight="1" x14ac:dyDescent="0.25">
      <c r="B5052" t="str">
        <v>Scribeswap</v>
      </c>
      <c r="C5052" t="str">
        <v>Dexs</v>
      </c>
      <c r="D5052" t="str">
        <v>Scribe</v>
      </c>
      <c r="E5052">
        <v>8.3801694123239651E-2</v>
      </c>
      <c r="F5052">
        <v>0</v>
      </c>
    </row>
    <row r="5053" spans="2:6" ht="15.75" customHeight="1" x14ac:dyDescent="0.25">
      <c r="B5053" t="str">
        <v>Scroll Bridge</v>
      </c>
      <c r="C5053" t="str">
        <v>Canonical Bridge</v>
      </c>
      <c r="D5053" t="str">
        <v>-</v>
      </c>
      <c r="E5053">
        <v>88344572.143424749</v>
      </c>
      <c r="F5053">
        <v>0</v>
      </c>
    </row>
    <row r="5054" spans="2:6" ht="15.75" customHeight="1" x14ac:dyDescent="0.25">
      <c r="B5054" t="str">
        <v>Scroll Swap</v>
      </c>
      <c r="C5054" t="str">
        <v>Dexs</v>
      </c>
      <c r="D5054" t="str">
        <v>-</v>
      </c>
      <c r="E5054">
        <v>9297.7599995885066</v>
      </c>
      <c r="F5054">
        <v>0</v>
      </c>
    </row>
    <row r="5055" spans="2:6" ht="15.75" customHeight="1" x14ac:dyDescent="0.25">
      <c r="B5055" t="str">
        <v>Scrollswap Finance</v>
      </c>
      <c r="C5055" t="str">
        <v>Dexs</v>
      </c>
      <c r="D5055" t="str">
        <v>SF</v>
      </c>
      <c r="E5055">
        <v>521.12739661309251</v>
      </c>
      <c r="F5055">
        <v>0</v>
      </c>
    </row>
    <row r="5056" spans="2:6" ht="15.75" customHeight="1" x14ac:dyDescent="0.25">
      <c r="B5056" t="str">
        <v>Scrub</v>
      </c>
      <c r="C5056" t="str">
        <v>Algo-Stables</v>
      </c>
      <c r="D5056" t="str">
        <v>LION</v>
      </c>
      <c r="E5056">
        <v>0</v>
      </c>
      <c r="F5056">
        <v>0</v>
      </c>
    </row>
    <row r="5057" spans="2:6" ht="15.75" customHeight="1" x14ac:dyDescent="0.25">
      <c r="B5057" t="str">
        <v>Scrub Invest</v>
      </c>
      <c r="C5057" t="str">
        <v>Yield</v>
      </c>
      <c r="D5057" t="str">
        <v>-</v>
      </c>
      <c r="E5057">
        <v>6848859.4400870595</v>
      </c>
      <c r="F5057">
        <v>0</v>
      </c>
    </row>
    <row r="5058" spans="2:6" ht="15.75" customHeight="1" x14ac:dyDescent="0.25">
      <c r="B5058" t="str">
        <v>Sculptor Finance</v>
      </c>
      <c r="C5058" t="str">
        <v>Lending</v>
      </c>
      <c r="D5058" t="str">
        <v>SCULPT</v>
      </c>
      <c r="E5058">
        <v>4871.2091343290613</v>
      </c>
      <c r="F5058">
        <v>0</v>
      </c>
    </row>
    <row r="5059" spans="2:6" ht="15.75" customHeight="1" x14ac:dyDescent="0.25">
      <c r="B5059" t="str">
        <v>sDAI</v>
      </c>
      <c r="C5059" t="str">
        <v>Yield</v>
      </c>
      <c r="D5059" t="str">
        <v>sDAI</v>
      </c>
      <c r="E5059">
        <v>96521025.896776676</v>
      </c>
      <c r="F5059">
        <v>96538346.41303277</v>
      </c>
    </row>
    <row r="5060" spans="2:6" ht="15.75" customHeight="1" x14ac:dyDescent="0.25">
      <c r="B5060" t="str">
        <v>Sdex</v>
      </c>
      <c r="C5060" t="str">
        <v>Dexs</v>
      </c>
      <c r="D5060" t="str">
        <v>-</v>
      </c>
      <c r="E5060">
        <v>0</v>
      </c>
      <c r="F5060">
        <v>0</v>
      </c>
    </row>
    <row r="5061" spans="2:6" ht="15.75" customHeight="1" x14ac:dyDescent="0.25">
      <c r="B5061" t="str">
        <v>SeaDex</v>
      </c>
      <c r="C5061" t="str">
        <v>Dexs</v>
      </c>
      <c r="D5061" t="str">
        <v>CWS</v>
      </c>
      <c r="E5061">
        <v>1548.1837506395195</v>
      </c>
      <c r="F5061">
        <v>410621.80355645739</v>
      </c>
    </row>
    <row r="5062" spans="2:6" ht="15.75" customHeight="1" x14ac:dyDescent="0.25">
      <c r="B5062" t="str">
        <v>SeaFi</v>
      </c>
      <c r="C5062" t="str">
        <v>Yield</v>
      </c>
      <c r="D5062" t="str">
        <v>-</v>
      </c>
      <c r="E5062">
        <v>514468.41938699607</v>
      </c>
      <c r="F5062">
        <v>0</v>
      </c>
    </row>
    <row r="5063" spans="2:6" ht="15.75" customHeight="1" x14ac:dyDescent="0.25">
      <c r="B5063" t="str">
        <v>SeaLightSwap</v>
      </c>
      <c r="C5063" t="str">
        <v>Dexs</v>
      </c>
      <c r="D5063" t="str">
        <v>SEAS</v>
      </c>
      <c r="E5063">
        <v>39.464981174402993</v>
      </c>
      <c r="F5063">
        <v>0</v>
      </c>
    </row>
    <row r="5064" spans="2:6" ht="15.75" customHeight="1" x14ac:dyDescent="0.25">
      <c r="B5064" t="str">
        <v>Seamless V1</v>
      </c>
      <c r="C5064" t="str">
        <v>Lending</v>
      </c>
      <c r="D5064" t="str">
        <v>SEAM</v>
      </c>
      <c r="E5064">
        <v>2038396.9691563693</v>
      </c>
      <c r="F5064">
        <v>0</v>
      </c>
    </row>
    <row r="5065" spans="2:6" ht="15.75" customHeight="1" x14ac:dyDescent="0.25">
      <c r="B5065" t="str">
        <v>Seamless V2</v>
      </c>
      <c r="C5065" t="str">
        <v>Lending</v>
      </c>
      <c r="D5065" t="str">
        <v>SEAM</v>
      </c>
      <c r="E5065">
        <v>107073779.78780301</v>
      </c>
      <c r="F5065">
        <v>0</v>
      </c>
    </row>
    <row r="5066" spans="2:6" ht="15.75" customHeight="1" x14ac:dyDescent="0.25">
      <c r="B5066" t="str">
        <v>Seamless Vaults</v>
      </c>
      <c r="C5066" t="str">
        <v>Onchain Capital Allocator</v>
      </c>
      <c r="D5066" t="str">
        <v>SEAM</v>
      </c>
      <c r="E5066">
        <v>46185763.402196981</v>
      </c>
      <c r="F5066">
        <v>0</v>
      </c>
    </row>
    <row r="5067" spans="2:6" ht="15.75" customHeight="1" x14ac:dyDescent="0.25">
      <c r="B5067" t="str">
        <v>Seashell</v>
      </c>
      <c r="C5067" t="str">
        <v>Yield</v>
      </c>
      <c r="D5067" t="str">
        <v>-</v>
      </c>
      <c r="E5067">
        <v>0</v>
      </c>
      <c r="F5067">
        <v>0</v>
      </c>
    </row>
    <row r="5068" spans="2:6" ht="15.75" customHeight="1" x14ac:dyDescent="0.25">
      <c r="B5068" t="str">
        <v>SeaSwap</v>
      </c>
      <c r="C5068" t="str">
        <v>Dexs</v>
      </c>
      <c r="D5068" t="str">
        <v>-</v>
      </c>
      <c r="E5068">
        <v>630.43809741457858</v>
      </c>
      <c r="F5068">
        <v>0</v>
      </c>
    </row>
    <row r="5069" spans="2:6" ht="15.75" customHeight="1" x14ac:dyDescent="0.25">
      <c r="B5069" t="str">
        <v>SecretSwap</v>
      </c>
      <c r="C5069" t="str">
        <v>Dexs</v>
      </c>
      <c r="D5069" t="str">
        <v>SEFI</v>
      </c>
      <c r="E5069">
        <v>411328.51778839109</v>
      </c>
      <c r="F5069">
        <v>637518.83537809353</v>
      </c>
    </row>
    <row r="5070" spans="2:6" ht="15.75" customHeight="1" x14ac:dyDescent="0.25">
      <c r="B5070" t="str">
        <v>Secta Finance V2</v>
      </c>
      <c r="C5070" t="str">
        <v>Dexs</v>
      </c>
      <c r="D5070" t="str">
        <v>-</v>
      </c>
      <c r="E5070">
        <v>37121.350872926087</v>
      </c>
      <c r="F5070">
        <v>0</v>
      </c>
    </row>
    <row r="5071" spans="2:6" ht="15.75" customHeight="1" x14ac:dyDescent="0.25">
      <c r="B5071" t="str">
        <v>Secta Finance V3</v>
      </c>
      <c r="C5071" t="str">
        <v>Dexs</v>
      </c>
      <c r="D5071" t="str">
        <v>-</v>
      </c>
      <c r="E5071">
        <v>12613.660573393834</v>
      </c>
      <c r="F5071">
        <v>0</v>
      </c>
    </row>
    <row r="5072" spans="2:6" ht="15.75" customHeight="1" x14ac:dyDescent="0.25">
      <c r="B5072" t="str">
        <v>Sector Finance</v>
      </c>
      <c r="C5072" t="str">
        <v>Yield</v>
      </c>
      <c r="D5072" t="str">
        <v>-</v>
      </c>
      <c r="E5072">
        <v>85114.242721706032</v>
      </c>
      <c r="F5072">
        <v>0</v>
      </c>
    </row>
    <row r="5073" spans="2:6" ht="15.75" customHeight="1" x14ac:dyDescent="0.25">
      <c r="B5073" t="str">
        <v>Secured Finance Lending</v>
      </c>
      <c r="C5073" t="str">
        <v>Lending</v>
      </c>
      <c r="D5073" t="str">
        <v>-</v>
      </c>
      <c r="E5073">
        <v>549763.43633966404</v>
      </c>
      <c r="F5073">
        <v>0</v>
      </c>
    </row>
    <row r="5074" spans="2:6" ht="15.75" customHeight="1" x14ac:dyDescent="0.25">
      <c r="B5074" t="str">
        <v>SecureDAO</v>
      </c>
      <c r="C5074" t="str">
        <v>Reserve Currency</v>
      </c>
      <c r="D5074" t="str">
        <v>SCR</v>
      </c>
      <c r="E5074">
        <v>0</v>
      </c>
      <c r="F5074">
        <v>0</v>
      </c>
    </row>
    <row r="5075" spans="2:6" ht="15.75" customHeight="1" x14ac:dyDescent="0.25">
      <c r="B5075" t="str">
        <v>Securitize Tokenized AAA CLO Fund</v>
      </c>
      <c r="C5075" t="str">
        <v>RWA</v>
      </c>
      <c r="D5075" t="str">
        <v>-</v>
      </c>
      <c r="E5075">
        <v>106396810.82158779</v>
      </c>
      <c r="F5075">
        <v>0</v>
      </c>
    </row>
    <row r="5076" spans="2:6" ht="15.75" customHeight="1" x14ac:dyDescent="0.25">
      <c r="B5076" t="str">
        <v>Securo Finance</v>
      </c>
      <c r="C5076" t="str">
        <v>Indexes</v>
      </c>
      <c r="D5076" t="str">
        <v>-</v>
      </c>
      <c r="E5076">
        <v>44</v>
      </c>
      <c r="F5076">
        <v>0</v>
      </c>
    </row>
    <row r="5077" spans="2:6" ht="15.75" customHeight="1" x14ac:dyDescent="0.25">
      <c r="B5077" t="str">
        <v>sedge</v>
      </c>
      <c r="C5077" t="str">
        <v>Dexs</v>
      </c>
      <c r="D5077" t="str">
        <v>-</v>
      </c>
      <c r="E5077">
        <v>65.075163822733003</v>
      </c>
      <c r="F5077">
        <v>0</v>
      </c>
    </row>
    <row r="5078" spans="2:6" ht="15.75" customHeight="1" x14ac:dyDescent="0.25">
      <c r="B5078" t="str">
        <v>Seeder Finance</v>
      </c>
      <c r="C5078" t="str">
        <v>Yield</v>
      </c>
      <c r="D5078" t="str">
        <v>LEAF</v>
      </c>
      <c r="E5078">
        <v>4566.1896163417232</v>
      </c>
      <c r="F5078">
        <v>0</v>
      </c>
    </row>
    <row r="5079" spans="2:6" ht="15.75" customHeight="1" x14ac:dyDescent="0.25">
      <c r="B5079" t="str">
        <v>SeedFi AMM</v>
      </c>
      <c r="C5079" t="str">
        <v>Dexs</v>
      </c>
      <c r="D5079" t="str">
        <v>-</v>
      </c>
      <c r="E5079">
        <v>12354.015703373339</v>
      </c>
      <c r="F5079">
        <v>0</v>
      </c>
    </row>
    <row r="5080" spans="2:6" ht="15.75" customHeight="1" x14ac:dyDescent="0.25">
      <c r="B5080" t="str">
        <v>SeedFi Perp</v>
      </c>
      <c r="C5080" t="str">
        <v>Derivatives</v>
      </c>
      <c r="D5080" t="str">
        <v>-</v>
      </c>
      <c r="E5080">
        <v>2685.3554667980338</v>
      </c>
      <c r="F5080">
        <v>0</v>
      </c>
    </row>
    <row r="5081" spans="2:6" ht="15.75" customHeight="1" x14ac:dyDescent="0.25">
      <c r="B5081" t="str">
        <v>Seedify</v>
      </c>
      <c r="C5081" t="str">
        <v>Launchpad</v>
      </c>
      <c r="D5081" t="str">
        <v>SFUND</v>
      </c>
      <c r="E5081">
        <v>0</v>
      </c>
      <c r="F5081">
        <v>7687694.4113840424</v>
      </c>
    </row>
    <row r="5082" spans="2:6" ht="15.75" customHeight="1" x14ac:dyDescent="0.25">
      <c r="B5082" t="str">
        <v>Seer</v>
      </c>
      <c r="C5082" t="str">
        <v>Prediction Market</v>
      </c>
      <c r="D5082" t="str">
        <v>-</v>
      </c>
      <c r="E5082">
        <v>1361154.8998722229</v>
      </c>
      <c r="F5082">
        <v>0</v>
      </c>
    </row>
    <row r="5083" spans="2:6" ht="15.75" customHeight="1" x14ac:dyDescent="0.25">
      <c r="B5083" t="str">
        <v>Sega Swap</v>
      </c>
      <c r="C5083" t="str">
        <v>Dexs</v>
      </c>
      <c r="D5083" t="str">
        <v>-</v>
      </c>
      <c r="E5083">
        <v>3887.3603589303625</v>
      </c>
      <c r="F5083">
        <v>0</v>
      </c>
    </row>
    <row r="5084" spans="2:6" ht="15.75" customHeight="1" x14ac:dyDescent="0.25">
      <c r="B5084" t="str">
        <v>Segment Finance</v>
      </c>
      <c r="C5084" t="str">
        <v>Lending</v>
      </c>
      <c r="D5084" t="str">
        <v>SEF</v>
      </c>
      <c r="E5084">
        <v>746603.77091220778</v>
      </c>
      <c r="F5084">
        <v>0</v>
      </c>
    </row>
    <row r="5085" spans="2:6" ht="15.75" customHeight="1" x14ac:dyDescent="0.25">
      <c r="B5085" t="str">
        <v>Seismic</v>
      </c>
      <c r="C5085" t="str">
        <v>Lending</v>
      </c>
      <c r="D5085" t="str">
        <v>-</v>
      </c>
      <c r="E5085">
        <v>5122.0083752178089</v>
      </c>
      <c r="F5085">
        <v>0</v>
      </c>
    </row>
    <row r="5086" spans="2:6" ht="15.75" customHeight="1" x14ac:dyDescent="0.25">
      <c r="B5086" t="str">
        <v>seiyan fun</v>
      </c>
      <c r="C5086" t="str">
        <v>Launchpad</v>
      </c>
      <c r="D5086" t="str">
        <v>-</v>
      </c>
      <c r="E5086">
        <v>0</v>
      </c>
      <c r="F5086">
        <v>0</v>
      </c>
    </row>
    <row r="5087" spans="2:6" ht="15.75" customHeight="1" x14ac:dyDescent="0.25">
      <c r="B5087" t="str">
        <v>Selfex</v>
      </c>
      <c r="C5087" t="str">
        <v>Dexs</v>
      </c>
      <c r="D5087" t="str">
        <v>-</v>
      </c>
      <c r="E5087">
        <v>6.6864162620464989E-10</v>
      </c>
      <c r="F5087">
        <v>0</v>
      </c>
    </row>
    <row r="5088" spans="2:6" ht="15.75" customHeight="1" x14ac:dyDescent="0.25">
      <c r="B5088" t="str">
        <v>Sendit</v>
      </c>
      <c r="C5088" t="str">
        <v>Lending</v>
      </c>
      <c r="D5088" t="str">
        <v>-</v>
      </c>
      <c r="E5088">
        <v>1320888.0393260238</v>
      </c>
      <c r="F5088">
        <v>0</v>
      </c>
    </row>
    <row r="5089" spans="2:6" ht="15.75" customHeight="1" x14ac:dyDescent="0.25">
      <c r="B5089" t="str">
        <v>Sendshot</v>
      </c>
      <c r="C5089" t="str">
        <v>Launchpad</v>
      </c>
      <c r="D5089" t="str">
        <v>SEND</v>
      </c>
      <c r="E5089">
        <v>0</v>
      </c>
      <c r="F5089">
        <v>2685214.3556929603</v>
      </c>
    </row>
    <row r="5090" spans="2:6" ht="15.75" customHeight="1" x14ac:dyDescent="0.25">
      <c r="B5090" t="str">
        <v>Seneca</v>
      </c>
      <c r="C5090" t="str">
        <v>CDP</v>
      </c>
      <c r="D5090" t="str">
        <v>-</v>
      </c>
      <c r="E5090">
        <v>22150.716210177994</v>
      </c>
      <c r="F5090">
        <v>0</v>
      </c>
    </row>
    <row r="5091" spans="2:6" ht="15.75" customHeight="1" x14ac:dyDescent="0.25">
      <c r="B5091" t="str">
        <v>SenpaiSwap</v>
      </c>
      <c r="C5091" t="str">
        <v>Reserve Currency</v>
      </c>
      <c r="D5091" t="str">
        <v>-</v>
      </c>
      <c r="E5091">
        <v>381.33577973853255</v>
      </c>
      <c r="F5091">
        <v>0</v>
      </c>
    </row>
    <row r="5092" spans="2:6" ht="15.75" customHeight="1" x14ac:dyDescent="0.25">
      <c r="B5092" t="str">
        <v>Sensay</v>
      </c>
      <c r="C5092" t="str">
        <v>Farm</v>
      </c>
      <c r="D5092" t="str">
        <v>SNSY</v>
      </c>
      <c r="E5092">
        <v>0</v>
      </c>
      <c r="F5092">
        <v>2312478.1181052718</v>
      </c>
    </row>
    <row r="5093" spans="2:6" ht="15.75" customHeight="1" x14ac:dyDescent="0.25">
      <c r="B5093" t="str">
        <v>Sense</v>
      </c>
      <c r="C5093" t="str">
        <v>Yield</v>
      </c>
      <c r="D5093" t="str">
        <v>-</v>
      </c>
      <c r="E5093">
        <v>35805.212783886302</v>
      </c>
      <c r="F5093">
        <v>0</v>
      </c>
    </row>
    <row r="5094" spans="2:6" ht="15.75" customHeight="1" x14ac:dyDescent="0.25">
      <c r="B5094" t="str">
        <v>Sensi</v>
      </c>
      <c r="C5094" t="str">
        <v>Yield Aggregator</v>
      </c>
      <c r="D5094" t="str">
        <v>SENSI</v>
      </c>
      <c r="E5094">
        <v>124253.94626183041</v>
      </c>
      <c r="F5094">
        <v>14269.576538962798</v>
      </c>
    </row>
    <row r="5095" spans="2:6" ht="15.75" customHeight="1" x14ac:dyDescent="0.25">
      <c r="B5095" t="str">
        <v>Sentiment</v>
      </c>
      <c r="C5095" t="str">
        <v>Lending</v>
      </c>
      <c r="D5095" t="str">
        <v>-</v>
      </c>
      <c r="E5095">
        <v>17819860.964321211</v>
      </c>
      <c r="F5095">
        <v>0</v>
      </c>
    </row>
    <row r="5096" spans="2:6" ht="15.75" customHeight="1" x14ac:dyDescent="0.25">
      <c r="B5096" t="str">
        <v>Sentinel Trader Bot</v>
      </c>
      <c r="C5096" t="str">
        <v>Trading App</v>
      </c>
      <c r="D5096" t="str">
        <v>SENTBOT</v>
      </c>
      <c r="E5096">
        <v>1038.4068613798961</v>
      </c>
      <c r="F5096">
        <v>0</v>
      </c>
    </row>
    <row r="5097" spans="2:6" ht="15.75" customHeight="1" x14ac:dyDescent="0.25">
      <c r="B5097" t="str">
        <v>Sentora</v>
      </c>
      <c r="C5097" t="str">
        <v>Risk Curators</v>
      </c>
      <c r="D5097" t="str">
        <v>-</v>
      </c>
      <c r="E5097">
        <v>581377900.76460052</v>
      </c>
      <c r="F5097">
        <v>0</v>
      </c>
    </row>
    <row r="5098" spans="2:6" ht="15.75" customHeight="1" x14ac:dyDescent="0.25">
      <c r="B5098" t="str">
        <v>Sentre</v>
      </c>
      <c r="C5098" t="str">
        <v>Dexs</v>
      </c>
      <c r="D5098" t="str">
        <v>SNTR</v>
      </c>
      <c r="E5098">
        <v>7852.8554158654397</v>
      </c>
      <c r="F5098">
        <v>347291.44640580483</v>
      </c>
    </row>
    <row r="5099" spans="2:6" ht="15.75" customHeight="1" x14ac:dyDescent="0.25">
      <c r="B5099" t="str">
        <v>Serum</v>
      </c>
      <c r="C5099" t="str">
        <v>Dexs</v>
      </c>
      <c r="D5099" t="str">
        <v>SRM</v>
      </c>
      <c r="E5099">
        <v>18188268.716996577</v>
      </c>
      <c r="F5099">
        <v>4235200.1977574686</v>
      </c>
    </row>
    <row r="5100" spans="2:6" ht="15.75" customHeight="1" x14ac:dyDescent="0.25">
      <c r="B5100" t="str">
        <v>Serum Swap</v>
      </c>
      <c r="C5100" t="str">
        <v>Dexs</v>
      </c>
      <c r="D5100" t="str">
        <v>SRM</v>
      </c>
      <c r="E5100">
        <v>268219.93615283462</v>
      </c>
      <c r="F5100">
        <v>0</v>
      </c>
    </row>
    <row r="5101" spans="2:6" ht="15.75" customHeight="1" x14ac:dyDescent="0.25">
      <c r="B5101" t="str">
        <v>Service Nervous Systems</v>
      </c>
      <c r="C5101" t="str">
        <v>Governance Incentives</v>
      </c>
      <c r="D5101" t="str">
        <v>-</v>
      </c>
      <c r="E5101">
        <v>2441420.7685384345</v>
      </c>
      <c r="F5101">
        <v>0</v>
      </c>
    </row>
    <row r="5102" spans="2:6" ht="15.75" customHeight="1" x14ac:dyDescent="0.25">
      <c r="B5102" t="str">
        <v>Set Protocol</v>
      </c>
      <c r="C5102" t="str">
        <v>Indexes</v>
      </c>
      <c r="D5102" t="str">
        <v>-</v>
      </c>
      <c r="E5102">
        <v>17506103.9174942</v>
      </c>
      <c r="F5102">
        <v>0</v>
      </c>
    </row>
    <row r="5103" spans="2:6" ht="15.75" customHeight="1" x14ac:dyDescent="0.25">
      <c r="B5103" t="str">
        <v>set.wtf</v>
      </c>
      <c r="C5103" t="str">
        <v>Yield</v>
      </c>
      <c r="D5103" t="str">
        <v>-</v>
      </c>
      <c r="E5103">
        <v>719253.82539908262</v>
      </c>
      <c r="F5103">
        <v>0</v>
      </c>
    </row>
    <row r="5104" spans="2:6" ht="15.75" customHeight="1" x14ac:dyDescent="0.25">
      <c r="B5104" t="str">
        <v>SettleTON</v>
      </c>
      <c r="C5104" t="str">
        <v>Yield</v>
      </c>
      <c r="D5104" t="str">
        <v>-</v>
      </c>
      <c r="E5104">
        <v>83499.537506097986</v>
      </c>
      <c r="F5104">
        <v>0</v>
      </c>
    </row>
    <row r="5105" spans="2:6" ht="15.75" customHeight="1" x14ac:dyDescent="0.25">
      <c r="B5105" t="str">
        <v>SettleX V2</v>
      </c>
      <c r="C5105" t="str">
        <v>Dexs</v>
      </c>
      <c r="D5105" t="str">
        <v>-</v>
      </c>
      <c r="E5105">
        <v>1.072230088232053</v>
      </c>
      <c r="F5105">
        <v>0</v>
      </c>
    </row>
    <row r="5106" spans="2:6" ht="15.75" customHeight="1" x14ac:dyDescent="0.25">
      <c r="B5106" t="str">
        <v>SettleX V3</v>
      </c>
      <c r="C5106" t="str">
        <v>Dexs</v>
      </c>
      <c r="D5106" t="str">
        <v>-</v>
      </c>
      <c r="E5106">
        <v>0.21783264847749123</v>
      </c>
      <c r="F5106">
        <v>0</v>
      </c>
    </row>
    <row r="5107" spans="2:6" ht="15.75" customHeight="1" x14ac:dyDescent="0.25">
      <c r="B5107" t="str">
        <v>sevenswap</v>
      </c>
      <c r="C5107" t="str">
        <v>Dexs</v>
      </c>
      <c r="D5107" t="str">
        <v>-</v>
      </c>
      <c r="E5107">
        <v>3.4480000319292259E-3</v>
      </c>
      <c r="F5107">
        <v>0</v>
      </c>
    </row>
    <row r="5108" spans="2:6" ht="15.75" customHeight="1" x14ac:dyDescent="0.25">
      <c r="B5108" t="str">
        <v>SFT Protocol</v>
      </c>
      <c r="C5108" t="str">
        <v>Liquid Staking</v>
      </c>
      <c r="D5108" t="str">
        <v>SFT</v>
      </c>
      <c r="E5108">
        <v>1403678.8022587977</v>
      </c>
      <c r="F5108">
        <v>0</v>
      </c>
    </row>
    <row r="5109" spans="2:6" ht="15.75" customHeight="1" x14ac:dyDescent="0.25">
      <c r="B5109" t="str">
        <v>ShadeCash</v>
      </c>
      <c r="C5109" t="str">
        <v>Privacy</v>
      </c>
      <c r="D5109" t="str">
        <v>SHADE</v>
      </c>
      <c r="E5109">
        <v>12144.037686481026</v>
      </c>
      <c r="F5109">
        <v>0</v>
      </c>
    </row>
    <row r="5110" spans="2:6" ht="15.75" customHeight="1" x14ac:dyDescent="0.25">
      <c r="B5110" t="str">
        <v>ShadeLend</v>
      </c>
      <c r="C5110" t="str">
        <v>Lending</v>
      </c>
      <c r="D5110" t="str">
        <v>SHD</v>
      </c>
      <c r="E5110">
        <v>781589.58232831629</v>
      </c>
      <c r="F5110">
        <v>0</v>
      </c>
    </row>
    <row r="5111" spans="2:6" ht="15.75" customHeight="1" x14ac:dyDescent="0.25">
      <c r="B5111" t="str">
        <v>ShadeSwap</v>
      </c>
      <c r="C5111" t="str">
        <v>Dexs</v>
      </c>
      <c r="D5111" t="str">
        <v>SHD</v>
      </c>
      <c r="E5111">
        <v>1301587.1222862015</v>
      </c>
      <c r="F5111">
        <v>0</v>
      </c>
    </row>
    <row r="5112" spans="2:6" ht="15.75" customHeight="1" x14ac:dyDescent="0.25">
      <c r="B5112" t="str">
        <v>ShadeX</v>
      </c>
      <c r="C5112" t="str">
        <v>Lending</v>
      </c>
      <c r="D5112" t="str">
        <v>SHD</v>
      </c>
      <c r="E5112">
        <v>511672.59811466531</v>
      </c>
      <c r="F5112">
        <v>0</v>
      </c>
    </row>
    <row r="5113" spans="2:6" ht="15.75" customHeight="1" x14ac:dyDescent="0.25">
      <c r="B5113" t="str">
        <v>Shadow Exchange CLMM</v>
      </c>
      <c r="C5113" t="str">
        <v>Dexs</v>
      </c>
      <c r="D5113" t="str">
        <v>SHADOW</v>
      </c>
      <c r="E5113">
        <v>3648785.6034904369</v>
      </c>
      <c r="F5113">
        <v>0</v>
      </c>
    </row>
    <row r="5114" spans="2:6" ht="15.75" customHeight="1" x14ac:dyDescent="0.25">
      <c r="B5114" t="str">
        <v>Shadow Exchange Legacy</v>
      </c>
      <c r="C5114" t="str">
        <v>Dexs</v>
      </c>
      <c r="D5114" t="str">
        <v>SHADOW</v>
      </c>
      <c r="E5114">
        <v>2797004.2809639699</v>
      </c>
      <c r="F5114">
        <v>0</v>
      </c>
    </row>
    <row r="5115" spans="2:6" ht="15.75" customHeight="1" x14ac:dyDescent="0.25">
      <c r="B5115" t="str">
        <v>ShadowSwap</v>
      </c>
      <c r="C5115" t="str">
        <v>Dexs</v>
      </c>
      <c r="D5115" t="str">
        <v>SHDW</v>
      </c>
      <c r="E5115">
        <v>30405.12550787595</v>
      </c>
      <c r="F5115">
        <v>0</v>
      </c>
    </row>
    <row r="5116" spans="2:6" ht="15.75" customHeight="1" x14ac:dyDescent="0.25">
      <c r="B5116" t="str">
        <v>Shape Bridge</v>
      </c>
      <c r="C5116" t="str">
        <v>Canonical Bridge</v>
      </c>
      <c r="D5116" t="str">
        <v>-</v>
      </c>
      <c r="E5116">
        <v>1380951.0796981989</v>
      </c>
      <c r="F5116">
        <v>0</v>
      </c>
    </row>
    <row r="5117" spans="2:6" ht="15.75" customHeight="1" x14ac:dyDescent="0.25">
      <c r="B5117" t="str">
        <v>ShapeShift</v>
      </c>
      <c r="C5117" t="str">
        <v>Dexs</v>
      </c>
      <c r="D5117" t="str">
        <v>FOX</v>
      </c>
      <c r="E5117">
        <v>0</v>
      </c>
      <c r="F5117">
        <v>7242102.2550785029</v>
      </c>
    </row>
    <row r="5118" spans="2:6" ht="15.75" customHeight="1" x14ac:dyDescent="0.25">
      <c r="B5118" t="str">
        <v>ShardingDAO</v>
      </c>
      <c r="C5118" t="str">
        <v>Staking Pool</v>
      </c>
      <c r="D5118" t="str">
        <v>-</v>
      </c>
      <c r="E5118">
        <v>10147493.314534251</v>
      </c>
      <c r="F5118">
        <v>0</v>
      </c>
    </row>
    <row r="5119" spans="2:6" ht="15.75" customHeight="1" x14ac:dyDescent="0.25">
      <c r="B5119" t="str">
        <v>SharedStake</v>
      </c>
      <c r="C5119" t="str">
        <v>Liquid Staking</v>
      </c>
      <c r="D5119" t="str">
        <v>SGT</v>
      </c>
      <c r="E5119">
        <v>0</v>
      </c>
      <c r="F5119">
        <v>20571.119088767031</v>
      </c>
    </row>
    <row r="5120" spans="2:6" ht="15.75" customHeight="1" x14ac:dyDescent="0.25">
      <c r="B5120" t="str">
        <v>Sharelock</v>
      </c>
      <c r="C5120" t="str">
        <v>Dexs</v>
      </c>
      <c r="D5120" t="str">
        <v>SLOK</v>
      </c>
      <c r="E5120">
        <v>175.66339055766133</v>
      </c>
      <c r="F5120">
        <v>0</v>
      </c>
    </row>
    <row r="5121" spans="2:6" ht="15.75" customHeight="1" x14ac:dyDescent="0.25">
      <c r="B5121" t="str">
        <v>SharesGram</v>
      </c>
      <c r="C5121" t="str">
        <v>SoFi</v>
      </c>
      <c r="D5121" t="str">
        <v>SG</v>
      </c>
      <c r="E5121">
        <v>12513.632120709601</v>
      </c>
      <c r="F5121">
        <v>0</v>
      </c>
    </row>
    <row r="5122" spans="2:6" ht="15.75" customHeight="1" x14ac:dyDescent="0.25">
      <c r="B5122" t="str">
        <v>SharkSwap</v>
      </c>
      <c r="C5122" t="str">
        <v>Dexs</v>
      </c>
      <c r="D5122" t="str">
        <v>SHARK</v>
      </c>
      <c r="E5122">
        <v>400784.33827861835</v>
      </c>
      <c r="F5122">
        <v>0</v>
      </c>
    </row>
    <row r="5123" spans="2:6" ht="15.75" customHeight="1" x14ac:dyDescent="0.25">
      <c r="B5123" t="str">
        <v>SharkSwap DEX</v>
      </c>
      <c r="C5123" t="str">
        <v>Dexs</v>
      </c>
      <c r="D5123" t="str">
        <v>-</v>
      </c>
      <c r="E5123">
        <v>162346.44971085162</v>
      </c>
      <c r="F5123">
        <v>0</v>
      </c>
    </row>
    <row r="5124" spans="2:6" ht="15.75" customHeight="1" x14ac:dyDescent="0.25">
      <c r="B5124" t="str">
        <v>Sharky</v>
      </c>
      <c r="C5124" t="str">
        <v>NFT Lending</v>
      </c>
      <c r="D5124" t="str">
        <v>SHARK</v>
      </c>
      <c r="E5124">
        <v>260974.57481905658</v>
      </c>
      <c r="F5124">
        <v>0</v>
      </c>
    </row>
    <row r="5125" spans="2:6" ht="15.75" customHeight="1" x14ac:dyDescent="0.25">
      <c r="B5125" t="str">
        <v>Sharky Swap</v>
      </c>
      <c r="C5125" t="str">
        <v>Dexs</v>
      </c>
      <c r="D5125" t="str">
        <v>SHARKY</v>
      </c>
      <c r="E5125">
        <v>5734.8724994090362</v>
      </c>
      <c r="F5125">
        <v>0</v>
      </c>
    </row>
    <row r="5126" spans="2:6" ht="15.75" customHeight="1" x14ac:dyDescent="0.25">
      <c r="B5126" t="str">
        <v>Sharpe Earn</v>
      </c>
      <c r="C5126" t="str">
        <v>Onchain Capital Allocator</v>
      </c>
      <c r="D5126" t="str">
        <v>SAI</v>
      </c>
      <c r="E5126">
        <v>0</v>
      </c>
      <c r="F5126">
        <v>0</v>
      </c>
    </row>
    <row r="5127" spans="2:6" ht="15.75" customHeight="1" x14ac:dyDescent="0.25">
      <c r="B5127" t="str">
        <v>Sharpe Magnum</v>
      </c>
      <c r="C5127" t="str">
        <v>Yield</v>
      </c>
      <c r="D5127" t="str">
        <v>SAI</v>
      </c>
      <c r="E5127">
        <v>1521.3205486569907</v>
      </c>
      <c r="F5127">
        <v>0</v>
      </c>
    </row>
    <row r="5128" spans="2:6" ht="15.75" customHeight="1" x14ac:dyDescent="0.25">
      <c r="B5128" t="str">
        <v>Sharpe Perp Aggregator</v>
      </c>
      <c r="C5128" t="str">
        <v>Derivatives</v>
      </c>
      <c r="D5128" t="str">
        <v>SAI</v>
      </c>
      <c r="E5128">
        <v>0</v>
      </c>
      <c r="F5128">
        <v>0</v>
      </c>
    </row>
    <row r="5129" spans="2:6" ht="15.75" customHeight="1" x14ac:dyDescent="0.25">
      <c r="B5129" t="str">
        <v>SharpLink Gaming</v>
      </c>
      <c r="C5129" t="str">
        <v>Treasury Manager</v>
      </c>
      <c r="D5129" t="str">
        <v>-</v>
      </c>
      <c r="E5129">
        <v>0</v>
      </c>
      <c r="F5129">
        <v>0</v>
      </c>
    </row>
    <row r="5130" spans="2:6" ht="15.75" customHeight="1" x14ac:dyDescent="0.25">
      <c r="B5130" t="str">
        <v>Sharwa.Finance</v>
      </c>
      <c r="C5130" t="str">
        <v>Derivatives</v>
      </c>
      <c r="D5130" t="str">
        <v>-</v>
      </c>
      <c r="E5130">
        <v>4153.5412197298756</v>
      </c>
      <c r="F5130">
        <v>0</v>
      </c>
    </row>
    <row r="5131" spans="2:6" ht="15.75" customHeight="1" x14ac:dyDescent="0.25">
      <c r="B5131" t="str">
        <v>SheepDex</v>
      </c>
      <c r="C5131" t="str">
        <v>Dexs</v>
      </c>
      <c r="D5131" t="str">
        <v>SPC</v>
      </c>
      <c r="E5131">
        <v>447815.87078733381</v>
      </c>
      <c r="F5131">
        <v>0</v>
      </c>
    </row>
    <row r="5132" spans="2:6" ht="15.75" customHeight="1" x14ac:dyDescent="0.25">
      <c r="B5132" t="str">
        <v>Sheesha Finance</v>
      </c>
      <c r="C5132" t="str">
        <v>Yield</v>
      </c>
      <c r="D5132" t="str">
        <v>SHEESHA</v>
      </c>
      <c r="E5132">
        <v>0</v>
      </c>
      <c r="F5132">
        <v>318938.48422686575</v>
      </c>
    </row>
    <row r="5133" spans="2:6" ht="15.75" customHeight="1" x14ac:dyDescent="0.25">
      <c r="B5133" t="str">
        <v>ShekelSwap</v>
      </c>
      <c r="C5133" t="str">
        <v>Dexs</v>
      </c>
      <c r="D5133" t="str">
        <v>SHEKEL</v>
      </c>
      <c r="E5133">
        <v>171.25621720465804</v>
      </c>
      <c r="F5133">
        <v>0</v>
      </c>
    </row>
    <row r="5134" spans="2:6" ht="15.75" customHeight="1" x14ac:dyDescent="0.25">
      <c r="B5134" t="str">
        <v>Shell Protocol</v>
      </c>
      <c r="C5134" t="str">
        <v>Dexs</v>
      </c>
      <c r="D5134" t="str">
        <v>SHELL</v>
      </c>
      <c r="E5134">
        <v>166020.76611328308</v>
      </c>
      <c r="F5134">
        <v>0</v>
      </c>
    </row>
    <row r="5135" spans="2:6" ht="15.75" customHeight="1" x14ac:dyDescent="0.25">
      <c r="B5135" t="str">
        <v>Sherlock</v>
      </c>
      <c r="C5135" t="str">
        <v>Insurance</v>
      </c>
      <c r="D5135" t="str">
        <v>-</v>
      </c>
      <c r="E5135">
        <v>504768.80618170975</v>
      </c>
      <c r="F5135">
        <v>0</v>
      </c>
    </row>
    <row r="5136" spans="2:6" ht="15.75" customHeight="1" x14ac:dyDescent="0.25">
      <c r="B5136" t="str">
        <v>Sherpa</v>
      </c>
      <c r="C5136" t="str">
        <v>Onchain Capital Allocator</v>
      </c>
      <c r="D5136" t="str">
        <v>-</v>
      </c>
      <c r="E5136">
        <v>665405.36344917188</v>
      </c>
      <c r="F5136">
        <v>0</v>
      </c>
    </row>
    <row r="5137" spans="2:6" ht="15.75" customHeight="1" x14ac:dyDescent="0.25">
      <c r="B5137" t="str">
        <v>Sherpa Cash</v>
      </c>
      <c r="C5137" t="str">
        <v>Privacy</v>
      </c>
      <c r="D5137" t="str">
        <v>SHERPA</v>
      </c>
      <c r="E5137">
        <v>23134.709377680228</v>
      </c>
      <c r="F5137">
        <v>0</v>
      </c>
    </row>
    <row r="5138" spans="2:6" ht="15.75" customHeight="1" x14ac:dyDescent="0.25">
      <c r="B5138" t="str">
        <v>Shezmu</v>
      </c>
      <c r="C5138" t="str">
        <v>CDP</v>
      </c>
      <c r="D5138" t="str">
        <v>SHEZMU</v>
      </c>
      <c r="E5138">
        <v>5015.2355368429508</v>
      </c>
      <c r="F5138">
        <v>22739.647707249624</v>
      </c>
    </row>
    <row r="5139" spans="2:6" ht="15.75" customHeight="1" x14ac:dyDescent="0.25">
      <c r="B5139" t="str">
        <v>Shiba Fantom</v>
      </c>
      <c r="C5139" t="str">
        <v>Dexs</v>
      </c>
      <c r="D5139" t="str">
        <v>SHIBA</v>
      </c>
      <c r="E5139">
        <v>1738.0338744034814</v>
      </c>
      <c r="F5139">
        <v>0</v>
      </c>
    </row>
    <row r="5140" spans="2:6" ht="15.75" customHeight="1" x14ac:dyDescent="0.25">
      <c r="B5140" t="str">
        <v>Shibance</v>
      </c>
      <c r="C5140" t="str">
        <v>Dexs</v>
      </c>
      <c r="D5140" t="str">
        <v>WOOF</v>
      </c>
      <c r="E5140">
        <v>12114.317210235498</v>
      </c>
      <c r="F5140">
        <v>0</v>
      </c>
    </row>
    <row r="5141" spans="2:6" ht="15.75" customHeight="1" x14ac:dyDescent="0.25">
      <c r="B5141" t="str">
        <v>ShibaNova</v>
      </c>
      <c r="C5141" t="str">
        <v>Dexs</v>
      </c>
      <c r="D5141" t="str">
        <v>-</v>
      </c>
      <c r="E5141">
        <v>48668.480063474031</v>
      </c>
      <c r="F5141">
        <v>0</v>
      </c>
    </row>
    <row r="5142" spans="2:6" ht="15.75" customHeight="1" x14ac:dyDescent="0.25">
      <c r="B5142" t="str">
        <v>ShibaSwap V1</v>
      </c>
      <c r="C5142" t="str">
        <v>Dexs</v>
      </c>
      <c r="D5142" t="str">
        <v>BONE</v>
      </c>
      <c r="E5142">
        <v>8731579.5471744239</v>
      </c>
      <c r="F5142">
        <v>0</v>
      </c>
    </row>
    <row r="5143" spans="2:6" ht="15.75" customHeight="1" x14ac:dyDescent="0.25">
      <c r="B5143" t="str">
        <v>ShibaSwap V2</v>
      </c>
      <c r="C5143" t="str">
        <v>Dexs</v>
      </c>
      <c r="D5143" t="str">
        <v>BONE</v>
      </c>
      <c r="E5143">
        <v>719867.24089403392</v>
      </c>
      <c r="F5143">
        <v>0</v>
      </c>
    </row>
    <row r="5144" spans="2:6" ht="15.75" customHeight="1" x14ac:dyDescent="0.25">
      <c r="B5144" t="str">
        <v>Shibex</v>
      </c>
      <c r="C5144" t="str">
        <v>Dexs</v>
      </c>
      <c r="D5144" t="str">
        <v>SHIB</v>
      </c>
      <c r="E5144">
        <v>7141.5618801395403</v>
      </c>
      <c r="F5144">
        <v>0</v>
      </c>
    </row>
    <row r="5145" spans="2:6" ht="15.75" customHeight="1" x14ac:dyDescent="0.25">
      <c r="B5145" t="str">
        <v>ShibFi</v>
      </c>
      <c r="C5145" t="str">
        <v>Farm</v>
      </c>
      <c r="D5145" t="str">
        <v>ShibFi</v>
      </c>
      <c r="E5145">
        <v>0</v>
      </c>
      <c r="F5145">
        <v>0</v>
      </c>
    </row>
    <row r="5146" spans="2:6" ht="15.75" customHeight="1" x14ac:dyDescent="0.25">
      <c r="B5146" t="str">
        <v>ShibShift</v>
      </c>
      <c r="C5146" t="str">
        <v>Dexs</v>
      </c>
      <c r="D5146" t="str">
        <v>PulseShib</v>
      </c>
      <c r="E5146">
        <v>4125.9063408857101</v>
      </c>
      <c r="F5146">
        <v>0</v>
      </c>
    </row>
    <row r="5147" spans="2:6" ht="15.75" customHeight="1" x14ac:dyDescent="0.25">
      <c r="B5147" t="str">
        <v>Shibui DAO</v>
      </c>
      <c r="C5147" t="str">
        <v>NFT Marketplace</v>
      </c>
      <c r="D5147" t="str">
        <v>SHIBUI</v>
      </c>
      <c r="E5147">
        <v>0</v>
      </c>
      <c r="F5147">
        <v>0</v>
      </c>
    </row>
    <row r="5148" spans="2:6" ht="15.75" customHeight="1" x14ac:dyDescent="0.25">
      <c r="B5148" t="str">
        <v>Shido Dex</v>
      </c>
      <c r="C5148" t="str">
        <v>Dexs</v>
      </c>
      <c r="D5148" t="str">
        <v>SHDX</v>
      </c>
      <c r="E5148">
        <v>449491.76962376421</v>
      </c>
      <c r="F5148">
        <v>187046.14103738891</v>
      </c>
    </row>
    <row r="5149" spans="2:6" ht="15.75" customHeight="1" x14ac:dyDescent="0.25">
      <c r="B5149" t="str">
        <v>Shield</v>
      </c>
      <c r="C5149" t="str">
        <v>Options</v>
      </c>
      <c r="D5149" t="str">
        <v>SLD</v>
      </c>
      <c r="E5149">
        <v>0</v>
      </c>
      <c r="F5149">
        <v>0</v>
      </c>
    </row>
    <row r="5150" spans="2:6" ht="15.75" customHeight="1" x14ac:dyDescent="0.25">
      <c r="B5150" t="str">
        <v>Shield Protocol</v>
      </c>
      <c r="C5150" t="str">
        <v>Farm</v>
      </c>
      <c r="D5150" t="str">
        <v>SHIELD</v>
      </c>
      <c r="E5150">
        <v>12550.477030173997</v>
      </c>
      <c r="F5150">
        <v>61062.639490523303</v>
      </c>
    </row>
    <row r="5151" spans="2:6" ht="15.75" customHeight="1" x14ac:dyDescent="0.25">
      <c r="B5151" t="str">
        <v>Shift Protocol</v>
      </c>
      <c r="C5151" t="str">
        <v>Onchain Capital Allocator</v>
      </c>
      <c r="D5151" t="str">
        <v>-</v>
      </c>
      <c r="E5151">
        <v>1798215.4550605891</v>
      </c>
      <c r="F5151">
        <v>0</v>
      </c>
    </row>
    <row r="5152" spans="2:6" ht="15.75" customHeight="1" x14ac:dyDescent="0.25">
      <c r="B5152" t="str">
        <v>ShiftDollar</v>
      </c>
      <c r="C5152" t="str">
        <v>Algo-Stables</v>
      </c>
      <c r="D5152" t="str">
        <v>SHIFT</v>
      </c>
      <c r="E5152">
        <v>91.751360278175</v>
      </c>
      <c r="F5152">
        <v>0</v>
      </c>
    </row>
    <row r="5153" spans="2:6" ht="15.75" customHeight="1" x14ac:dyDescent="0.25">
      <c r="B5153" t="str">
        <v>ShimmerBridge</v>
      </c>
      <c r="C5153" t="str">
        <v>Bridge</v>
      </c>
      <c r="D5153" t="str">
        <v>-</v>
      </c>
      <c r="E5153">
        <v>253226.58953079546</v>
      </c>
      <c r="F5153">
        <v>0</v>
      </c>
    </row>
    <row r="5154" spans="2:6" ht="15.75" customHeight="1" x14ac:dyDescent="0.25">
      <c r="B5154" t="str">
        <v>Shinobi</v>
      </c>
      <c r="C5154" t="str">
        <v>Dexs</v>
      </c>
      <c r="D5154" t="str">
        <v>-</v>
      </c>
      <c r="E5154">
        <v>0</v>
      </c>
      <c r="F5154">
        <v>0</v>
      </c>
    </row>
    <row r="5155" spans="2:6" ht="15.75" customHeight="1" x14ac:dyDescent="0.25">
      <c r="B5155" t="str">
        <v>ShiroSwap</v>
      </c>
      <c r="C5155" t="str">
        <v>Dexs</v>
      </c>
      <c r="D5155" t="str">
        <v>SHIR</v>
      </c>
      <c r="E5155">
        <v>0</v>
      </c>
      <c r="F5155">
        <v>0</v>
      </c>
    </row>
    <row r="5156" spans="2:6" ht="15.75" customHeight="1" x14ac:dyDescent="0.25">
      <c r="B5156" t="str">
        <v>ShMonad</v>
      </c>
      <c r="C5156" t="str">
        <v>Liquid Staking</v>
      </c>
      <c r="D5156" t="str">
        <v>-</v>
      </c>
      <c r="E5156">
        <v>14220700.122976992</v>
      </c>
      <c r="F5156">
        <v>0</v>
      </c>
    </row>
    <row r="5157" spans="2:6" ht="15.75" customHeight="1" x14ac:dyDescent="0.25">
      <c r="B5157" t="str">
        <v>Shoebill V1</v>
      </c>
      <c r="C5157" t="str">
        <v>Lending</v>
      </c>
      <c r="D5157" t="str">
        <v>-</v>
      </c>
      <c r="E5157">
        <v>7740.2734769906729</v>
      </c>
      <c r="F5157">
        <v>0</v>
      </c>
    </row>
    <row r="5158" spans="2:6" ht="15.75" customHeight="1" x14ac:dyDescent="0.25">
      <c r="B5158" t="str">
        <v>Shoebill V2</v>
      </c>
      <c r="C5158" t="str">
        <v>Lending</v>
      </c>
      <c r="D5158" t="str">
        <v>-</v>
      </c>
      <c r="E5158">
        <v>909891.9226525093</v>
      </c>
      <c r="F5158">
        <v>0</v>
      </c>
    </row>
    <row r="5159" spans="2:6" ht="15.75" customHeight="1" x14ac:dyDescent="0.25">
      <c r="B5159" t="str">
        <v>SHPRD</v>
      </c>
      <c r="C5159" t="str">
        <v>Indexes</v>
      </c>
      <c r="D5159" t="str">
        <v>-</v>
      </c>
      <c r="E5159">
        <v>357563.92197019188</v>
      </c>
      <c r="F5159">
        <v>0</v>
      </c>
    </row>
    <row r="5160" spans="2:6" ht="15.75" customHeight="1" x14ac:dyDescent="0.25">
      <c r="B5160" t="str">
        <v>ShrikePerps</v>
      </c>
      <c r="C5160" t="str">
        <v>Derivatives</v>
      </c>
      <c r="D5160" t="str">
        <v>SHK</v>
      </c>
      <c r="E5160">
        <v>12465.836243821403</v>
      </c>
      <c r="F5160">
        <v>0</v>
      </c>
    </row>
    <row r="5161" spans="2:6" ht="15.75" customHeight="1" x14ac:dyDescent="0.25">
      <c r="B5161" t="str">
        <v>Shroomy Protocol Lending</v>
      </c>
      <c r="C5161" t="str">
        <v>Lending</v>
      </c>
      <c r="D5161" t="str">
        <v>SHROOMY</v>
      </c>
      <c r="E5161">
        <v>13363.662017904097</v>
      </c>
      <c r="F5161">
        <v>0</v>
      </c>
    </row>
    <row r="5162" spans="2:6" ht="15.75" customHeight="1" x14ac:dyDescent="0.25">
      <c r="B5162" t="str">
        <v>Shroomy Protocol Swap</v>
      </c>
      <c r="C5162" t="str">
        <v>Dexs</v>
      </c>
      <c r="D5162" t="str">
        <v>SHROOMY</v>
      </c>
      <c r="E5162">
        <v>0</v>
      </c>
      <c r="F5162">
        <v>0</v>
      </c>
    </row>
    <row r="5163" spans="2:6" ht="15.75" customHeight="1" x14ac:dyDescent="0.25">
      <c r="B5163" t="str">
        <v>SHUI</v>
      </c>
      <c r="C5163" t="str">
        <v>Liquid Staking</v>
      </c>
      <c r="D5163" t="str">
        <v>SHUI</v>
      </c>
      <c r="E5163">
        <v>4252102.0286543947</v>
      </c>
      <c r="F5163">
        <v>0</v>
      </c>
    </row>
    <row r="5164" spans="2:6" ht="15.75" customHeight="1" x14ac:dyDescent="0.25">
      <c r="B5164" t="str">
        <v>Shuriken</v>
      </c>
      <c r="C5164" t="str">
        <v>Services</v>
      </c>
      <c r="D5164" t="str">
        <v>-</v>
      </c>
      <c r="E5164">
        <v>0</v>
      </c>
      <c r="F5164">
        <v>0</v>
      </c>
    </row>
    <row r="5165" spans="2:6" ht="15.75" customHeight="1" x14ac:dyDescent="0.25">
      <c r="B5165" t="str">
        <v>sICX</v>
      </c>
      <c r="C5165" t="str">
        <v>Liquid Staking</v>
      </c>
      <c r="D5165" t="str">
        <v>-</v>
      </c>
      <c r="E5165">
        <v>2868029.6594674354</v>
      </c>
      <c r="F5165">
        <v>0</v>
      </c>
    </row>
    <row r="5166" spans="2:6" ht="15.75" customHeight="1" x14ac:dyDescent="0.25">
      <c r="B5166" t="str">
        <v>SideShift</v>
      </c>
      <c r="C5166" t="str">
        <v>Cross Chain Bridge</v>
      </c>
      <c r="D5166" t="str">
        <v>XAI</v>
      </c>
      <c r="E5166">
        <v>0</v>
      </c>
      <c r="F5166">
        <v>17204558.640262596</v>
      </c>
    </row>
    <row r="5167" spans="2:6" ht="15.75" customHeight="1" x14ac:dyDescent="0.25">
      <c r="B5167" t="str">
        <v>Sideswap</v>
      </c>
      <c r="C5167" t="str">
        <v>Dexs</v>
      </c>
      <c r="D5167" t="str">
        <v>-</v>
      </c>
      <c r="E5167">
        <v>47093.306625257603</v>
      </c>
      <c r="F5167">
        <v>0</v>
      </c>
    </row>
    <row r="5168" spans="2:6" ht="15.75" customHeight="1" x14ac:dyDescent="0.25">
      <c r="B5168" t="str">
        <v>SiennaLend</v>
      </c>
      <c r="C5168" t="str">
        <v>Lending</v>
      </c>
      <c r="D5168" t="str">
        <v>SIENNA</v>
      </c>
      <c r="E5168">
        <v>123886.8894936491</v>
      </c>
      <c r="F5168">
        <v>0</v>
      </c>
    </row>
    <row r="5169" spans="2:6" ht="15.75" customHeight="1" x14ac:dyDescent="0.25">
      <c r="B5169" t="str">
        <v>SiennaSwap</v>
      </c>
      <c r="C5169" t="str">
        <v>Dexs</v>
      </c>
      <c r="D5169" t="str">
        <v>SIENNA</v>
      </c>
      <c r="E5169">
        <v>343868.25520291098</v>
      </c>
      <c r="F5169">
        <v>0</v>
      </c>
    </row>
    <row r="5170" spans="2:6" ht="15.75" customHeight="1" x14ac:dyDescent="0.25">
      <c r="B5170" t="str">
        <v>Sierra</v>
      </c>
      <c r="C5170" t="str">
        <v>Reserve Currency</v>
      </c>
      <c r="D5170" t="str">
        <v>SRA</v>
      </c>
      <c r="E5170">
        <v>842.25292332346498</v>
      </c>
      <c r="F5170">
        <v>0</v>
      </c>
    </row>
    <row r="5171" spans="2:6" ht="15.75" customHeight="1" x14ac:dyDescent="0.25">
      <c r="B5171" t="str">
        <v>Sifchain</v>
      </c>
      <c r="C5171" t="str">
        <v>Dexs</v>
      </c>
      <c r="D5171" t="str">
        <v>EROWAN</v>
      </c>
      <c r="E5171">
        <v>0</v>
      </c>
      <c r="F5171">
        <v>30356.796198447788</v>
      </c>
    </row>
    <row r="5172" spans="2:6" ht="15.75" customHeight="1" x14ac:dyDescent="0.25">
      <c r="B5172" t="str">
        <v>Sigma Money</v>
      </c>
      <c r="C5172" t="str">
        <v>CDP</v>
      </c>
      <c r="D5172" t="str">
        <v>SIGMA</v>
      </c>
      <c r="E5172">
        <v>2892421.5905166301</v>
      </c>
      <c r="F5172">
        <v>2319957.9607589724</v>
      </c>
    </row>
    <row r="5173" spans="2:6" ht="15.75" customHeight="1" x14ac:dyDescent="0.25">
      <c r="B5173" t="str">
        <v>SigmaFi</v>
      </c>
      <c r="C5173" t="str">
        <v>Lending</v>
      </c>
      <c r="D5173" t="str">
        <v>-</v>
      </c>
      <c r="E5173">
        <v>12700.538790421058</v>
      </c>
      <c r="F5173">
        <v>0</v>
      </c>
    </row>
    <row r="5174" spans="2:6" ht="15.75" customHeight="1" x14ac:dyDescent="0.25">
      <c r="B5174" t="str">
        <v>Sigmao</v>
      </c>
      <c r="C5174" t="str">
        <v>Options Vault</v>
      </c>
      <c r="D5174" t="str">
        <v>-</v>
      </c>
      <c r="E5174">
        <v>12.598939338602143</v>
      </c>
      <c r="F5174">
        <v>0</v>
      </c>
    </row>
    <row r="5175" spans="2:6" ht="15.75" customHeight="1" x14ac:dyDescent="0.25">
      <c r="B5175" t="str">
        <v>SigmaSwap</v>
      </c>
      <c r="C5175" t="str">
        <v>Bridge</v>
      </c>
      <c r="D5175" t="str">
        <v>-</v>
      </c>
      <c r="E5175">
        <v>6637.7737231366455</v>
      </c>
      <c r="F5175">
        <v>0</v>
      </c>
    </row>
    <row r="5176" spans="2:6" ht="15.75" customHeight="1" x14ac:dyDescent="0.25">
      <c r="B5176" t="str">
        <v>Sigmausd</v>
      </c>
      <c r="C5176" t="str">
        <v>Algo-Stables</v>
      </c>
      <c r="D5176" t="str">
        <v>-</v>
      </c>
      <c r="E5176">
        <v>777819.25605479616</v>
      </c>
      <c r="F5176">
        <v>0</v>
      </c>
    </row>
    <row r="5177" spans="2:6" ht="15.75" customHeight="1" x14ac:dyDescent="0.25">
      <c r="B5177" t="str">
        <v>Silencio</v>
      </c>
      <c r="C5177" t="str">
        <v>DePIN</v>
      </c>
      <c r="D5177" t="str">
        <v>SLC</v>
      </c>
      <c r="E5177">
        <v>0</v>
      </c>
      <c r="F5177">
        <v>3088176.5788132651</v>
      </c>
    </row>
    <row r="5178" spans="2:6" ht="15.75" customHeight="1" x14ac:dyDescent="0.25">
      <c r="B5178" t="str">
        <v>Silent Protocol</v>
      </c>
      <c r="C5178" t="str">
        <v>Privacy</v>
      </c>
      <c r="D5178" t="str">
        <v>-</v>
      </c>
      <c r="E5178">
        <v>24474.716003186411</v>
      </c>
      <c r="F5178">
        <v>0</v>
      </c>
    </row>
    <row r="5179" spans="2:6" ht="15.75" customHeight="1" x14ac:dyDescent="0.25">
      <c r="B5179" t="str">
        <v>SilkSwap</v>
      </c>
      <c r="C5179" t="str">
        <v>Dexs</v>
      </c>
      <c r="D5179" t="str">
        <v>-</v>
      </c>
      <c r="E5179">
        <v>49716.239027882068</v>
      </c>
      <c r="F5179">
        <v>0</v>
      </c>
    </row>
    <row r="5180" spans="2:6" ht="15.75" customHeight="1" x14ac:dyDescent="0.25">
      <c r="B5180" t="str">
        <v>Silo Protocol</v>
      </c>
      <c r="C5180" t="str">
        <v>Options Vault</v>
      </c>
      <c r="D5180" t="str">
        <v>HDL</v>
      </c>
      <c r="E5180">
        <v>65.236327308154671</v>
      </c>
      <c r="F5180">
        <v>0</v>
      </c>
    </row>
    <row r="5181" spans="2:6" ht="15.75" customHeight="1" x14ac:dyDescent="0.25">
      <c r="B5181" t="str">
        <v>Silo V1</v>
      </c>
      <c r="C5181" t="str">
        <v>Lending</v>
      </c>
      <c r="D5181" t="str">
        <v>SILO</v>
      </c>
      <c r="E5181">
        <v>5306499.6377961617</v>
      </c>
      <c r="F5181">
        <v>0</v>
      </c>
    </row>
    <row r="5182" spans="2:6" ht="15.75" customHeight="1" x14ac:dyDescent="0.25">
      <c r="B5182" t="str">
        <v>Silo V2</v>
      </c>
      <c r="C5182" t="str">
        <v>Lending</v>
      </c>
      <c r="D5182" t="str">
        <v>SILO</v>
      </c>
      <c r="E5182">
        <v>81798088.446782783</v>
      </c>
      <c r="F5182">
        <v>0</v>
      </c>
    </row>
    <row r="5183" spans="2:6" ht="15.75" customHeight="1" x14ac:dyDescent="0.25">
      <c r="B5183" t="str">
        <v>SiloStake</v>
      </c>
      <c r="C5183" t="str">
        <v>Liquid Staking</v>
      </c>
      <c r="D5183" t="str">
        <v>-</v>
      </c>
      <c r="E5183">
        <v>594739.23209317343</v>
      </c>
      <c r="F5183">
        <v>0</v>
      </c>
    </row>
    <row r="5184" spans="2:6" ht="15.75" customHeight="1" x14ac:dyDescent="0.25">
      <c r="B5184" t="str">
        <v>SilverSwap</v>
      </c>
      <c r="C5184" t="str">
        <v>Dexs</v>
      </c>
      <c r="D5184" t="str">
        <v>AG</v>
      </c>
      <c r="E5184">
        <v>51920.555134309652</v>
      </c>
      <c r="F5184">
        <v>0</v>
      </c>
    </row>
    <row r="5185" spans="2:6" ht="15.75" customHeight="1" x14ac:dyDescent="0.25">
      <c r="B5185" t="str">
        <v>SimitciSwap</v>
      </c>
      <c r="C5185" t="str">
        <v>Dexs</v>
      </c>
      <c r="D5185" t="str">
        <v>-</v>
      </c>
      <c r="E5185">
        <v>1204.9225643867783</v>
      </c>
      <c r="F5185">
        <v>0</v>
      </c>
    </row>
    <row r="5186" spans="2:6" ht="15.75" customHeight="1" x14ac:dyDescent="0.25">
      <c r="B5186" t="str">
        <v>Simps</v>
      </c>
      <c r="C5186" t="str">
        <v>SoFi</v>
      </c>
      <c r="D5186" t="str">
        <v>SIMP</v>
      </c>
      <c r="E5186">
        <v>7415.7315261704562</v>
      </c>
      <c r="F5186">
        <v>5218.2407395009604</v>
      </c>
    </row>
    <row r="5187" spans="2:6" ht="15.75" customHeight="1" x14ac:dyDescent="0.25">
      <c r="B5187" t="str">
        <v>Single Finance</v>
      </c>
      <c r="C5187" t="str">
        <v>Leveraged Farming</v>
      </c>
      <c r="D5187" t="str">
        <v>SINGLE</v>
      </c>
      <c r="E5187">
        <v>223057.03299784483</v>
      </c>
      <c r="F5187">
        <v>0</v>
      </c>
    </row>
    <row r="5188" spans="2:6" ht="15.75" customHeight="1" x14ac:dyDescent="0.25">
      <c r="B5188" t="str">
        <v>Singular Farm</v>
      </c>
      <c r="C5188" t="str">
        <v>Yield</v>
      </c>
      <c r="D5188" t="str">
        <v>SING</v>
      </c>
      <c r="E5188">
        <v>26751.176589629726</v>
      </c>
      <c r="F5188">
        <v>1572.7868107254296</v>
      </c>
    </row>
    <row r="5189" spans="2:6" ht="15.75" customHeight="1" x14ac:dyDescent="0.25">
      <c r="B5189" t="str">
        <v>Singularity Finance</v>
      </c>
      <c r="C5189" t="str">
        <v>Yield</v>
      </c>
      <c r="D5189" t="str">
        <v>SFI</v>
      </c>
      <c r="E5189">
        <v>3360448.406087094</v>
      </c>
      <c r="F5189">
        <v>984366.29894981359</v>
      </c>
    </row>
    <row r="5190" spans="2:6" ht="15.75" customHeight="1" x14ac:dyDescent="0.25">
      <c r="B5190" t="str">
        <v>SingularityDAO</v>
      </c>
      <c r="C5190" t="str">
        <v>Yield</v>
      </c>
      <c r="D5190" t="str">
        <v>SDAO</v>
      </c>
      <c r="E5190">
        <v>514473.53730996</v>
      </c>
      <c r="F5190">
        <v>1219824.3404379459</v>
      </c>
    </row>
    <row r="5191" spans="2:6" ht="15.75" customHeight="1" x14ac:dyDescent="0.25">
      <c r="B5191" t="str">
        <v>SingularityNet AGIX Staking</v>
      </c>
      <c r="C5191" t="str">
        <v>Staking Pool</v>
      </c>
      <c r="D5191" t="str">
        <v>AGIX</v>
      </c>
      <c r="E5191">
        <v>0</v>
      </c>
      <c r="F5191">
        <v>32223412.675144102</v>
      </c>
    </row>
    <row r="5192" spans="2:6" ht="15.75" customHeight="1" x14ac:dyDescent="0.25">
      <c r="B5192" t="str">
        <v>SingularV</v>
      </c>
      <c r="C5192" t="str">
        <v>Risk Curators</v>
      </c>
      <c r="D5192" t="str">
        <v>-</v>
      </c>
      <c r="E5192">
        <v>6189604.3653884903</v>
      </c>
      <c r="F5192">
        <v>0</v>
      </c>
    </row>
    <row r="5193" spans="2:6" ht="15.75" customHeight="1" x14ac:dyDescent="0.25">
      <c r="B5193" t="str">
        <v>SingularX</v>
      </c>
      <c r="C5193" t="str">
        <v>Dexs</v>
      </c>
      <c r="D5193" t="str">
        <v>-</v>
      </c>
      <c r="E5193">
        <v>2675976.6918224059</v>
      </c>
      <c r="F5193">
        <v>0</v>
      </c>
    </row>
    <row r="5194" spans="2:6" ht="15.75" customHeight="1" x14ac:dyDescent="0.25">
      <c r="B5194" t="str">
        <v>SiO2 Finance</v>
      </c>
      <c r="C5194" t="str">
        <v>Lending</v>
      </c>
      <c r="D5194" t="str">
        <v>SiO2</v>
      </c>
      <c r="E5194">
        <v>236454.31297000987</v>
      </c>
      <c r="F5194">
        <v>0</v>
      </c>
    </row>
    <row r="5195" spans="2:6" ht="15.75" customHeight="1" x14ac:dyDescent="0.25">
      <c r="B5195" t="str">
        <v>SIR</v>
      </c>
      <c r="C5195" t="str">
        <v>Derivatives</v>
      </c>
      <c r="D5195" t="str">
        <v>-</v>
      </c>
      <c r="E5195">
        <v>85025.050949286582</v>
      </c>
      <c r="F5195">
        <v>0</v>
      </c>
    </row>
    <row r="5196" spans="2:6" ht="15.75" customHeight="1" x14ac:dyDescent="0.25">
      <c r="B5196" t="str">
        <v>Siren</v>
      </c>
      <c r="C5196" t="str">
        <v>Options</v>
      </c>
      <c r="D5196" t="str">
        <v>SI</v>
      </c>
      <c r="E5196">
        <v>390220.43804037181</v>
      </c>
      <c r="F5196">
        <v>136170.99844029336</v>
      </c>
    </row>
    <row r="5197" spans="2:6" ht="15.75" customHeight="1" x14ac:dyDescent="0.25">
      <c r="B5197" t="str">
        <v>Sirio Finance</v>
      </c>
      <c r="C5197" t="str">
        <v>Lending</v>
      </c>
      <c r="D5197" t="str">
        <v>-</v>
      </c>
      <c r="E5197">
        <v>23287.464812535763</v>
      </c>
      <c r="F5197">
        <v>0</v>
      </c>
    </row>
    <row r="5198" spans="2:6" ht="15.75" customHeight="1" x14ac:dyDescent="0.25">
      <c r="B5198" t="str">
        <v>Sirius</v>
      </c>
      <c r="C5198" t="str">
        <v>Dexs</v>
      </c>
      <c r="D5198" t="str">
        <v>SIRS</v>
      </c>
      <c r="E5198">
        <v>6021907.2031544596</v>
      </c>
      <c r="F5198">
        <v>0</v>
      </c>
    </row>
    <row r="5199" spans="2:6" ht="15.75" customHeight="1" x14ac:dyDescent="0.25">
      <c r="B5199" t="str">
        <v>Sirius Finance</v>
      </c>
      <c r="C5199" t="str">
        <v>Dexs</v>
      </c>
      <c r="D5199" t="str">
        <v>SRS</v>
      </c>
      <c r="E5199">
        <v>7539.9047697628866</v>
      </c>
      <c r="F5199">
        <v>0</v>
      </c>
    </row>
    <row r="5200" spans="2:6" ht="15.75" customHeight="1" x14ac:dyDescent="0.25">
      <c r="B5200" t="str">
        <v>SithSwap</v>
      </c>
      <c r="C5200" t="str">
        <v>Dexs</v>
      </c>
      <c r="D5200" t="str">
        <v>SITH</v>
      </c>
      <c r="E5200">
        <v>178609.14048354502</v>
      </c>
      <c r="F5200">
        <v>0</v>
      </c>
    </row>
    <row r="5201" spans="2:6" ht="15.75" customHeight="1" x14ac:dyDescent="0.25">
      <c r="B5201" t="str">
        <v>Size Lending</v>
      </c>
      <c r="C5201" t="str">
        <v>Lending</v>
      </c>
      <c r="D5201" t="str">
        <v>-</v>
      </c>
      <c r="E5201">
        <v>5.8476329203258723</v>
      </c>
      <c r="F5201">
        <v>0</v>
      </c>
    </row>
    <row r="5202" spans="2:6" ht="15.75" customHeight="1" x14ac:dyDescent="0.25">
      <c r="B5202" t="str">
        <v>SKALE Network Bridge</v>
      </c>
      <c r="C5202" t="str">
        <v>Bridge</v>
      </c>
      <c r="D5202" t="str">
        <v>-</v>
      </c>
      <c r="E5202">
        <v>1104686.7662416948</v>
      </c>
      <c r="F5202">
        <v>0</v>
      </c>
    </row>
    <row r="5203" spans="2:6" ht="15.75" customHeight="1" x14ac:dyDescent="0.25">
      <c r="B5203" t="str">
        <v>Skate AMM</v>
      </c>
      <c r="C5203" t="str">
        <v>Dexs</v>
      </c>
      <c r="D5203" t="str">
        <v>-</v>
      </c>
      <c r="E5203">
        <v>421692.22141886619</v>
      </c>
      <c r="F5203">
        <v>0</v>
      </c>
    </row>
    <row r="5204" spans="2:6" ht="15.75" customHeight="1" x14ac:dyDescent="0.25">
      <c r="B5204" t="str">
        <v>Skate Fi</v>
      </c>
      <c r="C5204" t="str">
        <v>Liquidity manager</v>
      </c>
      <c r="D5204" t="str">
        <v>-</v>
      </c>
      <c r="E5204">
        <v>215385.4452028269</v>
      </c>
      <c r="F5204">
        <v>0</v>
      </c>
    </row>
    <row r="5205" spans="2:6" ht="15.75" customHeight="1" x14ac:dyDescent="0.25">
      <c r="B5205" t="str">
        <v>sKCS</v>
      </c>
      <c r="C5205" t="str">
        <v>Liquid Staking</v>
      </c>
      <c r="D5205" t="str">
        <v>-</v>
      </c>
      <c r="E5205">
        <v>42043.190421464933</v>
      </c>
      <c r="F5205">
        <v>0</v>
      </c>
    </row>
    <row r="5206" spans="2:6" ht="15.75" customHeight="1" x14ac:dyDescent="0.25">
      <c r="B5206" t="str">
        <v>Skeleton Finance</v>
      </c>
      <c r="C5206" t="str">
        <v>Yield</v>
      </c>
      <c r="D5206" t="str">
        <v>SKULL</v>
      </c>
      <c r="E5206">
        <v>1094.3560275799498</v>
      </c>
      <c r="F5206">
        <v>0</v>
      </c>
    </row>
    <row r="5207" spans="2:6" ht="15.75" customHeight="1" x14ac:dyDescent="0.25">
      <c r="B5207" t="str">
        <v>SkullSwap V2</v>
      </c>
      <c r="C5207" t="str">
        <v>Dexs</v>
      </c>
      <c r="D5207" t="str">
        <v>SKULL</v>
      </c>
      <c r="E5207">
        <v>24.534786085732836</v>
      </c>
      <c r="F5207">
        <v>0</v>
      </c>
    </row>
    <row r="5208" spans="2:6" ht="15.75" customHeight="1" x14ac:dyDescent="0.25">
      <c r="B5208" t="str">
        <v>SkullSwap V3</v>
      </c>
      <c r="C5208" t="str">
        <v>Dexs</v>
      </c>
      <c r="D5208" t="str">
        <v>SKULL</v>
      </c>
      <c r="E5208">
        <v>98.362706800105101</v>
      </c>
      <c r="F5208">
        <v>0</v>
      </c>
    </row>
    <row r="5209" spans="2:6" ht="15.75" customHeight="1" x14ac:dyDescent="0.25">
      <c r="B5209" t="str">
        <v>Sky Lending</v>
      </c>
      <c r="C5209" t="str">
        <v>CDP</v>
      </c>
      <c r="D5209" t="str">
        <v>SKY</v>
      </c>
      <c r="E5209">
        <v>6385665081.2173538</v>
      </c>
      <c r="F5209">
        <v>0</v>
      </c>
    </row>
    <row r="5210" spans="2:6" ht="15.75" customHeight="1" x14ac:dyDescent="0.25">
      <c r="B5210" t="str">
        <v>Sky RWA</v>
      </c>
      <c r="C5210" t="str">
        <v>RWA</v>
      </c>
      <c r="D5210" t="str">
        <v>SKY</v>
      </c>
      <c r="E5210">
        <v>90820282.57230337</v>
      </c>
      <c r="F5210">
        <v>0</v>
      </c>
    </row>
    <row r="5211" spans="2:6" ht="15.75" customHeight="1" x14ac:dyDescent="0.25">
      <c r="B5211" t="str">
        <v>SkyDex</v>
      </c>
      <c r="C5211" t="str">
        <v>Dexs</v>
      </c>
      <c r="D5211" t="str">
        <v>-</v>
      </c>
      <c r="E5211">
        <v>0</v>
      </c>
      <c r="F5211">
        <v>0</v>
      </c>
    </row>
    <row r="5212" spans="2:6" ht="15.75" customHeight="1" x14ac:dyDescent="0.25">
      <c r="B5212" t="str">
        <v>Skydrome</v>
      </c>
      <c r="C5212" t="str">
        <v>Dexs</v>
      </c>
      <c r="D5212" t="str">
        <v>SKY</v>
      </c>
      <c r="E5212">
        <v>61936.81408672448</v>
      </c>
      <c r="F5212">
        <v>0</v>
      </c>
    </row>
    <row r="5213" spans="2:6" ht="15.75" customHeight="1" x14ac:dyDescent="0.25">
      <c r="B5213" t="str">
        <v>SleepEarn Finance</v>
      </c>
      <c r="C5213" t="str">
        <v>Yield</v>
      </c>
      <c r="D5213" t="str">
        <v>SEN</v>
      </c>
      <c r="E5213">
        <v>742.65775734322301</v>
      </c>
      <c r="F5213">
        <v>0</v>
      </c>
    </row>
    <row r="5214" spans="2:6" ht="15.75" customHeight="1" x14ac:dyDescent="0.25">
      <c r="B5214" t="str">
        <v>Slingshot</v>
      </c>
      <c r="C5214" t="str">
        <v>DEX Aggregator</v>
      </c>
      <c r="D5214" t="str">
        <v>-</v>
      </c>
      <c r="E5214">
        <v>0</v>
      </c>
      <c r="F5214">
        <v>0</v>
      </c>
    </row>
    <row r="5215" spans="2:6" ht="15.75" customHeight="1" x14ac:dyDescent="0.25">
      <c r="B5215" t="str">
        <v>SMARDEX AMM</v>
      </c>
      <c r="C5215" t="str">
        <v>Dexs</v>
      </c>
      <c r="D5215" t="str">
        <v>SDEX</v>
      </c>
      <c r="E5215">
        <v>1030577.3716316907</v>
      </c>
      <c r="F5215">
        <v>50280297.884816363</v>
      </c>
    </row>
    <row r="5216" spans="2:6" ht="15.75" customHeight="1" x14ac:dyDescent="0.25">
      <c r="B5216" t="str">
        <v>SMARDEX P2P Lending</v>
      </c>
      <c r="C5216" t="str">
        <v>Lending</v>
      </c>
      <c r="D5216" t="str">
        <v>-</v>
      </c>
      <c r="E5216">
        <v>7663.9544272021822</v>
      </c>
      <c r="F5216">
        <v>0</v>
      </c>
    </row>
    <row r="5217" spans="2:6" ht="15.75" customHeight="1" x14ac:dyDescent="0.25">
      <c r="B5217" t="str">
        <v>SMARDEX USDN</v>
      </c>
      <c r="C5217" t="str">
        <v>Basis Trading</v>
      </c>
      <c r="D5217" t="str">
        <v>-</v>
      </c>
      <c r="E5217">
        <v>3173585.5227635633</v>
      </c>
      <c r="F5217">
        <v>0</v>
      </c>
    </row>
    <row r="5218" spans="2:6" ht="15.75" customHeight="1" x14ac:dyDescent="0.25">
      <c r="B5218" t="str">
        <v>SmartCoin</v>
      </c>
      <c r="C5218" t="str">
        <v>Yield</v>
      </c>
      <c r="D5218" t="str">
        <v>SMRT</v>
      </c>
      <c r="E5218">
        <v>0</v>
      </c>
      <c r="F5218">
        <v>0</v>
      </c>
    </row>
    <row r="5219" spans="2:6" ht="15.75" customHeight="1" x14ac:dyDescent="0.25">
      <c r="B5219" t="str">
        <v>SmartCredit</v>
      </c>
      <c r="C5219" t="str">
        <v>Lending</v>
      </c>
      <c r="D5219" t="str">
        <v>SMARTCREDIT</v>
      </c>
      <c r="E5219">
        <v>975029.0543726508</v>
      </c>
      <c r="F5219">
        <v>447444.8984676387</v>
      </c>
    </row>
    <row r="5220" spans="2:6" ht="15.75" customHeight="1" x14ac:dyDescent="0.25">
      <c r="B5220" t="str">
        <v>SmartDEX</v>
      </c>
      <c r="C5220" t="str">
        <v>Dexs</v>
      </c>
      <c r="D5220" t="str">
        <v>-</v>
      </c>
      <c r="E5220">
        <v>8994.2910910855589</v>
      </c>
      <c r="F5220">
        <v>0</v>
      </c>
    </row>
    <row r="5221" spans="2:6" ht="15.75" customHeight="1" x14ac:dyDescent="0.25">
      <c r="B5221" t="str">
        <v>SmartDEXBCH</v>
      </c>
      <c r="C5221" t="str">
        <v>Dexs</v>
      </c>
      <c r="D5221" t="str">
        <v>DSMART</v>
      </c>
      <c r="E5221">
        <v>0</v>
      </c>
      <c r="F5221">
        <v>0</v>
      </c>
    </row>
    <row r="5222" spans="2:6" ht="15.75" customHeight="1" x14ac:dyDescent="0.25">
      <c r="B5222" t="str">
        <v>SmartPad</v>
      </c>
      <c r="C5222" t="str">
        <v>Launchpad</v>
      </c>
      <c r="D5222" t="str">
        <v>PAD</v>
      </c>
      <c r="E5222">
        <v>0</v>
      </c>
      <c r="F5222">
        <v>0</v>
      </c>
    </row>
    <row r="5223" spans="2:6" ht="15.75" customHeight="1" x14ac:dyDescent="0.25">
      <c r="B5223" t="str">
        <v>SMBSwap V2</v>
      </c>
      <c r="C5223" t="str">
        <v>Dexs</v>
      </c>
      <c r="D5223" t="str">
        <v>SELF</v>
      </c>
      <c r="E5223">
        <v>2971.5078984141128</v>
      </c>
      <c r="F5223">
        <v>0</v>
      </c>
    </row>
    <row r="5224" spans="2:6" ht="15.75" customHeight="1" x14ac:dyDescent="0.25">
      <c r="B5224" t="str">
        <v>SMBSwap V3</v>
      </c>
      <c r="C5224" t="str">
        <v>Dexs</v>
      </c>
      <c r="D5224" t="str">
        <v>SELF</v>
      </c>
      <c r="E5224">
        <v>51.666245993077261</v>
      </c>
      <c r="F5224">
        <v>0</v>
      </c>
    </row>
    <row r="5225" spans="2:6" ht="15.75" customHeight="1" x14ac:dyDescent="0.25">
      <c r="B5225" t="str">
        <v>Smilee Finance Arbitrum</v>
      </c>
      <c r="C5225" t="str">
        <v>Options</v>
      </c>
      <c r="D5225" t="str">
        <v>-</v>
      </c>
      <c r="E5225">
        <v>15475.675600991044</v>
      </c>
      <c r="F5225">
        <v>0</v>
      </c>
    </row>
    <row r="5226" spans="2:6" ht="15.75" customHeight="1" x14ac:dyDescent="0.25">
      <c r="B5226" t="str">
        <v>Smilee Finance gBERA</v>
      </c>
      <c r="C5226" t="str">
        <v>Liquid Staking</v>
      </c>
      <c r="D5226" t="str">
        <v>-</v>
      </c>
      <c r="E5226">
        <v>3135932.4267584477</v>
      </c>
      <c r="F5226">
        <v>0</v>
      </c>
    </row>
    <row r="5227" spans="2:6" ht="15.75" customHeight="1" x14ac:dyDescent="0.25">
      <c r="B5227" t="str">
        <v>Smithii</v>
      </c>
      <c r="C5227" t="str">
        <v>Launchpad</v>
      </c>
      <c r="D5227" t="str">
        <v>SHRIMP</v>
      </c>
      <c r="E5227">
        <v>0</v>
      </c>
      <c r="F5227">
        <v>0</v>
      </c>
    </row>
    <row r="5228" spans="2:6" ht="15.75" customHeight="1" x14ac:dyDescent="0.25">
      <c r="B5228" t="str">
        <v>smolrefuel</v>
      </c>
      <c r="C5228" t="str">
        <v>Bridge</v>
      </c>
      <c r="D5228" t="str">
        <v>-</v>
      </c>
      <c r="E5228">
        <v>0</v>
      </c>
      <c r="F5228">
        <v>0</v>
      </c>
    </row>
    <row r="5229" spans="2:6" ht="15.75" customHeight="1" x14ac:dyDescent="0.25">
      <c r="B5229" t="str">
        <v>SmolSwap</v>
      </c>
      <c r="C5229" t="str">
        <v>Dexs</v>
      </c>
      <c r="D5229" t="str">
        <v>SMOL</v>
      </c>
      <c r="E5229">
        <v>4137.254714096287</v>
      </c>
      <c r="F5229">
        <v>0</v>
      </c>
    </row>
    <row r="5230" spans="2:6" ht="15.75" customHeight="1" x14ac:dyDescent="0.25">
      <c r="B5230" t="str">
        <v>Smoothy</v>
      </c>
      <c r="C5230" t="str">
        <v>Dexs</v>
      </c>
      <c r="D5230" t="str">
        <v>SMTY</v>
      </c>
      <c r="E5230">
        <v>947815.62580916099</v>
      </c>
      <c r="F5230">
        <v>130014.73340114221</v>
      </c>
    </row>
    <row r="5231" spans="2:6" ht="15.75" customHeight="1" x14ac:dyDescent="0.25">
      <c r="B5231" t="str">
        <v>Snail Finance</v>
      </c>
      <c r="C5231" t="str">
        <v>Lending</v>
      </c>
      <c r="D5231" t="str">
        <v>Snail</v>
      </c>
      <c r="E5231">
        <v>2.0165163854085986</v>
      </c>
      <c r="F5231">
        <v>0</v>
      </c>
    </row>
    <row r="5232" spans="2:6" ht="15.75" customHeight="1" x14ac:dyDescent="0.25">
      <c r="B5232" t="str">
        <v>Snake Finance</v>
      </c>
      <c r="C5232" t="str">
        <v>Algo-Stables</v>
      </c>
      <c r="D5232" t="str">
        <v>SNAKE</v>
      </c>
      <c r="E5232">
        <v>22.166081081939652</v>
      </c>
      <c r="F5232">
        <v>174823.11804392564</v>
      </c>
    </row>
    <row r="5233" spans="2:6" ht="15.75" customHeight="1" x14ac:dyDescent="0.25">
      <c r="B5233" t="str">
        <v>Snapshot</v>
      </c>
      <c r="C5233" t="str">
        <v>Services</v>
      </c>
      <c r="D5233" t="str">
        <v>-</v>
      </c>
      <c r="E5233">
        <v>0</v>
      </c>
      <c r="F5233">
        <v>0</v>
      </c>
    </row>
    <row r="5234" spans="2:6" ht="15.75" customHeight="1" x14ac:dyDescent="0.25">
      <c r="B5234" t="str">
        <v>Snark Launch</v>
      </c>
      <c r="C5234" t="str">
        <v>Launchpad</v>
      </c>
      <c r="D5234" t="str">
        <v>SNRK</v>
      </c>
      <c r="E5234">
        <v>0</v>
      </c>
      <c r="F5234">
        <v>0</v>
      </c>
    </row>
    <row r="5235" spans="2:6" ht="15.75" customHeight="1" x14ac:dyDescent="0.25">
      <c r="B5235" t="str">
        <v>Snowball</v>
      </c>
      <c r="C5235" t="str">
        <v>Yield</v>
      </c>
      <c r="D5235" t="str">
        <v>SNOB</v>
      </c>
      <c r="E5235">
        <v>466029.29927687923</v>
      </c>
      <c r="F5235">
        <v>2522.2319939814643</v>
      </c>
    </row>
    <row r="5236" spans="2:6" ht="15.75" customHeight="1" x14ac:dyDescent="0.25">
      <c r="B5236" t="str">
        <v>Snowbank</v>
      </c>
      <c r="C5236" t="str">
        <v>Reserve Currency</v>
      </c>
      <c r="D5236" t="str">
        <v>SB</v>
      </c>
      <c r="E5236">
        <v>0</v>
      </c>
      <c r="F5236">
        <v>36777957.02128166</v>
      </c>
    </row>
    <row r="5237" spans="2:6" ht="15.75" customHeight="1" x14ac:dyDescent="0.25">
      <c r="B5237" t="str">
        <v>Snowbl Capital</v>
      </c>
      <c r="C5237" t="str">
        <v>Onchain Capital Allocator</v>
      </c>
      <c r="D5237" t="str">
        <v>-</v>
      </c>
      <c r="E5237">
        <v>308031.42761855375</v>
      </c>
      <c r="F5237">
        <v>0</v>
      </c>
    </row>
    <row r="5238" spans="2:6" ht="15.75" customHeight="1" x14ac:dyDescent="0.25">
      <c r="B5238" t="str">
        <v>SnowCatDAO</v>
      </c>
      <c r="C5238" t="str">
        <v>Reserve Currency</v>
      </c>
      <c r="D5238" t="str">
        <v>SCAT</v>
      </c>
      <c r="E5238">
        <v>0</v>
      </c>
      <c r="F5238">
        <v>0</v>
      </c>
    </row>
    <row r="5239" spans="2:6" ht="15.75" customHeight="1" x14ac:dyDescent="0.25">
      <c r="B5239" t="str">
        <v>Snowdog</v>
      </c>
      <c r="C5239" t="str">
        <v>Reserve Currency</v>
      </c>
      <c r="D5239" t="str">
        <v>SDOG</v>
      </c>
      <c r="E5239">
        <v>0.29157069152677167</v>
      </c>
      <c r="F5239">
        <v>0</v>
      </c>
    </row>
    <row r="5240" spans="2:6" ht="15.75" customHeight="1" x14ac:dyDescent="0.25">
      <c r="B5240" t="str">
        <v>Snowflake Exchange</v>
      </c>
      <c r="C5240" t="str">
        <v>Dexs</v>
      </c>
      <c r="D5240" t="str">
        <v>SNOW</v>
      </c>
      <c r="E5240">
        <v>106477.92158373598</v>
      </c>
      <c r="F5240">
        <v>0</v>
      </c>
    </row>
    <row r="5241" spans="2:6" ht="15.75" customHeight="1" x14ac:dyDescent="0.25">
      <c r="B5241" t="str">
        <v>SnowSwap</v>
      </c>
      <c r="C5241" t="str">
        <v>Dexs</v>
      </c>
      <c r="D5241" t="str">
        <v>SNOW</v>
      </c>
      <c r="E5241">
        <v>81976.938384241934</v>
      </c>
      <c r="F5241">
        <v>22877.570226911299</v>
      </c>
    </row>
    <row r="5242" spans="2:6" ht="15.75" customHeight="1" x14ac:dyDescent="0.25">
      <c r="B5242" t="str">
        <v>SnowSwap AMM</v>
      </c>
      <c r="C5242" t="str">
        <v>Dexs</v>
      </c>
      <c r="D5242" t="str">
        <v>-</v>
      </c>
      <c r="E5242">
        <v>97471.443701904413</v>
      </c>
      <c r="F5242">
        <v>0</v>
      </c>
    </row>
    <row r="5243" spans="2:6" ht="15.75" customHeight="1" x14ac:dyDescent="0.25">
      <c r="B5243" t="str">
        <v>Snowtomb</v>
      </c>
      <c r="C5243" t="str">
        <v>Algo-Stables</v>
      </c>
      <c r="D5243" t="str">
        <v>STOMB</v>
      </c>
      <c r="E5243">
        <v>0</v>
      </c>
      <c r="F5243">
        <v>0</v>
      </c>
    </row>
    <row r="5244" spans="2:6" ht="15.75" customHeight="1" x14ac:dyDescent="0.25">
      <c r="B5244" t="str">
        <v>Snowyowl</v>
      </c>
      <c r="C5244" t="str">
        <v>Algo-Stables</v>
      </c>
      <c r="D5244" t="str">
        <v>SNO</v>
      </c>
      <c r="E5244">
        <v>0</v>
      </c>
      <c r="F5244">
        <v>0</v>
      </c>
    </row>
    <row r="5245" spans="2:6" ht="15.75" customHeight="1" x14ac:dyDescent="0.25">
      <c r="B5245" t="str">
        <v>SoarPLS</v>
      </c>
      <c r="C5245" t="str">
        <v>Staking Pool</v>
      </c>
      <c r="D5245" t="str">
        <v>-</v>
      </c>
      <c r="E5245">
        <v>0.55077216923709682</v>
      </c>
      <c r="F5245">
        <v>0</v>
      </c>
    </row>
    <row r="5246" spans="2:6" ht="15.75" customHeight="1" x14ac:dyDescent="0.25">
      <c r="B5246" t="str">
        <v>Sobal</v>
      </c>
      <c r="C5246" t="str">
        <v>Dexs</v>
      </c>
      <c r="D5246" t="str">
        <v>-</v>
      </c>
      <c r="E5246">
        <v>121084.76115930852</v>
      </c>
      <c r="F5246">
        <v>0</v>
      </c>
    </row>
    <row r="5247" spans="2:6" ht="15.75" customHeight="1" x14ac:dyDescent="0.25">
      <c r="B5247" t="str">
        <v>SOBAX</v>
      </c>
      <c r="C5247" t="str">
        <v>Derivatives</v>
      </c>
      <c r="D5247" t="str">
        <v>SBX</v>
      </c>
      <c r="E5247">
        <v>4059.3024106921157</v>
      </c>
      <c r="F5247">
        <v>0</v>
      </c>
    </row>
    <row r="5248" spans="2:6" ht="15.75" customHeight="1" x14ac:dyDescent="0.25">
      <c r="B5248" t="str">
        <v>SocialSwap</v>
      </c>
      <c r="C5248" t="str">
        <v>Dexs</v>
      </c>
      <c r="D5248" t="str">
        <v>SST</v>
      </c>
      <c r="E5248">
        <v>313291.51196789439</v>
      </c>
      <c r="F5248">
        <v>0</v>
      </c>
    </row>
    <row r="5249" spans="2:6" ht="15.75" customHeight="1" x14ac:dyDescent="0.25">
      <c r="B5249" t="str">
        <v>Sociogram</v>
      </c>
      <c r="C5249" t="str">
        <v>SoFi</v>
      </c>
      <c r="D5249" t="str">
        <v>-</v>
      </c>
      <c r="E5249">
        <v>0</v>
      </c>
      <c r="F5249">
        <v>0</v>
      </c>
    </row>
    <row r="5250" spans="2:6" ht="15.75" customHeight="1" x14ac:dyDescent="0.25">
      <c r="B5250" t="str">
        <v>SOCKET Protocol</v>
      </c>
      <c r="C5250" t="str">
        <v>Bridge Aggregator</v>
      </c>
      <c r="D5250" t="str">
        <v>-</v>
      </c>
      <c r="E5250">
        <v>0</v>
      </c>
      <c r="F5250">
        <v>0</v>
      </c>
    </row>
    <row r="5251" spans="2:6" ht="15.75" customHeight="1" x14ac:dyDescent="0.25">
      <c r="B5251" t="str">
        <v>Soda Protocol</v>
      </c>
      <c r="C5251" t="str">
        <v>Lending</v>
      </c>
      <c r="D5251" t="str">
        <v>-</v>
      </c>
      <c r="E5251">
        <v>7.5752450445176506E-2</v>
      </c>
      <c r="F5251">
        <v>0</v>
      </c>
    </row>
    <row r="5252" spans="2:6" ht="15.75" customHeight="1" x14ac:dyDescent="0.25">
      <c r="B5252" t="str">
        <v>SoDEX</v>
      </c>
      <c r="C5252" t="str">
        <v>Dexs</v>
      </c>
      <c r="D5252" t="str">
        <v>SOSO</v>
      </c>
      <c r="E5252">
        <v>1383597.6318311784</v>
      </c>
      <c r="F5252">
        <v>0</v>
      </c>
    </row>
    <row r="5253" spans="2:6" ht="15.75" customHeight="1" x14ac:dyDescent="0.25">
      <c r="B5253" t="str">
        <v>SOFA.org</v>
      </c>
      <c r="C5253" t="str">
        <v>Options</v>
      </c>
      <c r="D5253" t="str">
        <v>RCH</v>
      </c>
      <c r="E5253">
        <v>1014942.5458223732</v>
      </c>
      <c r="F5253">
        <v>5086276.8242107984</v>
      </c>
    </row>
    <row r="5254" spans="2:6" ht="15.75" customHeight="1" x14ac:dyDescent="0.25">
      <c r="B5254" t="str">
        <v>Sohei</v>
      </c>
      <c r="C5254" t="str">
        <v>Lending</v>
      </c>
      <c r="D5254" t="str">
        <v>HEI</v>
      </c>
      <c r="E5254">
        <v>2.0009900027717867E-6</v>
      </c>
      <c r="F5254">
        <v>0</v>
      </c>
    </row>
    <row r="5255" spans="2:6" ht="15.75" customHeight="1" x14ac:dyDescent="0.25">
      <c r="B5255" t="str">
        <v>Solace</v>
      </c>
      <c r="C5255" t="str">
        <v>Insurance</v>
      </c>
      <c r="D5255" t="str">
        <v>SOLACE</v>
      </c>
      <c r="E5255">
        <v>0</v>
      </c>
      <c r="F5255">
        <v>0.40752684825927299</v>
      </c>
    </row>
    <row r="5256" spans="2:6" ht="15.75" customHeight="1" x14ac:dyDescent="0.25">
      <c r="B5256" t="str">
        <v>Solana</v>
      </c>
      <c r="C5256" t="str">
        <v>Canonical Bridge</v>
      </c>
      <c r="D5256" t="str">
        <v>SOL</v>
      </c>
      <c r="E5256">
        <v>0</v>
      </c>
      <c r="F5256">
        <v>77673527255.340347</v>
      </c>
    </row>
    <row r="5257" spans="2:6" ht="15.75" customHeight="1" x14ac:dyDescent="0.25">
      <c r="B5257" t="str">
        <v>Solana Farm</v>
      </c>
      <c r="C5257" t="str">
        <v>Dexs</v>
      </c>
      <c r="D5257" t="str">
        <v>SOL</v>
      </c>
      <c r="E5257">
        <v>293.81677233748093</v>
      </c>
      <c r="F5257">
        <v>0</v>
      </c>
    </row>
    <row r="5258" spans="2:6" ht="15.75" customHeight="1" x14ac:dyDescent="0.25">
      <c r="B5258" t="str">
        <v>Solana Miner</v>
      </c>
      <c r="C5258" t="str">
        <v>Staking Pool</v>
      </c>
      <c r="D5258" t="str">
        <v>-</v>
      </c>
      <c r="E5258">
        <v>0</v>
      </c>
      <c r="F5258">
        <v>0</v>
      </c>
    </row>
    <row r="5259" spans="2:6" ht="15.75" customHeight="1" x14ac:dyDescent="0.25">
      <c r="B5259" t="str">
        <v>Solana Name Service</v>
      </c>
      <c r="C5259" t="str">
        <v>Domains</v>
      </c>
      <c r="D5259" t="str">
        <v>SNS</v>
      </c>
      <c r="E5259">
        <v>0</v>
      </c>
      <c r="F5259">
        <v>3969686.4635115927</v>
      </c>
    </row>
    <row r="5260" spans="2:6" ht="15.75" customHeight="1" x14ac:dyDescent="0.25">
      <c r="B5260" t="str">
        <v>SolanaHub Staked SOL</v>
      </c>
      <c r="C5260" t="str">
        <v>Liquid Staking</v>
      </c>
      <c r="D5260" t="str">
        <v>-</v>
      </c>
      <c r="E5260">
        <v>1246030.4821650309</v>
      </c>
      <c r="F5260">
        <v>0</v>
      </c>
    </row>
    <row r="5261" spans="2:6" ht="15.75" customHeight="1" x14ac:dyDescent="0.25">
      <c r="B5261" t="str">
        <v>Solanax</v>
      </c>
      <c r="C5261" t="str">
        <v>Dexs</v>
      </c>
      <c r="D5261" t="str">
        <v>SOLD</v>
      </c>
      <c r="E5261">
        <v>0</v>
      </c>
      <c r="F5261">
        <v>61511.019027972798</v>
      </c>
    </row>
    <row r="5262" spans="2:6" ht="15.75" customHeight="1" x14ac:dyDescent="0.25">
      <c r="B5262" t="str">
        <v>Solar Dex</v>
      </c>
      <c r="C5262" t="str">
        <v>Dexs</v>
      </c>
      <c r="D5262" t="str">
        <v>-</v>
      </c>
      <c r="E5262">
        <v>673.25189083870259</v>
      </c>
      <c r="F5262">
        <v>0</v>
      </c>
    </row>
    <row r="5263" spans="2:6" ht="15.75" customHeight="1" x14ac:dyDescent="0.25">
      <c r="B5263" t="str">
        <v>Solarbeam</v>
      </c>
      <c r="C5263" t="str">
        <v>Dexs</v>
      </c>
      <c r="D5263" t="str">
        <v>SOLAR</v>
      </c>
      <c r="E5263">
        <v>276194.80564738077</v>
      </c>
      <c r="F5263">
        <v>32653.156472089471</v>
      </c>
    </row>
    <row r="5264" spans="2:6" ht="15.75" customHeight="1" x14ac:dyDescent="0.25">
      <c r="B5264" t="str">
        <v>Solarflare</v>
      </c>
      <c r="C5264" t="str">
        <v>Dexs</v>
      </c>
      <c r="D5264" t="str">
        <v>FLARE</v>
      </c>
      <c r="E5264">
        <v>20737.980745379878</v>
      </c>
      <c r="F5264">
        <v>0</v>
      </c>
    </row>
    <row r="5265" spans="2:6" ht="15.75" customHeight="1" x14ac:dyDescent="0.25">
      <c r="B5265" t="str">
        <v>Solayer Restaking</v>
      </c>
      <c r="C5265" t="str">
        <v>Restaking</v>
      </c>
      <c r="D5265" t="str">
        <v>LAYER</v>
      </c>
      <c r="E5265">
        <v>26778883.939854898</v>
      </c>
      <c r="F5265">
        <v>0</v>
      </c>
    </row>
    <row r="5266" spans="2:6" ht="15.75" customHeight="1" x14ac:dyDescent="0.25">
      <c r="B5266" t="str">
        <v>Solayer USD</v>
      </c>
      <c r="C5266" t="str">
        <v>RWA</v>
      </c>
      <c r="D5266" t="str">
        <v>LAYER</v>
      </c>
      <c r="E5266">
        <v>0</v>
      </c>
      <c r="F5266">
        <v>0</v>
      </c>
    </row>
    <row r="5267" spans="2:6" ht="15.75" customHeight="1" x14ac:dyDescent="0.25">
      <c r="B5267" t="str">
        <v>Solbank Finance</v>
      </c>
      <c r="C5267" t="str">
        <v>Yield</v>
      </c>
      <c r="D5267" t="str">
        <v>SB</v>
      </c>
      <c r="E5267">
        <v>2.8989189804722226</v>
      </c>
      <c r="F5267">
        <v>0</v>
      </c>
    </row>
    <row r="5268" spans="2:6" ht="15.75" customHeight="1" x14ac:dyDescent="0.25">
      <c r="B5268" t="str">
        <v>Solera</v>
      </c>
      <c r="C5268" t="str">
        <v>Lending</v>
      </c>
      <c r="D5268" t="str">
        <v>-</v>
      </c>
      <c r="E5268">
        <v>13679210.261032008</v>
      </c>
      <c r="F5268">
        <v>0</v>
      </c>
    </row>
    <row r="5269" spans="2:6" ht="15.75" customHeight="1" x14ac:dyDescent="0.25">
      <c r="B5269" t="str">
        <v>SolFi V1</v>
      </c>
      <c r="C5269" t="str">
        <v>Dexs</v>
      </c>
      <c r="D5269" t="str">
        <v>-</v>
      </c>
      <c r="E5269">
        <v>0</v>
      </c>
      <c r="F5269">
        <v>0</v>
      </c>
    </row>
    <row r="5270" spans="2:6" ht="15.75" customHeight="1" x14ac:dyDescent="0.25">
      <c r="B5270" t="str">
        <v>SolFi V2</v>
      </c>
      <c r="C5270" t="str">
        <v>Dexs</v>
      </c>
      <c r="D5270" t="str">
        <v>-</v>
      </c>
      <c r="E5270">
        <v>0</v>
      </c>
      <c r="F5270">
        <v>0</v>
      </c>
    </row>
    <row r="5271" spans="2:6" ht="15.75" customHeight="1" x14ac:dyDescent="0.25">
      <c r="B5271" t="str">
        <v>SOLID</v>
      </c>
      <c r="C5271" t="str">
        <v>CDP</v>
      </c>
      <c r="D5271" t="str">
        <v>-</v>
      </c>
      <c r="E5271">
        <v>82997.006918482948</v>
      </c>
      <c r="F5271">
        <v>69922.004723374979</v>
      </c>
    </row>
    <row r="5272" spans="2:6" ht="15.75" customHeight="1" x14ac:dyDescent="0.25">
      <c r="B5272" t="str">
        <v>Solid World</v>
      </c>
      <c r="C5272" t="str">
        <v>RWA</v>
      </c>
      <c r="D5272" t="str">
        <v>-</v>
      </c>
      <c r="E5272">
        <v>0</v>
      </c>
      <c r="F5272">
        <v>0</v>
      </c>
    </row>
    <row r="5273" spans="2:6" ht="15.75" customHeight="1" x14ac:dyDescent="0.25">
      <c r="B5273" t="str">
        <v>Solid Yield</v>
      </c>
      <c r="C5273" t="str">
        <v>Yield</v>
      </c>
      <c r="D5273" t="str">
        <v>-</v>
      </c>
      <c r="E5273">
        <v>334971.49968112214</v>
      </c>
      <c r="F5273">
        <v>0</v>
      </c>
    </row>
    <row r="5274" spans="2:6" ht="15.75" customHeight="1" x14ac:dyDescent="0.25">
      <c r="B5274" t="str">
        <v>SolidBlast</v>
      </c>
      <c r="C5274" t="str">
        <v>Dexs</v>
      </c>
      <c r="D5274" t="str">
        <v>-</v>
      </c>
      <c r="E5274">
        <v>20.071510576679465</v>
      </c>
      <c r="F5274">
        <v>0</v>
      </c>
    </row>
    <row r="5275" spans="2:6" ht="15.75" customHeight="1" x14ac:dyDescent="0.25">
      <c r="B5275" t="str">
        <v>Solidex</v>
      </c>
      <c r="C5275" t="str">
        <v>Yield Aggregator</v>
      </c>
      <c r="D5275" t="str">
        <v>SEX</v>
      </c>
      <c r="E5275">
        <v>35729.73618852353</v>
      </c>
      <c r="F5275">
        <v>0</v>
      </c>
    </row>
    <row r="5276" spans="2:6" ht="15.75" customHeight="1" x14ac:dyDescent="0.25">
      <c r="B5276" t="str">
        <v>SoliDex Finance V2</v>
      </c>
      <c r="C5276" t="str">
        <v>Dexs</v>
      </c>
      <c r="D5276" t="str">
        <v>SDX</v>
      </c>
      <c r="E5276">
        <v>23203.18136941706</v>
      </c>
      <c r="F5276">
        <v>0</v>
      </c>
    </row>
    <row r="5277" spans="2:6" ht="15.75" customHeight="1" x14ac:dyDescent="0.25">
      <c r="B5277" t="str">
        <v>SoliDex Finance V3</v>
      </c>
      <c r="C5277" t="str">
        <v>Dexs</v>
      </c>
      <c r="D5277" t="str">
        <v>SDX</v>
      </c>
      <c r="E5277">
        <v>90485.450138551038</v>
      </c>
      <c r="F5277">
        <v>0</v>
      </c>
    </row>
    <row r="5278" spans="2:6" ht="15.75" customHeight="1" x14ac:dyDescent="0.25">
      <c r="B5278" t="str">
        <v>SolidLizard Dex</v>
      </c>
      <c r="C5278" t="str">
        <v>Dexs</v>
      </c>
      <c r="D5278" t="str">
        <v>SLIZ</v>
      </c>
      <c r="E5278">
        <v>37515.479712843735</v>
      </c>
      <c r="F5278">
        <v>0</v>
      </c>
    </row>
    <row r="5279" spans="2:6" ht="15.75" customHeight="1" x14ac:dyDescent="0.25">
      <c r="B5279" t="str">
        <v>SolidLizard Lending</v>
      </c>
      <c r="C5279" t="str">
        <v>Lending</v>
      </c>
      <c r="D5279" t="str">
        <v>SCALES</v>
      </c>
      <c r="E5279">
        <v>7513.2589869251551</v>
      </c>
      <c r="F5279">
        <v>0</v>
      </c>
    </row>
    <row r="5280" spans="2:6" ht="15.75" customHeight="1" x14ac:dyDescent="0.25">
      <c r="B5280" t="str">
        <v>Solidly</v>
      </c>
      <c r="C5280" t="str">
        <v>Dexs</v>
      </c>
      <c r="D5280" t="str">
        <v>SOLID</v>
      </c>
      <c r="E5280">
        <v>27550.734396742908</v>
      </c>
      <c r="F5280">
        <v>0</v>
      </c>
    </row>
    <row r="5281" spans="2:6" ht="15.75" customHeight="1" x14ac:dyDescent="0.25">
      <c r="B5281" t="str">
        <v>Solidly V2</v>
      </c>
      <c r="C5281" t="str">
        <v>Dexs</v>
      </c>
      <c r="D5281" t="str">
        <v>SOLID</v>
      </c>
      <c r="E5281">
        <v>79997.394286929615</v>
      </c>
      <c r="F5281">
        <v>0</v>
      </c>
    </row>
    <row r="5282" spans="2:6" ht="15.75" customHeight="1" x14ac:dyDescent="0.25">
      <c r="B5282" t="str">
        <v>Solidly V3</v>
      </c>
      <c r="C5282" t="str">
        <v>Dexs</v>
      </c>
      <c r="D5282" t="str">
        <v>SOLID</v>
      </c>
      <c r="E5282">
        <v>454926.00083644595</v>
      </c>
      <c r="F5282">
        <v>0</v>
      </c>
    </row>
    <row r="5283" spans="2:6" ht="15.75" customHeight="1" x14ac:dyDescent="0.25">
      <c r="B5283" t="str">
        <v>Solido Cash</v>
      </c>
      <c r="C5283" t="str">
        <v>CDP</v>
      </c>
      <c r="D5283" t="str">
        <v>-</v>
      </c>
      <c r="E5283">
        <v>1514318.4772212447</v>
      </c>
      <c r="F5283">
        <v>0</v>
      </c>
    </row>
    <row r="5284" spans="2:6" ht="15.75" customHeight="1" x14ac:dyDescent="0.25">
      <c r="B5284" t="str">
        <v>Solido Flow</v>
      </c>
      <c r="C5284" t="str">
        <v>Liquid Staking</v>
      </c>
      <c r="D5284" t="str">
        <v>-</v>
      </c>
      <c r="E5284">
        <v>796126.68172965164</v>
      </c>
      <c r="F5284">
        <v>0</v>
      </c>
    </row>
    <row r="5285" spans="2:6" ht="15.75" customHeight="1" x14ac:dyDescent="0.25">
      <c r="B5285" t="str">
        <v>SolidPulse</v>
      </c>
      <c r="C5285" t="str">
        <v>Dexs</v>
      </c>
      <c r="D5285" t="str">
        <v>SOLID</v>
      </c>
      <c r="E5285">
        <v>1.0053105321218172E-17</v>
      </c>
      <c r="F5285">
        <v>0</v>
      </c>
    </row>
    <row r="5286" spans="2:6" ht="15.75" customHeight="1" x14ac:dyDescent="0.25">
      <c r="B5286" t="str">
        <v>Solily Protocol</v>
      </c>
      <c r="C5286" t="str">
        <v>Yield</v>
      </c>
      <c r="D5286" t="str">
        <v>LILY</v>
      </c>
      <c r="E5286">
        <v>0</v>
      </c>
      <c r="F5286">
        <v>0</v>
      </c>
    </row>
    <row r="5287" spans="2:6" ht="15.75" customHeight="1" x14ac:dyDescent="0.25">
      <c r="B5287" t="str">
        <v>SoliSnek Finance</v>
      </c>
      <c r="C5287" t="str">
        <v>Dexs</v>
      </c>
      <c r="D5287" t="str">
        <v>SNEK</v>
      </c>
      <c r="E5287">
        <v>10445.815864255983</v>
      </c>
      <c r="F5287">
        <v>0</v>
      </c>
    </row>
    <row r="5288" spans="2:6" ht="15.75" customHeight="1" x14ac:dyDescent="0.25">
      <c r="B5288" t="str">
        <v>Solo Top</v>
      </c>
      <c r="C5288" t="str">
        <v>Yield</v>
      </c>
      <c r="D5288" t="str">
        <v>-</v>
      </c>
      <c r="E5288">
        <v>1089573.4530515827</v>
      </c>
      <c r="F5288">
        <v>0</v>
      </c>
    </row>
    <row r="5289" spans="2:6" ht="15.75" customHeight="1" x14ac:dyDescent="0.25">
      <c r="B5289" t="str">
        <v>Sologenic</v>
      </c>
      <c r="C5289" t="str">
        <v>Dexs</v>
      </c>
      <c r="D5289" t="str">
        <v>SOLO</v>
      </c>
      <c r="E5289">
        <v>0</v>
      </c>
      <c r="F5289">
        <v>62607020.813559152</v>
      </c>
    </row>
    <row r="5290" spans="2:6" ht="15.75" customHeight="1" x14ac:dyDescent="0.25">
      <c r="B5290" t="str">
        <v>Solomon USDv</v>
      </c>
      <c r="C5290" t="str">
        <v>Basis Trading</v>
      </c>
      <c r="D5290" t="str">
        <v>SOLO</v>
      </c>
      <c r="E5290">
        <v>3005452.090942082</v>
      </c>
      <c r="F5290">
        <v>10774691.867672287</v>
      </c>
    </row>
    <row r="5291" spans="2:6" ht="15.75" customHeight="1" x14ac:dyDescent="0.25">
      <c r="B5291" t="str">
        <v>Solrise Finance</v>
      </c>
      <c r="C5291" t="str">
        <v>Indexes</v>
      </c>
      <c r="D5291" t="str">
        <v>SLRS</v>
      </c>
      <c r="E5291">
        <v>0</v>
      </c>
      <c r="F5291">
        <v>38439.126810351292</v>
      </c>
    </row>
    <row r="5292" spans="2:6" ht="15.75" customHeight="1" x14ac:dyDescent="0.25">
      <c r="B5292" t="str">
        <v>Solstice USX</v>
      </c>
      <c r="C5292" t="str">
        <v>Basis Trading</v>
      </c>
      <c r="D5292" t="str">
        <v>-</v>
      </c>
      <c r="E5292">
        <v>302665132.63378698</v>
      </c>
      <c r="F5292">
        <v>0</v>
      </c>
    </row>
    <row r="5293" spans="2:6" ht="15.75" customHeight="1" x14ac:dyDescent="0.25">
      <c r="B5293" t="str">
        <v>SolTradingBot</v>
      </c>
      <c r="C5293" t="str">
        <v>Telegram Bot</v>
      </c>
      <c r="D5293" t="str">
        <v>STBOT</v>
      </c>
      <c r="E5293">
        <v>0</v>
      </c>
      <c r="F5293">
        <v>0</v>
      </c>
    </row>
    <row r="5294" spans="2:6" ht="15.75" customHeight="1" x14ac:dyDescent="0.25">
      <c r="B5294" t="str">
        <v>Soluna</v>
      </c>
      <c r="C5294" t="str">
        <v>Yield</v>
      </c>
      <c r="D5294" t="str">
        <v>SLNA</v>
      </c>
      <c r="E5294">
        <v>2445.0065532879566</v>
      </c>
      <c r="F5294">
        <v>58.780982451783963</v>
      </c>
    </row>
    <row r="5295" spans="2:6" ht="15.75" customHeight="1" x14ac:dyDescent="0.25">
      <c r="B5295" t="str">
        <v>Solunea</v>
      </c>
      <c r="C5295" t="str">
        <v>Dexs</v>
      </c>
      <c r="D5295" t="str">
        <v>-</v>
      </c>
      <c r="E5295">
        <v>27605.152460830948</v>
      </c>
      <c r="F5295">
        <v>0</v>
      </c>
    </row>
    <row r="5296" spans="2:6" ht="15.75" customHeight="1" x14ac:dyDescent="0.25">
      <c r="B5296" t="str">
        <v>Solv Basis Trading</v>
      </c>
      <c r="C5296" t="str">
        <v>Basis Trading</v>
      </c>
      <c r="D5296" t="str">
        <v>SOLV</v>
      </c>
      <c r="E5296">
        <v>222574332.20869949</v>
      </c>
      <c r="F5296">
        <v>0</v>
      </c>
    </row>
    <row r="5297" spans="2:6" ht="15.75" customHeight="1" x14ac:dyDescent="0.25">
      <c r="B5297" t="str">
        <v>Solv Others</v>
      </c>
      <c r="C5297" t="str">
        <v>Anchor BTC</v>
      </c>
      <c r="D5297" t="str">
        <v>-</v>
      </c>
      <c r="E5297">
        <v>2896434.6375159235</v>
      </c>
      <c r="F5297">
        <v>0</v>
      </c>
    </row>
    <row r="5298" spans="2:6" ht="15.75" customHeight="1" x14ac:dyDescent="0.25">
      <c r="B5298" t="str">
        <v>Solv RWA</v>
      </c>
      <c r="C5298" t="str">
        <v>RWA</v>
      </c>
      <c r="D5298" t="str">
        <v>SOLV</v>
      </c>
      <c r="E5298">
        <v>946875.99274612649</v>
      </c>
      <c r="F5298">
        <v>0</v>
      </c>
    </row>
    <row r="5299" spans="2:6" ht="15.75" customHeight="1" x14ac:dyDescent="0.25">
      <c r="B5299" t="str">
        <v>Solv Strategies</v>
      </c>
      <c r="C5299" t="str">
        <v>Onchain Capital Allocator</v>
      </c>
      <c r="D5299" t="str">
        <v>-</v>
      </c>
      <c r="E5299">
        <v>194890114.08195373</v>
      </c>
      <c r="F5299">
        <v>0</v>
      </c>
    </row>
    <row r="5300" spans="2:6" ht="15.75" customHeight="1" x14ac:dyDescent="0.25">
      <c r="B5300" t="str">
        <v>Solv Vesting</v>
      </c>
      <c r="C5300" t="str">
        <v>RWA</v>
      </c>
      <c r="D5300" t="str">
        <v>SOLV</v>
      </c>
      <c r="E5300">
        <v>170011.17719705589</v>
      </c>
      <c r="F5300">
        <v>0</v>
      </c>
    </row>
    <row r="5301" spans="2:6" ht="15.75" customHeight="1" x14ac:dyDescent="0.25">
      <c r="B5301" t="str">
        <v>SolvBTC</v>
      </c>
      <c r="C5301" t="str">
        <v>Bridge</v>
      </c>
      <c r="D5301" t="str">
        <v>SOLV</v>
      </c>
      <c r="E5301">
        <v>1000834339.3541003</v>
      </c>
      <c r="F5301">
        <v>0</v>
      </c>
    </row>
    <row r="5302" spans="2:6" ht="15.75" customHeight="1" x14ac:dyDescent="0.25">
      <c r="B5302" t="str">
        <v>SolvBTC LSTs</v>
      </c>
      <c r="C5302" t="str">
        <v>Restaked BTC</v>
      </c>
      <c r="D5302" t="str">
        <v>-</v>
      </c>
      <c r="E5302">
        <v>181108405.11197782</v>
      </c>
      <c r="F5302">
        <v>0</v>
      </c>
    </row>
    <row r="5303" spans="2:6" ht="15.75" customHeight="1" x14ac:dyDescent="0.25">
      <c r="B5303" t="str">
        <v>Solyard</v>
      </c>
      <c r="C5303" t="str">
        <v>Yield</v>
      </c>
      <c r="D5303" t="str">
        <v>YARD</v>
      </c>
      <c r="E5303">
        <v>0</v>
      </c>
      <c r="F5303">
        <v>168.16607604212419</v>
      </c>
    </row>
    <row r="5304" spans="2:6" ht="15.75" customHeight="1" x14ac:dyDescent="0.25">
      <c r="B5304" t="str">
        <v>Sommelier</v>
      </c>
      <c r="C5304" t="str">
        <v>Onchain Capital Allocator</v>
      </c>
      <c r="D5304" t="str">
        <v>SOMM</v>
      </c>
      <c r="E5304">
        <v>1498897.1107447587</v>
      </c>
      <c r="F5304">
        <v>266727.01053003734</v>
      </c>
    </row>
    <row r="5305" spans="2:6" ht="15.75" customHeight="1" x14ac:dyDescent="0.25">
      <c r="B5305" t="str">
        <v>Somnex DEX</v>
      </c>
      <c r="C5305" t="str">
        <v>Dexs</v>
      </c>
      <c r="D5305" t="str">
        <v>-</v>
      </c>
      <c r="E5305">
        <v>36461.106576724633</v>
      </c>
      <c r="F5305">
        <v>0</v>
      </c>
    </row>
    <row r="5306" spans="2:6" ht="15.75" customHeight="1" x14ac:dyDescent="0.25">
      <c r="B5306" t="str">
        <v>Somnex Perp</v>
      </c>
      <c r="C5306" t="str">
        <v>Derivatives</v>
      </c>
      <c r="D5306" t="str">
        <v>-</v>
      </c>
      <c r="E5306">
        <v>86931.805732596986</v>
      </c>
      <c r="F5306">
        <v>0</v>
      </c>
    </row>
    <row r="5307" spans="2:6" ht="15.75" customHeight="1" x14ac:dyDescent="0.25">
      <c r="B5307" t="str">
        <v>Somnex V3</v>
      </c>
      <c r="C5307" t="str">
        <v>Dexs</v>
      </c>
      <c r="D5307" t="str">
        <v>-</v>
      </c>
      <c r="E5307">
        <v>93515.30365391649</v>
      </c>
      <c r="F5307">
        <v>0</v>
      </c>
    </row>
    <row r="5308" spans="2:6" ht="15.75" customHeight="1" x14ac:dyDescent="0.25">
      <c r="B5308" t="str">
        <v>Somnia Exchange</v>
      </c>
      <c r="C5308" t="str">
        <v>Dexs</v>
      </c>
      <c r="D5308" t="str">
        <v>NIA</v>
      </c>
      <c r="E5308">
        <v>196802.80232051178</v>
      </c>
      <c r="F5308">
        <v>40500.099073532881</v>
      </c>
    </row>
    <row r="5309" spans="2:6" ht="15.75" customHeight="1" x14ac:dyDescent="0.25">
      <c r="B5309" t="str">
        <v>SoneFi AMM</v>
      </c>
      <c r="C5309" t="str">
        <v>Dexs</v>
      </c>
      <c r="D5309" t="str">
        <v>-</v>
      </c>
      <c r="E5309">
        <v>111973.92301862423</v>
      </c>
      <c r="F5309">
        <v>0</v>
      </c>
    </row>
    <row r="5310" spans="2:6" ht="15.75" customHeight="1" x14ac:dyDescent="0.25">
      <c r="B5310" t="str">
        <v>SoneFi Perp</v>
      </c>
      <c r="C5310" t="str">
        <v>Derivatives</v>
      </c>
      <c r="D5310" t="str">
        <v>-</v>
      </c>
      <c r="E5310">
        <v>368499.52038139408</v>
      </c>
      <c r="F5310">
        <v>0</v>
      </c>
    </row>
    <row r="5311" spans="2:6" ht="15.75" customHeight="1" x14ac:dyDescent="0.25">
      <c r="B5311" t="str">
        <v>Soneium Bridge</v>
      </c>
      <c r="C5311" t="str">
        <v>Canonical Bridge</v>
      </c>
      <c r="D5311" t="str">
        <v>-</v>
      </c>
      <c r="E5311">
        <v>353673.97450568172</v>
      </c>
      <c r="F5311">
        <v>0</v>
      </c>
    </row>
    <row r="5312" spans="2:6" ht="15.75" customHeight="1" x14ac:dyDescent="0.25">
      <c r="B5312" t="str">
        <v>Sonex</v>
      </c>
      <c r="C5312" t="str">
        <v>Dexs</v>
      </c>
      <c r="D5312" t="str">
        <v>-</v>
      </c>
      <c r="E5312">
        <v>316690.30349565682</v>
      </c>
      <c r="F5312">
        <v>0</v>
      </c>
    </row>
    <row r="5313" spans="2:6" ht="15.75" customHeight="1" x14ac:dyDescent="0.25">
      <c r="B5313" t="str">
        <v>SongTech</v>
      </c>
      <c r="C5313" t="str">
        <v>SoFi</v>
      </c>
      <c r="D5313" t="str">
        <v>-</v>
      </c>
      <c r="E5313">
        <v>16392.438429272734</v>
      </c>
      <c r="F5313">
        <v>0</v>
      </c>
    </row>
    <row r="5314" spans="2:6" ht="15.75" customHeight="1" x14ac:dyDescent="0.25">
      <c r="B5314" t="str">
        <v>Sonic Gateway</v>
      </c>
      <c r="C5314" t="str">
        <v>Canonical Bridge</v>
      </c>
      <c r="D5314" t="str">
        <v>-</v>
      </c>
      <c r="E5314">
        <v>137454387.40434626</v>
      </c>
      <c r="F5314">
        <v>0</v>
      </c>
    </row>
    <row r="5315" spans="2:6" ht="15.75" customHeight="1" x14ac:dyDescent="0.25">
      <c r="B5315" t="str">
        <v>Sonic ICP</v>
      </c>
      <c r="C5315" t="str">
        <v>Dexs</v>
      </c>
      <c r="D5315" t="str">
        <v>SONIC</v>
      </c>
      <c r="E5315">
        <v>3179680.9251252282</v>
      </c>
      <c r="F5315">
        <v>0</v>
      </c>
    </row>
    <row r="5316" spans="2:6" ht="15.75" customHeight="1" x14ac:dyDescent="0.25">
      <c r="B5316" t="str">
        <v>Sonic Market AMM</v>
      </c>
      <c r="C5316" t="str">
        <v>Dexs</v>
      </c>
      <c r="D5316" t="str">
        <v>-</v>
      </c>
      <c r="E5316">
        <v>797.69958223566073</v>
      </c>
      <c r="F5316">
        <v>0</v>
      </c>
    </row>
    <row r="5317" spans="2:6" ht="15.75" customHeight="1" x14ac:dyDescent="0.25">
      <c r="B5317" t="str">
        <v>Sonic Market Liquidity Vault</v>
      </c>
      <c r="C5317" t="str">
        <v>Dexs</v>
      </c>
      <c r="D5317" t="str">
        <v>-</v>
      </c>
      <c r="E5317">
        <v>3084.7933849494966</v>
      </c>
      <c r="F5317">
        <v>0</v>
      </c>
    </row>
    <row r="5318" spans="2:6" ht="15.75" customHeight="1" x14ac:dyDescent="0.25">
      <c r="B5318" t="str">
        <v>Sonic Market OrderBook</v>
      </c>
      <c r="C5318" t="str">
        <v>Dexs</v>
      </c>
      <c r="D5318" t="str">
        <v>-</v>
      </c>
      <c r="E5318">
        <v>4729.1794683270946</v>
      </c>
      <c r="F5318">
        <v>0</v>
      </c>
    </row>
    <row r="5319" spans="2:6" ht="15.75" customHeight="1" x14ac:dyDescent="0.25">
      <c r="B5319" t="str">
        <v>SonicSwap</v>
      </c>
      <c r="C5319" t="str">
        <v>Dexs</v>
      </c>
      <c r="D5319" t="str">
        <v>SONIC</v>
      </c>
      <c r="E5319">
        <v>4508.9995946991703</v>
      </c>
      <c r="F5319">
        <v>0</v>
      </c>
    </row>
    <row r="5320" spans="2:6" ht="15.75" customHeight="1" x14ac:dyDescent="0.25">
      <c r="B5320" t="str">
        <v>Sonicxswap</v>
      </c>
      <c r="C5320" t="str">
        <v>Dexs</v>
      </c>
      <c r="D5320" t="str">
        <v>-</v>
      </c>
      <c r="E5320">
        <v>3479.9223261571201</v>
      </c>
      <c r="F5320">
        <v>0</v>
      </c>
    </row>
    <row r="5321" spans="2:6" ht="15.75" customHeight="1" x14ac:dyDescent="0.25">
      <c r="B5321" t="str">
        <v>Sonne Finance</v>
      </c>
      <c r="C5321" t="str">
        <v>Lending</v>
      </c>
      <c r="D5321" t="str">
        <v>SONNE</v>
      </c>
      <c r="E5321">
        <v>313811.42431530874</v>
      </c>
      <c r="F5321">
        <v>26924.395400591999</v>
      </c>
    </row>
    <row r="5322" spans="2:6" ht="15.75" customHeight="1" x14ac:dyDescent="0.25">
      <c r="B5322" t="str">
        <v>Sonus Exchange AMM</v>
      </c>
      <c r="C5322" t="str">
        <v>Dexs</v>
      </c>
      <c r="D5322" t="str">
        <v>SONUS</v>
      </c>
      <c r="E5322">
        <v>48058.399373721542</v>
      </c>
      <c r="F5322">
        <v>0</v>
      </c>
    </row>
    <row r="5323" spans="2:6" ht="15.75" customHeight="1" x14ac:dyDescent="0.25">
      <c r="B5323" t="str">
        <v>Sonus Exchange CLMM</v>
      </c>
      <c r="C5323" t="str">
        <v>Dexs</v>
      </c>
      <c r="D5323" t="str">
        <v>SONUS</v>
      </c>
      <c r="E5323">
        <v>7816.0077480646596</v>
      </c>
      <c r="F5323">
        <v>0</v>
      </c>
    </row>
    <row r="5324" spans="2:6" ht="15.75" customHeight="1" x14ac:dyDescent="0.25">
      <c r="B5324" t="str">
        <v>Sophon Bridge</v>
      </c>
      <c r="C5324" t="str">
        <v>Canonical Bridge</v>
      </c>
      <c r="D5324" t="str">
        <v>-</v>
      </c>
      <c r="E5324">
        <v>146067583.0732466</v>
      </c>
      <c r="F5324">
        <v>0</v>
      </c>
    </row>
    <row r="5325" spans="2:6" ht="15.75" customHeight="1" x14ac:dyDescent="0.25">
      <c r="B5325" t="str">
        <v>Sorare Bridge</v>
      </c>
      <c r="C5325" t="str">
        <v>Canonical Bridge</v>
      </c>
      <c r="D5325" t="str">
        <v>-</v>
      </c>
      <c r="E5325">
        <v>8592309.8855682202</v>
      </c>
      <c r="F5325">
        <v>0</v>
      </c>
    </row>
    <row r="5326" spans="2:6" ht="15.75" customHeight="1" x14ac:dyDescent="0.25">
      <c r="B5326" t="str">
        <v>Soroswap</v>
      </c>
      <c r="C5326" t="str">
        <v>Dexs</v>
      </c>
      <c r="D5326" t="str">
        <v>-</v>
      </c>
      <c r="E5326">
        <v>4735742.4203642989</v>
      </c>
      <c r="F5326">
        <v>0</v>
      </c>
    </row>
    <row r="5327" spans="2:6" ht="15.75" customHeight="1" x14ac:dyDescent="0.25">
      <c r="B5327" t="str">
        <v>Sorta Finance</v>
      </c>
      <c r="C5327" t="str">
        <v>Lending</v>
      </c>
      <c r="D5327" t="str">
        <v>STA</v>
      </c>
      <c r="E5327">
        <v>81391.768194845863</v>
      </c>
      <c r="F5327">
        <v>0</v>
      </c>
    </row>
    <row r="5328" spans="2:6" ht="15.75" customHeight="1" x14ac:dyDescent="0.25">
      <c r="B5328" t="str">
        <v>SoSoValue Basis</v>
      </c>
      <c r="C5328" t="str">
        <v>Basis Trading</v>
      </c>
      <c r="D5328" t="str">
        <v>SOSO</v>
      </c>
      <c r="E5328">
        <v>4092815.7479976718</v>
      </c>
      <c r="F5328">
        <v>0</v>
      </c>
    </row>
    <row r="5329" spans="2:6" ht="15.75" customHeight="1" x14ac:dyDescent="0.25">
      <c r="B5329" t="str">
        <v>SoSoValue Indexes</v>
      </c>
      <c r="C5329" t="str">
        <v>Indexes</v>
      </c>
      <c r="D5329" t="str">
        <v>SOSO</v>
      </c>
      <c r="E5329">
        <v>129255755.95360205</v>
      </c>
      <c r="F5329">
        <v>0</v>
      </c>
    </row>
    <row r="5330" spans="2:6" ht="15.75" customHeight="1" x14ac:dyDescent="0.25">
      <c r="B5330" t="str">
        <v>Soswap</v>
      </c>
      <c r="C5330" t="str">
        <v>Dexs</v>
      </c>
      <c r="D5330" t="str">
        <v>-</v>
      </c>
      <c r="E5330">
        <v>13054.860210993002</v>
      </c>
      <c r="F5330">
        <v>0</v>
      </c>
    </row>
    <row r="5331" spans="2:6" ht="15.75" customHeight="1" x14ac:dyDescent="0.25">
      <c r="B5331" t="str">
        <v>SoulSwap</v>
      </c>
      <c r="C5331" t="str">
        <v>Dexs</v>
      </c>
      <c r="D5331" t="str">
        <v>SOUL</v>
      </c>
      <c r="E5331">
        <v>4314.6093515120619</v>
      </c>
      <c r="F5331">
        <v>0</v>
      </c>
    </row>
    <row r="5332" spans="2:6" ht="15.75" customHeight="1" x14ac:dyDescent="0.25">
      <c r="B5332" t="str">
        <v>Sovryn Bridge</v>
      </c>
      <c r="C5332" t="str">
        <v>Canonical Bridge</v>
      </c>
      <c r="D5332" t="str">
        <v>-</v>
      </c>
      <c r="E5332">
        <v>3762689.1997541417</v>
      </c>
      <c r="F5332">
        <v>0</v>
      </c>
    </row>
    <row r="5333" spans="2:6" ht="15.75" customHeight="1" x14ac:dyDescent="0.25">
      <c r="B5333" t="str">
        <v>Sovryn Dex</v>
      </c>
      <c r="C5333" t="str">
        <v>Dexs</v>
      </c>
      <c r="D5333" t="str">
        <v>SOV</v>
      </c>
      <c r="E5333">
        <v>12384305.604665663</v>
      </c>
      <c r="F5333">
        <v>0</v>
      </c>
    </row>
    <row r="5334" spans="2:6" ht="15.75" customHeight="1" x14ac:dyDescent="0.25">
      <c r="B5334" t="str">
        <v>Sovryn Lend</v>
      </c>
      <c r="C5334" t="str">
        <v>Lending</v>
      </c>
      <c r="D5334" t="str">
        <v>SOV</v>
      </c>
      <c r="E5334">
        <v>4126683.4756849045</v>
      </c>
      <c r="F5334">
        <v>0</v>
      </c>
    </row>
    <row r="5335" spans="2:6" ht="15.75" customHeight="1" x14ac:dyDescent="0.25">
      <c r="B5335" t="str">
        <v>Sovryn Zero</v>
      </c>
      <c r="C5335" t="str">
        <v>CDP</v>
      </c>
      <c r="D5335" t="str">
        <v>SOV</v>
      </c>
      <c r="E5335">
        <v>29802130.554977305</v>
      </c>
      <c r="F5335">
        <v>0</v>
      </c>
    </row>
    <row r="5336" spans="2:6" ht="15.75" customHeight="1" x14ac:dyDescent="0.25">
      <c r="B5336" t="str">
        <v>Soy Finance</v>
      </c>
      <c r="C5336" t="str">
        <v>Dexs</v>
      </c>
      <c r="D5336" t="str">
        <v>SOY</v>
      </c>
      <c r="E5336">
        <v>3278.3847824692411</v>
      </c>
      <c r="F5336">
        <v>81614.661927267007</v>
      </c>
    </row>
    <row r="5337" spans="2:6" ht="15.75" customHeight="1" x14ac:dyDescent="0.25">
      <c r="B5337" t="str">
        <v>Spaace</v>
      </c>
      <c r="C5337" t="str">
        <v>NFT Marketplace</v>
      </c>
      <c r="D5337" t="str">
        <v>SPAACE</v>
      </c>
      <c r="E5337">
        <v>0</v>
      </c>
      <c r="F5337">
        <v>0</v>
      </c>
    </row>
    <row r="5338" spans="2:6" ht="15.75" customHeight="1" x14ac:dyDescent="0.25">
      <c r="B5338" t="str">
        <v>Space and Time</v>
      </c>
      <c r="C5338" t="str">
        <v>Developer Tools</v>
      </c>
      <c r="D5338" t="str">
        <v>SXT</v>
      </c>
      <c r="E5338">
        <v>0</v>
      </c>
      <c r="F5338">
        <v>72720635.169967219</v>
      </c>
    </row>
    <row r="5339" spans="2:6" ht="15.75" customHeight="1" x14ac:dyDescent="0.25">
      <c r="B5339" t="str">
        <v>Spacebar</v>
      </c>
      <c r="C5339" t="str">
        <v>Gaming</v>
      </c>
      <c r="D5339" t="str">
        <v>AIR</v>
      </c>
      <c r="E5339">
        <v>637.76783920173841</v>
      </c>
      <c r="F5339">
        <v>0</v>
      </c>
    </row>
    <row r="5340" spans="2:6" ht="15.75" customHeight="1" x14ac:dyDescent="0.25">
      <c r="B5340" t="str">
        <v>SpaceDex</v>
      </c>
      <c r="C5340" t="str">
        <v>Derivatives</v>
      </c>
      <c r="D5340" t="str">
        <v>FLN</v>
      </c>
      <c r="E5340">
        <v>1761.7420911053964</v>
      </c>
      <c r="F5340">
        <v>0</v>
      </c>
    </row>
    <row r="5341" spans="2:6" ht="15.75" customHeight="1" x14ac:dyDescent="0.25">
      <c r="B5341" t="str">
        <v>SpaceFi Evmos</v>
      </c>
      <c r="C5341" t="str">
        <v>Dexs</v>
      </c>
      <c r="D5341" t="str">
        <v>SPACE</v>
      </c>
      <c r="E5341">
        <v>6211.2046517197923</v>
      </c>
      <c r="F5341">
        <v>0</v>
      </c>
    </row>
    <row r="5342" spans="2:6" ht="15.75" customHeight="1" x14ac:dyDescent="0.25">
      <c r="B5342" t="str">
        <v>SpaceFi Scroll</v>
      </c>
      <c r="C5342" t="str">
        <v>Dexs</v>
      </c>
      <c r="D5342" t="str">
        <v>SPACE</v>
      </c>
      <c r="E5342">
        <v>68306.640295986945</v>
      </c>
      <c r="F5342">
        <v>0</v>
      </c>
    </row>
    <row r="5343" spans="2:6" ht="15.75" customHeight="1" x14ac:dyDescent="0.25">
      <c r="B5343" t="str">
        <v>SpaceFi zkSync</v>
      </c>
      <c r="C5343" t="str">
        <v>Dexs</v>
      </c>
      <c r="D5343" t="str">
        <v>SPACE</v>
      </c>
      <c r="E5343">
        <v>1742093.3800733043</v>
      </c>
      <c r="F5343">
        <v>0</v>
      </c>
    </row>
    <row r="5344" spans="2:6" ht="15.75" customHeight="1" x14ac:dyDescent="0.25">
      <c r="B5344" t="str">
        <v>SpaceWhale</v>
      </c>
      <c r="C5344" t="str">
        <v>Derivatives</v>
      </c>
      <c r="D5344" t="str">
        <v>-</v>
      </c>
      <c r="E5344">
        <v>11622.937124993841</v>
      </c>
      <c r="F5344">
        <v>0</v>
      </c>
    </row>
    <row r="5345" spans="2:6" ht="15.75" customHeight="1" x14ac:dyDescent="0.25">
      <c r="B5345" t="str">
        <v>Spade Finance</v>
      </c>
      <c r="C5345" t="str">
        <v>Farm</v>
      </c>
      <c r="D5345" t="str">
        <v>SPADE</v>
      </c>
      <c r="E5345">
        <v>3.1110351691263314</v>
      </c>
      <c r="F5345">
        <v>0</v>
      </c>
    </row>
    <row r="5346" spans="2:6" ht="15.75" customHeight="1" x14ac:dyDescent="0.25">
      <c r="B5346" t="str">
        <v>Spark Liquidity Layer</v>
      </c>
      <c r="C5346" t="str">
        <v>Onchain Capital Allocator</v>
      </c>
      <c r="D5346" t="str">
        <v>SPK</v>
      </c>
      <c r="E5346">
        <v>2127811127.5856683</v>
      </c>
      <c r="F5346">
        <v>0</v>
      </c>
    </row>
    <row r="5347" spans="2:6" ht="15.75" customHeight="1" x14ac:dyDescent="0.25">
      <c r="B5347" t="str">
        <v>Spark Savings</v>
      </c>
      <c r="C5347" t="str">
        <v>Yield</v>
      </c>
      <c r="D5347" t="str">
        <v>SPK</v>
      </c>
      <c r="E5347">
        <v>2211729639.9206972</v>
      </c>
      <c r="F5347">
        <v>0</v>
      </c>
    </row>
    <row r="5348" spans="2:6" ht="15.75" customHeight="1" x14ac:dyDescent="0.25">
      <c r="B5348" t="str">
        <v>SparkDEX Perps</v>
      </c>
      <c r="C5348" t="str">
        <v>Derivatives</v>
      </c>
      <c r="D5348" t="str">
        <v>SPRK</v>
      </c>
      <c r="E5348">
        <v>3577343.1434983276</v>
      </c>
      <c r="F5348">
        <v>0</v>
      </c>
    </row>
    <row r="5349" spans="2:6" ht="15.75" customHeight="1" x14ac:dyDescent="0.25">
      <c r="B5349" t="str">
        <v>SparkDEX V2</v>
      </c>
      <c r="C5349" t="str">
        <v>Dexs</v>
      </c>
      <c r="D5349" t="str">
        <v>SPRK</v>
      </c>
      <c r="E5349">
        <v>4155.5297988580642</v>
      </c>
      <c r="F5349">
        <v>0</v>
      </c>
    </row>
    <row r="5350" spans="2:6" ht="15.75" customHeight="1" x14ac:dyDescent="0.25">
      <c r="B5350" t="str">
        <v>SparkDEX V3</v>
      </c>
      <c r="C5350" t="str">
        <v>Dexs</v>
      </c>
      <c r="D5350" t="str">
        <v>SPRK</v>
      </c>
      <c r="E5350">
        <v>8992.8966134648781</v>
      </c>
      <c r="F5350">
        <v>0</v>
      </c>
    </row>
    <row r="5351" spans="2:6" ht="15.75" customHeight="1" x14ac:dyDescent="0.25">
      <c r="B5351" t="str">
        <v>SparkDEX V3.1</v>
      </c>
      <c r="C5351" t="str">
        <v>Dexs</v>
      </c>
      <c r="D5351" t="str">
        <v>SPRK</v>
      </c>
      <c r="E5351">
        <v>60613057.083401687</v>
      </c>
      <c r="F5351">
        <v>0</v>
      </c>
    </row>
    <row r="5352" spans="2:6" ht="15.75" customHeight="1" x14ac:dyDescent="0.25">
      <c r="B5352" t="str">
        <v>SparkLend</v>
      </c>
      <c r="C5352" t="str">
        <v>Lending</v>
      </c>
      <c r="D5352" t="str">
        <v>SPK</v>
      </c>
      <c r="E5352">
        <v>3544935185.8793726</v>
      </c>
      <c r="F5352">
        <v>0</v>
      </c>
    </row>
    <row r="5353" spans="2:6" ht="15.75" customHeight="1" x14ac:dyDescent="0.25">
      <c r="B5353" t="str">
        <v>SparkleX</v>
      </c>
      <c r="C5353" t="str">
        <v>Yield</v>
      </c>
      <c r="D5353" t="str">
        <v>-</v>
      </c>
      <c r="E5353">
        <v>404434.3453539944</v>
      </c>
      <c r="F5353">
        <v>0</v>
      </c>
    </row>
    <row r="5354" spans="2:6" ht="15.75" customHeight="1" x14ac:dyDescent="0.25">
      <c r="B5354" t="str">
        <v>Sparkswap</v>
      </c>
      <c r="C5354" t="str">
        <v>Farm</v>
      </c>
      <c r="D5354" t="str">
        <v>SPARK</v>
      </c>
      <c r="E5354">
        <v>191829.24425352315</v>
      </c>
      <c r="F5354">
        <v>0</v>
      </c>
    </row>
    <row r="5355" spans="2:6" ht="15.75" customHeight="1" x14ac:dyDescent="0.25">
      <c r="B5355" t="str">
        <v>Spartacadabra</v>
      </c>
      <c r="C5355" t="str">
        <v>CDP</v>
      </c>
      <c r="D5355" t="str">
        <v>CHARM</v>
      </c>
      <c r="E5355">
        <v>0</v>
      </c>
      <c r="F5355">
        <v>0</v>
      </c>
    </row>
    <row r="5356" spans="2:6" ht="15.75" customHeight="1" x14ac:dyDescent="0.25">
      <c r="B5356" t="str">
        <v>Spartacus</v>
      </c>
      <c r="C5356" t="str">
        <v>Reserve Currency</v>
      </c>
      <c r="D5356" t="str">
        <v>SPA</v>
      </c>
      <c r="E5356">
        <v>0</v>
      </c>
      <c r="F5356">
        <v>0</v>
      </c>
    </row>
    <row r="5357" spans="2:6" ht="15.75" customHeight="1" x14ac:dyDescent="0.25">
      <c r="B5357" t="str">
        <v>Spartacus Exchange</v>
      </c>
      <c r="C5357" t="str">
        <v>Dexs</v>
      </c>
      <c r="D5357" t="str">
        <v>-</v>
      </c>
      <c r="E5357">
        <v>50.238524302577339</v>
      </c>
      <c r="F5357">
        <v>0</v>
      </c>
    </row>
    <row r="5358" spans="2:6" ht="15.75" customHeight="1" x14ac:dyDescent="0.25">
      <c r="B5358" t="str">
        <v>SpartaDex</v>
      </c>
      <c r="C5358" t="str">
        <v>Dexs</v>
      </c>
      <c r="D5358" t="str">
        <v>SPARTA</v>
      </c>
      <c r="E5358">
        <v>245262.52661015085</v>
      </c>
      <c r="F5358">
        <v>69790.993052049555</v>
      </c>
    </row>
    <row r="5359" spans="2:6" ht="15.75" customHeight="1" x14ac:dyDescent="0.25">
      <c r="B5359" t="str">
        <v>Spartan</v>
      </c>
      <c r="C5359" t="str">
        <v>Dexs</v>
      </c>
      <c r="D5359" t="str">
        <v>SPARTA</v>
      </c>
      <c r="E5359">
        <v>9024.1854717010592</v>
      </c>
      <c r="F5359">
        <v>26007.272870227269</v>
      </c>
    </row>
    <row r="5360" spans="2:6" ht="15.75" customHeight="1" x14ac:dyDescent="0.25">
      <c r="B5360" t="str">
        <v>Specter Finance</v>
      </c>
      <c r="C5360" t="str">
        <v>Algo-Stables</v>
      </c>
      <c r="D5360" t="str">
        <v>SPECTER</v>
      </c>
      <c r="E5360">
        <v>0</v>
      </c>
      <c r="F5360">
        <v>0</v>
      </c>
    </row>
    <row r="5361" spans="2:6" ht="15.75" customHeight="1" x14ac:dyDescent="0.25">
      <c r="B5361" t="str">
        <v>Spectra V1</v>
      </c>
      <c r="C5361" t="str">
        <v>Yield Aggregator</v>
      </c>
      <c r="D5361" t="str">
        <v>SPECTRA</v>
      </c>
      <c r="E5361">
        <v>180770.12492884192</v>
      </c>
      <c r="F5361">
        <v>0</v>
      </c>
    </row>
    <row r="5362" spans="2:6" ht="15.75" customHeight="1" x14ac:dyDescent="0.25">
      <c r="B5362" t="str">
        <v>Spectra V2</v>
      </c>
      <c r="C5362" t="str">
        <v>Yield</v>
      </c>
      <c r="D5362" t="str">
        <v>SPECTRA</v>
      </c>
      <c r="E5362">
        <v>40877568.868655689</v>
      </c>
      <c r="F5362">
        <v>0</v>
      </c>
    </row>
    <row r="5363" spans="2:6" ht="15.75" customHeight="1" x14ac:dyDescent="0.25">
      <c r="B5363" t="str">
        <v>SpectreFi</v>
      </c>
      <c r="C5363" t="str">
        <v>Farm</v>
      </c>
      <c r="D5363" t="str">
        <v>SPECT</v>
      </c>
      <c r="E5363">
        <v>19357.690037352815</v>
      </c>
      <c r="F5363">
        <v>0</v>
      </c>
    </row>
    <row r="5364" spans="2:6" ht="15.75" customHeight="1" x14ac:dyDescent="0.25">
      <c r="B5364" t="str">
        <v>Spectrum Protocol</v>
      </c>
      <c r="C5364" t="str">
        <v>Yield</v>
      </c>
      <c r="D5364" t="str">
        <v>SPEC</v>
      </c>
      <c r="E5364">
        <v>10978.239718429644</v>
      </c>
      <c r="F5364">
        <v>112724.08834891237</v>
      </c>
    </row>
    <row r="5365" spans="2:6" ht="15.75" customHeight="1" x14ac:dyDescent="0.25">
      <c r="B5365" t="str">
        <v>Spectrumswap</v>
      </c>
      <c r="C5365" t="str">
        <v>Farm</v>
      </c>
      <c r="D5365" t="str">
        <v>SPECTRUM</v>
      </c>
      <c r="E5365">
        <v>615.18681001506468</v>
      </c>
      <c r="F5365">
        <v>0</v>
      </c>
    </row>
    <row r="5366" spans="2:6" ht="15.75" customHeight="1" x14ac:dyDescent="0.25">
      <c r="B5366" t="str">
        <v>SpeedTrading</v>
      </c>
      <c r="C5366" t="str">
        <v>Derivatives</v>
      </c>
      <c r="D5366" t="str">
        <v>-</v>
      </c>
      <c r="E5366">
        <v>0</v>
      </c>
      <c r="F5366">
        <v>0</v>
      </c>
    </row>
    <row r="5367" spans="2:6" ht="15.75" customHeight="1" x14ac:dyDescent="0.25">
      <c r="B5367" t="str">
        <v>Sperax Demeter</v>
      </c>
      <c r="C5367" t="str">
        <v>Farm</v>
      </c>
      <c r="D5367" t="str">
        <v>SPA</v>
      </c>
      <c r="E5367">
        <v>14389.635860226746</v>
      </c>
      <c r="F5367">
        <v>0</v>
      </c>
    </row>
    <row r="5368" spans="2:6" ht="15.75" customHeight="1" x14ac:dyDescent="0.25">
      <c r="B5368" t="str">
        <v>Sperax Demeter V2</v>
      </c>
      <c r="C5368" t="str">
        <v>Farm</v>
      </c>
      <c r="D5368" t="str">
        <v>SPA</v>
      </c>
      <c r="E5368">
        <v>60653.861221996849</v>
      </c>
      <c r="F5368">
        <v>0</v>
      </c>
    </row>
    <row r="5369" spans="2:6" ht="15.75" customHeight="1" x14ac:dyDescent="0.25">
      <c r="B5369" t="str">
        <v>Sperax USD</v>
      </c>
      <c r="C5369" t="str">
        <v>Yield Aggregator</v>
      </c>
      <c r="D5369" t="str">
        <v>SPA</v>
      </c>
      <c r="E5369">
        <v>851664.58829494519</v>
      </c>
      <c r="F5369">
        <v>1130620.8503037074</v>
      </c>
    </row>
    <row r="5370" spans="2:6" ht="15.75" customHeight="1" x14ac:dyDescent="0.25">
      <c r="B5370" t="str">
        <v>Sphere Finance</v>
      </c>
      <c r="C5370" t="str">
        <v>Yield</v>
      </c>
      <c r="D5370" t="str">
        <v>SPHERE</v>
      </c>
      <c r="E5370">
        <v>6204491.9410021566</v>
      </c>
      <c r="F5370">
        <v>238913.50660458827</v>
      </c>
    </row>
    <row r="5371" spans="2:6" ht="15.75" customHeight="1" x14ac:dyDescent="0.25">
      <c r="B5371" t="str">
        <v>Spherium</v>
      </c>
      <c r="C5371" t="str">
        <v>Cross Chain Bridge</v>
      </c>
      <c r="D5371" t="str">
        <v>SPHRI</v>
      </c>
      <c r="E5371">
        <v>3.7536601953990813E-3</v>
      </c>
      <c r="F5371">
        <v>0</v>
      </c>
    </row>
    <row r="5372" spans="2:6" ht="15.75" customHeight="1" x14ac:dyDescent="0.25">
      <c r="B5372" t="str">
        <v>Sphynx</v>
      </c>
      <c r="C5372" t="str">
        <v>Dexs</v>
      </c>
      <c r="D5372" t="str">
        <v>SPHYNX</v>
      </c>
      <c r="E5372">
        <v>83427.226703884749</v>
      </c>
      <c r="F5372">
        <v>0</v>
      </c>
    </row>
    <row r="5373" spans="2:6" ht="15.75" customHeight="1" x14ac:dyDescent="0.25">
      <c r="B5373" t="str">
        <v>Spice</v>
      </c>
      <c r="C5373" t="str">
        <v>Dexs</v>
      </c>
      <c r="D5373" t="str">
        <v>-</v>
      </c>
      <c r="E5373">
        <v>178.78592241079383</v>
      </c>
      <c r="F5373">
        <v>0</v>
      </c>
    </row>
    <row r="5374" spans="2:6" ht="15.75" customHeight="1" x14ac:dyDescent="0.25">
      <c r="B5374" t="str">
        <v>Spice Finance</v>
      </c>
      <c r="C5374" t="str">
        <v>Yield Aggregator</v>
      </c>
      <c r="D5374" t="str">
        <v>-</v>
      </c>
      <c r="E5374">
        <v>171520.80421384037</v>
      </c>
      <c r="F5374">
        <v>0</v>
      </c>
    </row>
    <row r="5375" spans="2:6" ht="15.75" customHeight="1" x14ac:dyDescent="0.25">
      <c r="B5375" t="str">
        <v>SPICE Protocol</v>
      </c>
      <c r="C5375" t="str">
        <v>RWA</v>
      </c>
      <c r="D5375" t="str">
        <v>-</v>
      </c>
      <c r="E5375">
        <v>55416.398292406135</v>
      </c>
      <c r="F5375">
        <v>0</v>
      </c>
    </row>
    <row r="5376" spans="2:6" ht="15.75" customHeight="1" x14ac:dyDescent="0.25">
      <c r="B5376" t="str">
        <v>Spice Trade</v>
      </c>
      <c r="C5376" t="str">
        <v>Algo-Stables</v>
      </c>
      <c r="D5376" t="str">
        <v>SPICE</v>
      </c>
      <c r="E5376">
        <v>10795.866502888606</v>
      </c>
      <c r="F5376">
        <v>490.84780005744966</v>
      </c>
    </row>
    <row r="5377" spans="2:6" ht="15.75" customHeight="1" x14ac:dyDescent="0.25">
      <c r="B5377" t="str">
        <v>Spicy DAO</v>
      </c>
      <c r="C5377" t="str">
        <v>Reserve Currency</v>
      </c>
      <c r="D5377" t="str">
        <v>SPC</v>
      </c>
      <c r="E5377">
        <v>274.6290794913956</v>
      </c>
      <c r="F5377">
        <v>0</v>
      </c>
    </row>
    <row r="5378" spans="2:6" ht="15.75" customHeight="1" x14ac:dyDescent="0.25">
      <c r="B5378" t="str">
        <v>SpicySwap</v>
      </c>
      <c r="C5378" t="str">
        <v>Dexs</v>
      </c>
      <c r="D5378" t="str">
        <v>SPI</v>
      </c>
      <c r="E5378">
        <v>92663.409976727038</v>
      </c>
      <c r="F5378">
        <v>0</v>
      </c>
    </row>
    <row r="5379" spans="2:6" ht="15.75" customHeight="1" x14ac:dyDescent="0.25">
      <c r="B5379" t="str">
        <v>Spiko</v>
      </c>
      <c r="C5379" t="str">
        <v>RWA</v>
      </c>
      <c r="D5379" t="str">
        <v>-</v>
      </c>
      <c r="E5379">
        <v>609905436.40926528</v>
      </c>
      <c r="F5379">
        <v>0</v>
      </c>
    </row>
    <row r="5380" spans="2:6" ht="15.75" customHeight="1" x14ac:dyDescent="0.25">
      <c r="B5380" t="str">
        <v>Spin DOV</v>
      </c>
      <c r="C5380" t="str">
        <v>Options Vault</v>
      </c>
      <c r="D5380" t="str">
        <v>-</v>
      </c>
      <c r="E5380">
        <v>12800.997583834094</v>
      </c>
      <c r="F5380">
        <v>0</v>
      </c>
    </row>
    <row r="5381" spans="2:6" ht="15.75" customHeight="1" x14ac:dyDescent="0.25">
      <c r="B5381" t="str">
        <v>Spin Perps</v>
      </c>
      <c r="C5381" t="str">
        <v>Derivatives</v>
      </c>
      <c r="D5381" t="str">
        <v>-</v>
      </c>
      <c r="E5381">
        <v>9789.4117609005443</v>
      </c>
      <c r="F5381">
        <v>0</v>
      </c>
    </row>
    <row r="5382" spans="2:6" ht="15.75" customHeight="1" x14ac:dyDescent="0.25">
      <c r="B5382" t="str">
        <v>Spin Spot</v>
      </c>
      <c r="C5382" t="str">
        <v>Dexs</v>
      </c>
      <c r="D5382" t="str">
        <v>-</v>
      </c>
      <c r="E5382">
        <v>36288.893085390329</v>
      </c>
      <c r="F5382">
        <v>0</v>
      </c>
    </row>
    <row r="5383" spans="2:6" ht="15.75" customHeight="1" x14ac:dyDescent="0.25">
      <c r="B5383" t="str">
        <v>SpinaqDex</v>
      </c>
      <c r="C5383" t="str">
        <v>Dexs</v>
      </c>
      <c r="D5383" t="str">
        <v>SPINAQ</v>
      </c>
      <c r="E5383">
        <v>1806.278833362471</v>
      </c>
      <c r="F5383">
        <v>0</v>
      </c>
    </row>
    <row r="5384" spans="2:6" ht="15.75" customHeight="1" x14ac:dyDescent="0.25">
      <c r="B5384" t="str">
        <v>Spindash</v>
      </c>
      <c r="C5384" t="str">
        <v>Prediction Market</v>
      </c>
      <c r="D5384" t="str">
        <v>SPINDASH</v>
      </c>
      <c r="E5384">
        <v>0</v>
      </c>
      <c r="F5384">
        <v>1650.5162245058248</v>
      </c>
    </row>
    <row r="5385" spans="2:6" ht="15.75" customHeight="1" x14ac:dyDescent="0.25">
      <c r="B5385" t="str">
        <v>SpinUp DEX</v>
      </c>
      <c r="C5385" t="str">
        <v>Dexs</v>
      </c>
      <c r="D5385" t="str">
        <v>-</v>
      </c>
      <c r="E5385">
        <v>216403.7911903999</v>
      </c>
      <c r="F5385">
        <v>0</v>
      </c>
    </row>
    <row r="5386" spans="2:6" ht="15.75" customHeight="1" x14ac:dyDescent="0.25">
      <c r="B5386" t="str">
        <v>SpinUp Launchpad</v>
      </c>
      <c r="C5386" t="str">
        <v>Launchpad</v>
      </c>
      <c r="D5386" t="str">
        <v>-</v>
      </c>
      <c r="E5386">
        <v>7259.3708920352983</v>
      </c>
      <c r="F5386">
        <v>0</v>
      </c>
    </row>
    <row r="5387" spans="2:6" ht="15.75" customHeight="1" x14ac:dyDescent="0.25">
      <c r="B5387" t="str">
        <v>SpinUp Liquid Staking</v>
      </c>
      <c r="C5387" t="str">
        <v>Liquid Staking</v>
      </c>
      <c r="D5387" t="str">
        <v>-</v>
      </c>
      <c r="E5387">
        <v>1595733.573057513</v>
      </c>
      <c r="F5387">
        <v>0</v>
      </c>
    </row>
    <row r="5388" spans="2:6" ht="15.75" customHeight="1" x14ac:dyDescent="0.25">
      <c r="B5388" t="str">
        <v>Spiral Fi Mixer</v>
      </c>
      <c r="C5388" t="str">
        <v>Privacy</v>
      </c>
      <c r="D5388" t="str">
        <v>SPIRAL</v>
      </c>
      <c r="E5388">
        <v>31.990571095060758</v>
      </c>
      <c r="F5388">
        <v>0</v>
      </c>
    </row>
    <row r="5389" spans="2:6" ht="15.75" customHeight="1" x14ac:dyDescent="0.25">
      <c r="B5389" t="str">
        <v>Spiral Finance</v>
      </c>
      <c r="C5389" t="str">
        <v>Yield Aggregator</v>
      </c>
      <c r="D5389" t="str">
        <v>SPR</v>
      </c>
      <c r="E5389">
        <v>62.613184229690532</v>
      </c>
      <c r="F5389">
        <v>0</v>
      </c>
    </row>
    <row r="5390" spans="2:6" ht="15.75" customHeight="1" x14ac:dyDescent="0.25">
      <c r="B5390" t="str">
        <v>SpiralDao</v>
      </c>
      <c r="C5390" t="str">
        <v>Yield</v>
      </c>
      <c r="D5390" t="str">
        <v>SPR</v>
      </c>
      <c r="E5390">
        <v>60.556756819498545</v>
      </c>
      <c r="F5390">
        <v>0</v>
      </c>
    </row>
    <row r="5391" spans="2:6" ht="15.75" customHeight="1" x14ac:dyDescent="0.25">
      <c r="B5391" t="str">
        <v>Spirit Farm</v>
      </c>
      <c r="C5391" t="str">
        <v>Farm</v>
      </c>
      <c r="D5391" t="str">
        <v>SPIRIT</v>
      </c>
      <c r="E5391">
        <v>0</v>
      </c>
      <c r="F5391">
        <v>0</v>
      </c>
    </row>
    <row r="5392" spans="2:6" ht="15.75" customHeight="1" x14ac:dyDescent="0.25">
      <c r="B5392" t="str">
        <v>SpiritDAO</v>
      </c>
      <c r="C5392" t="str">
        <v>Reserve Currency</v>
      </c>
      <c r="D5392" t="str">
        <v>GHOST</v>
      </c>
      <c r="E5392">
        <v>2028.2959529614625</v>
      </c>
      <c r="F5392">
        <v>0</v>
      </c>
    </row>
    <row r="5393" spans="2:6" ht="15.75" customHeight="1" x14ac:dyDescent="0.25">
      <c r="B5393" t="str">
        <v>SpiritSwap AMM</v>
      </c>
      <c r="C5393" t="str">
        <v>Dexs</v>
      </c>
      <c r="D5393" t="str">
        <v>SPIRIT</v>
      </c>
      <c r="E5393">
        <v>566856.80032800545</v>
      </c>
      <c r="F5393">
        <v>0</v>
      </c>
    </row>
    <row r="5394" spans="2:6" ht="15.75" customHeight="1" x14ac:dyDescent="0.25">
      <c r="B5394" t="str">
        <v>SpiritSwap Lending</v>
      </c>
      <c r="C5394" t="str">
        <v>Lending</v>
      </c>
      <c r="D5394" t="str">
        <v>SPIRIT</v>
      </c>
      <c r="E5394">
        <v>375.73687158424428</v>
      </c>
      <c r="F5394">
        <v>0</v>
      </c>
    </row>
    <row r="5395" spans="2:6" ht="15.75" customHeight="1" x14ac:dyDescent="0.25">
      <c r="B5395" t="str">
        <v>SpiritSwap V3</v>
      </c>
      <c r="C5395" t="str">
        <v>Dexs</v>
      </c>
      <c r="D5395" t="str">
        <v>-</v>
      </c>
      <c r="E5395">
        <v>1539.7340461092972</v>
      </c>
      <c r="F5395">
        <v>0</v>
      </c>
    </row>
    <row r="5396" spans="2:6" ht="15.75" customHeight="1" x14ac:dyDescent="0.25">
      <c r="B5396" t="str">
        <v>Splash Protocol</v>
      </c>
      <c r="C5396" t="str">
        <v>Dexs</v>
      </c>
      <c r="D5396" t="str">
        <v>SPLASH</v>
      </c>
      <c r="E5396">
        <v>6930090.9072542563</v>
      </c>
      <c r="F5396">
        <v>0</v>
      </c>
    </row>
    <row r="5397" spans="2:6" ht="15.75" customHeight="1" x14ac:dyDescent="0.25">
      <c r="B5397" t="str">
        <v>Splashing Stake</v>
      </c>
      <c r="C5397" t="str">
        <v>Liquid Staking</v>
      </c>
      <c r="D5397" t="str">
        <v>-</v>
      </c>
      <c r="E5397">
        <v>12418342.419590432</v>
      </c>
      <c r="F5397">
        <v>0</v>
      </c>
    </row>
    <row r="5398" spans="2:6" ht="15.75" customHeight="1" x14ac:dyDescent="0.25">
      <c r="B5398" t="str">
        <v>Splice Finance</v>
      </c>
      <c r="C5398" t="str">
        <v>Yield</v>
      </c>
      <c r="D5398" t="str">
        <v>-</v>
      </c>
      <c r="E5398">
        <v>538122.30654794408</v>
      </c>
      <c r="F5398">
        <v>0</v>
      </c>
    </row>
    <row r="5399" spans="2:6" ht="15.75" customHeight="1" x14ac:dyDescent="0.25">
      <c r="B5399" t="str">
        <v>Spooky Base</v>
      </c>
      <c r="C5399" t="str">
        <v>Dexs</v>
      </c>
      <c r="D5399" t="str">
        <v>SPOOKY</v>
      </c>
      <c r="E5399">
        <v>315.50098988009364</v>
      </c>
      <c r="F5399">
        <v>0</v>
      </c>
    </row>
    <row r="5400" spans="2:6" ht="15.75" customHeight="1" x14ac:dyDescent="0.25">
      <c r="B5400" t="str">
        <v>SpookySwap Perps</v>
      </c>
      <c r="C5400" t="str">
        <v>Interface</v>
      </c>
      <c r="D5400" t="str">
        <v>BOO</v>
      </c>
      <c r="E5400">
        <v>0</v>
      </c>
      <c r="F5400">
        <v>0</v>
      </c>
    </row>
    <row r="5401" spans="2:6" ht="15.75" customHeight="1" x14ac:dyDescent="0.25">
      <c r="B5401" t="str">
        <v>SpookySwap V2</v>
      </c>
      <c r="C5401" t="str">
        <v>Dexs</v>
      </c>
      <c r="D5401" t="str">
        <v>BOO</v>
      </c>
      <c r="E5401">
        <v>1977033.8363705482</v>
      </c>
      <c r="F5401">
        <v>0</v>
      </c>
    </row>
    <row r="5402" spans="2:6" ht="15.75" customHeight="1" x14ac:dyDescent="0.25">
      <c r="B5402" t="str">
        <v>SpookySwap V3</v>
      </c>
      <c r="C5402" t="str">
        <v>Dexs</v>
      </c>
      <c r="D5402" t="str">
        <v>BOO</v>
      </c>
      <c r="E5402">
        <v>73485.631162145844</v>
      </c>
      <c r="F5402">
        <v>0</v>
      </c>
    </row>
    <row r="5403" spans="2:6" ht="15.75" customHeight="1" x14ac:dyDescent="0.25">
      <c r="B5403" t="str">
        <v>Spoon Exchange</v>
      </c>
      <c r="C5403" t="str">
        <v>Dexs</v>
      </c>
      <c r="D5403" t="str">
        <v>POON</v>
      </c>
      <c r="E5403">
        <v>832.40627011600395</v>
      </c>
      <c r="F5403">
        <v>0</v>
      </c>
    </row>
    <row r="5404" spans="2:6" ht="15.75" customHeight="1" x14ac:dyDescent="0.25">
      <c r="B5404" t="str">
        <v>SportBet</v>
      </c>
      <c r="C5404" t="str">
        <v>Prediction Market</v>
      </c>
      <c r="D5404" t="str">
        <v>SBET</v>
      </c>
      <c r="E5404">
        <v>30.882824342998173</v>
      </c>
      <c r="F5404">
        <v>0</v>
      </c>
    </row>
    <row r="5405" spans="2:6" ht="15.75" customHeight="1" x14ac:dyDescent="0.25">
      <c r="B5405" t="str">
        <v>SPOT Cash</v>
      </c>
      <c r="C5405" t="str">
        <v>Algo-Stables</v>
      </c>
      <c r="D5405" t="str">
        <v>-</v>
      </c>
      <c r="E5405">
        <v>510528.06050992105</v>
      </c>
      <c r="F5405">
        <v>0</v>
      </c>
    </row>
    <row r="5406" spans="2:6" ht="15.75" customHeight="1" x14ac:dyDescent="0.25">
      <c r="B5406" t="str">
        <v>SpringSui</v>
      </c>
      <c r="C5406" t="str">
        <v>Liquid Staking</v>
      </c>
      <c r="D5406" t="str">
        <v>-</v>
      </c>
      <c r="E5406">
        <v>145334030.51379919</v>
      </c>
      <c r="F5406">
        <v>0</v>
      </c>
    </row>
    <row r="5407" spans="2:6" ht="15.75" customHeight="1" x14ac:dyDescent="0.25">
      <c r="B5407" t="str">
        <v>SpringSui Ecosystem</v>
      </c>
      <c r="C5407" t="str">
        <v>Liquid Staking</v>
      </c>
      <c r="D5407" t="str">
        <v>-</v>
      </c>
      <c r="E5407">
        <v>3326240.5669209408</v>
      </c>
      <c r="F5407">
        <v>0</v>
      </c>
    </row>
    <row r="5408" spans="2:6" ht="15.75" customHeight="1" x14ac:dyDescent="0.25">
      <c r="B5408" t="str">
        <v>Sprinter</v>
      </c>
      <c r="C5408" t="str">
        <v>Yield</v>
      </c>
      <c r="D5408" t="str">
        <v>-</v>
      </c>
      <c r="E5408">
        <v>1405508.2243589594</v>
      </c>
      <c r="F5408">
        <v>0</v>
      </c>
    </row>
    <row r="5409" spans="2:6" ht="15.75" customHeight="1" x14ac:dyDescent="0.25">
      <c r="B5409" t="str">
        <v>SQD.ai</v>
      </c>
      <c r="C5409" t="str">
        <v>Developer Tools</v>
      </c>
      <c r="D5409" t="str">
        <v>SQD</v>
      </c>
      <c r="E5409">
        <v>0</v>
      </c>
      <c r="F5409">
        <v>0</v>
      </c>
    </row>
    <row r="5410" spans="2:6" ht="15.75" customHeight="1" x14ac:dyDescent="0.25">
      <c r="B5410" t="str">
        <v>SquaDeFi</v>
      </c>
      <c r="C5410" t="str">
        <v>SoFi</v>
      </c>
      <c r="D5410" t="str">
        <v>-</v>
      </c>
      <c r="E5410">
        <v>38.089905668570402</v>
      </c>
      <c r="F5410">
        <v>0</v>
      </c>
    </row>
    <row r="5411" spans="2:6" ht="15.75" customHeight="1" x14ac:dyDescent="0.25">
      <c r="B5411" t="str">
        <v>SquadSwap Dynamo</v>
      </c>
      <c r="C5411" t="str">
        <v>Dexs</v>
      </c>
      <c r="D5411" t="str">
        <v>-</v>
      </c>
      <c r="E5411">
        <v>644177.62093455892</v>
      </c>
      <c r="F5411">
        <v>0</v>
      </c>
    </row>
    <row r="5412" spans="2:6" ht="15.75" customHeight="1" x14ac:dyDescent="0.25">
      <c r="B5412" t="str">
        <v>SquadSwap V2</v>
      </c>
      <c r="C5412" t="str">
        <v>Dexs</v>
      </c>
      <c r="D5412" t="str">
        <v>SQUAD</v>
      </c>
      <c r="E5412">
        <v>30259.71324657934</v>
      </c>
      <c r="F5412">
        <v>0</v>
      </c>
    </row>
    <row r="5413" spans="2:6" ht="15.75" customHeight="1" x14ac:dyDescent="0.25">
      <c r="B5413" t="str">
        <v>SquadSwap V3</v>
      </c>
      <c r="C5413" t="str">
        <v>Dexs</v>
      </c>
      <c r="D5413" t="str">
        <v>SQUAD</v>
      </c>
      <c r="E5413">
        <v>1946.1413952550201</v>
      </c>
      <c r="F5413">
        <v>0</v>
      </c>
    </row>
    <row r="5414" spans="2:6" ht="15.75" customHeight="1" x14ac:dyDescent="0.25">
      <c r="B5414" t="str">
        <v>SquadSwap WOW</v>
      </c>
      <c r="C5414" t="str">
        <v>Dexs</v>
      </c>
      <c r="D5414" t="str">
        <v>-</v>
      </c>
      <c r="E5414">
        <v>1412065.3589564252</v>
      </c>
      <c r="F5414">
        <v>0</v>
      </c>
    </row>
    <row r="5415" spans="2:6" ht="15.75" customHeight="1" x14ac:dyDescent="0.25">
      <c r="B5415" t="str">
        <v>Squaretower</v>
      </c>
      <c r="C5415" t="str">
        <v>Derivatives</v>
      </c>
      <c r="D5415" t="str">
        <v>-</v>
      </c>
      <c r="E5415">
        <v>0</v>
      </c>
      <c r="F5415">
        <v>0</v>
      </c>
    </row>
    <row r="5416" spans="2:6" ht="15.75" customHeight="1" x14ac:dyDescent="0.25">
      <c r="B5416" t="str">
        <v>Squid Stake</v>
      </c>
      <c r="C5416" t="str">
        <v>Yield</v>
      </c>
      <c r="D5416" t="str">
        <v>SQUID</v>
      </c>
      <c r="E5416">
        <v>12440.749272284331</v>
      </c>
      <c r="F5416">
        <v>0</v>
      </c>
    </row>
    <row r="5417" spans="2:6" ht="15.75" customHeight="1" x14ac:dyDescent="0.25">
      <c r="B5417" t="str">
        <v>Squid-Defi</v>
      </c>
      <c r="C5417" t="str">
        <v>Farm</v>
      </c>
      <c r="D5417" t="str">
        <v>SQUID</v>
      </c>
      <c r="E5417">
        <v>642.6619340405465</v>
      </c>
      <c r="F5417">
        <v>0</v>
      </c>
    </row>
    <row r="5418" spans="2:6" ht="15.75" customHeight="1" x14ac:dyDescent="0.25">
      <c r="B5418" t="str">
        <v>SquidDao</v>
      </c>
      <c r="C5418" t="str">
        <v>Reserve Currency</v>
      </c>
      <c r="D5418" t="str">
        <v>SQUID</v>
      </c>
      <c r="E5418">
        <v>0</v>
      </c>
      <c r="F5418">
        <v>207076.21964728623</v>
      </c>
    </row>
    <row r="5419" spans="2:6" ht="15.75" customHeight="1" x14ac:dyDescent="0.25">
      <c r="B5419" t="str">
        <v>SquidSwap</v>
      </c>
      <c r="C5419" t="str">
        <v>Dexs</v>
      </c>
      <c r="D5419" t="str">
        <v>SQUIDS</v>
      </c>
      <c r="E5419">
        <v>123636.49638929332</v>
      </c>
      <c r="F5419">
        <v>0</v>
      </c>
    </row>
    <row r="5420" spans="2:6" ht="15.75" customHeight="1" x14ac:dyDescent="0.25">
      <c r="B5420" t="str">
        <v>SRWA Lending</v>
      </c>
      <c r="C5420" t="str">
        <v>Lending</v>
      </c>
      <c r="D5420" t="str">
        <v>-</v>
      </c>
      <c r="E5420">
        <v>844.76839792735018</v>
      </c>
      <c r="F5420">
        <v>0</v>
      </c>
    </row>
    <row r="5421" spans="2:6" ht="15.75" customHeight="1" x14ac:dyDescent="0.25">
      <c r="B5421" t="str">
        <v>SSAP</v>
      </c>
      <c r="C5421" t="str">
        <v>Lending</v>
      </c>
      <c r="D5421" t="str">
        <v>-</v>
      </c>
      <c r="E5421">
        <v>1.0026755034659989</v>
      </c>
      <c r="F5421">
        <v>0</v>
      </c>
    </row>
    <row r="5422" spans="2:6" ht="15.75" customHeight="1" x14ac:dyDescent="0.25">
      <c r="B5422" t="str">
        <v>SSV Network</v>
      </c>
      <c r="C5422" t="str">
        <v>Staking Pool</v>
      </c>
      <c r="D5422" t="str">
        <v>-</v>
      </c>
      <c r="E5422">
        <v>0</v>
      </c>
      <c r="F5422">
        <v>0</v>
      </c>
    </row>
    <row r="5423" spans="2:6" ht="15.75" customHeight="1" x14ac:dyDescent="0.25">
      <c r="B5423" t="str">
        <v>STAB Protocol</v>
      </c>
      <c r="C5423" t="str">
        <v>CDP</v>
      </c>
      <c r="D5423" t="str">
        <v>ILIS</v>
      </c>
      <c r="E5423">
        <v>5441.6423970206952</v>
      </c>
      <c r="F5423">
        <v>12720.925239141645</v>
      </c>
    </row>
    <row r="5424" spans="2:6" ht="15.75" customHeight="1" x14ac:dyDescent="0.25">
      <c r="B5424" t="str">
        <v>stabble</v>
      </c>
      <c r="C5424" t="str">
        <v>Dexs</v>
      </c>
      <c r="D5424" t="str">
        <v>STB</v>
      </c>
      <c r="E5424">
        <v>1928410.9083448257</v>
      </c>
      <c r="F5424">
        <v>186084.22398321284</v>
      </c>
    </row>
    <row r="5425" spans="2:6" ht="15.75" customHeight="1" x14ac:dyDescent="0.25">
      <c r="B5425" t="str">
        <v>Stabil Finance</v>
      </c>
      <c r="C5425" t="str">
        <v>Yield Aggregator</v>
      </c>
      <c r="D5425" t="str">
        <v>-</v>
      </c>
      <c r="E5425">
        <v>18364.412333793141</v>
      </c>
      <c r="F5425">
        <v>0</v>
      </c>
    </row>
    <row r="5426" spans="2:6" ht="15.75" customHeight="1" x14ac:dyDescent="0.25">
      <c r="B5426" t="str">
        <v>Stability</v>
      </c>
      <c r="C5426" t="str">
        <v>Liquidity manager</v>
      </c>
      <c r="D5426" t="str">
        <v>STBL</v>
      </c>
      <c r="E5426">
        <v>503641.3896123278</v>
      </c>
      <c r="F5426">
        <v>162230.84480779147</v>
      </c>
    </row>
    <row r="5427" spans="2:6" ht="15.75" customHeight="1" x14ac:dyDescent="0.25">
      <c r="B5427" t="str">
        <v>Stabilize</v>
      </c>
      <c r="C5427" t="str">
        <v>CDP</v>
      </c>
      <c r="D5427" t="str">
        <v>SET</v>
      </c>
      <c r="E5427">
        <v>23720.427192359635</v>
      </c>
      <c r="F5427">
        <v>0</v>
      </c>
    </row>
    <row r="5428" spans="2:6" ht="15.75" customHeight="1" x14ac:dyDescent="0.25">
      <c r="B5428" t="str">
        <v>Stabl.fi V1</v>
      </c>
      <c r="C5428" t="str">
        <v>Yield</v>
      </c>
      <c r="D5428" t="str">
        <v>-</v>
      </c>
      <c r="E5428">
        <v>58636.858179583171</v>
      </c>
      <c r="F5428">
        <v>0</v>
      </c>
    </row>
    <row r="5429" spans="2:6" ht="15.75" customHeight="1" x14ac:dyDescent="0.25">
      <c r="B5429" t="str">
        <v>Stabl.fi V2</v>
      </c>
      <c r="C5429" t="str">
        <v>Yield</v>
      </c>
      <c r="D5429" t="str">
        <v>-</v>
      </c>
      <c r="E5429">
        <v>16453.333967647395</v>
      </c>
      <c r="F5429">
        <v>0</v>
      </c>
    </row>
    <row r="5430" spans="2:6" ht="15.75" customHeight="1" x14ac:dyDescent="0.25">
      <c r="B5430" t="str">
        <v>Stable Jack V1</v>
      </c>
      <c r="C5430" t="str">
        <v>Yield</v>
      </c>
      <c r="D5430" t="str">
        <v>JACK</v>
      </c>
      <c r="E5430">
        <v>2745548.0056497515</v>
      </c>
      <c r="F5430">
        <v>0</v>
      </c>
    </row>
    <row r="5431" spans="2:6" ht="15.75" customHeight="1" x14ac:dyDescent="0.25">
      <c r="B5431" t="str">
        <v>Stable Jack V2</v>
      </c>
      <c r="C5431" t="str">
        <v>Yield</v>
      </c>
      <c r="D5431" t="str">
        <v>JACK</v>
      </c>
      <c r="E5431">
        <v>89747.271522608818</v>
      </c>
      <c r="F5431">
        <v>0</v>
      </c>
    </row>
    <row r="5432" spans="2:6" ht="15.75" customHeight="1" x14ac:dyDescent="0.25">
      <c r="B5432" t="str">
        <v>StableBase</v>
      </c>
      <c r="C5432" t="str">
        <v>Dexs</v>
      </c>
      <c r="D5432" t="str">
        <v>SBASE</v>
      </c>
      <c r="E5432">
        <v>6117.8608026810807</v>
      </c>
      <c r="F5432">
        <v>0</v>
      </c>
    </row>
    <row r="5433" spans="2:6" ht="15.75" customHeight="1" x14ac:dyDescent="0.25">
      <c r="B5433" t="str">
        <v>Stablecomp</v>
      </c>
      <c r="C5433" t="str">
        <v>Yield Aggregator</v>
      </c>
      <c r="D5433" t="str">
        <v>SCOMP</v>
      </c>
      <c r="E5433">
        <v>1080.7797954741498</v>
      </c>
      <c r="F5433">
        <v>31450.151726381802</v>
      </c>
    </row>
    <row r="5434" spans="2:6" ht="15.75" customHeight="1" x14ac:dyDescent="0.25">
      <c r="B5434" t="str">
        <v>StableDoin</v>
      </c>
      <c r="C5434" t="str">
        <v>Dexs</v>
      </c>
      <c r="D5434" t="str">
        <v>DOIN</v>
      </c>
      <c r="E5434">
        <v>6.5742654599999997E-16</v>
      </c>
      <c r="F5434">
        <v>0</v>
      </c>
    </row>
    <row r="5435" spans="2:6" ht="15.75" customHeight="1" x14ac:dyDescent="0.25">
      <c r="B5435" t="str">
        <v>StableHodl</v>
      </c>
      <c r="C5435" t="str">
        <v>Yield</v>
      </c>
      <c r="D5435" t="str">
        <v>-</v>
      </c>
      <c r="E5435">
        <v>5950122.8608481437</v>
      </c>
      <c r="F5435">
        <v>0</v>
      </c>
    </row>
    <row r="5436" spans="2:6" ht="15.75" customHeight="1" x14ac:dyDescent="0.25">
      <c r="B5436" t="str">
        <v>StableKoi</v>
      </c>
      <c r="C5436" t="str">
        <v>Dexs</v>
      </c>
      <c r="D5436" t="str">
        <v>KOI</v>
      </c>
      <c r="E5436">
        <v>26077.350541372678</v>
      </c>
      <c r="F5436">
        <v>0</v>
      </c>
    </row>
    <row r="5437" spans="2:6" ht="15.75" customHeight="1" x14ac:dyDescent="0.25">
      <c r="B5437" t="str">
        <v>Stables Labs USDX</v>
      </c>
      <c r="C5437" t="str">
        <v>Basis Trading</v>
      </c>
      <c r="D5437" t="str">
        <v>USDX</v>
      </c>
      <c r="E5437">
        <v>27820613.519953486</v>
      </c>
      <c r="F5437">
        <v>27901582.28859517</v>
      </c>
    </row>
    <row r="5438" spans="2:6" ht="15.75" customHeight="1" x14ac:dyDescent="0.25">
      <c r="B5438" t="str">
        <v>StableSwap</v>
      </c>
      <c r="C5438" t="str">
        <v>Dexs</v>
      </c>
      <c r="D5438" t="str">
        <v>-</v>
      </c>
      <c r="E5438">
        <v>2.1597558100471095</v>
      </c>
      <c r="F5438">
        <v>0</v>
      </c>
    </row>
    <row r="5439" spans="2:6" ht="15.75" customHeight="1" x14ac:dyDescent="0.25">
      <c r="B5439" t="str">
        <v>Stableswap DEX</v>
      </c>
      <c r="C5439" t="str">
        <v>Dexs</v>
      </c>
      <c r="D5439" t="str">
        <v>-</v>
      </c>
      <c r="E5439">
        <v>693.58940681350987</v>
      </c>
      <c r="F5439">
        <v>0</v>
      </c>
    </row>
    <row r="5440" spans="2:6" ht="15.75" customHeight="1" x14ac:dyDescent="0.25">
      <c r="B5440" t="str">
        <v>Stablz</v>
      </c>
      <c r="C5440" t="str">
        <v>Yield</v>
      </c>
      <c r="D5440" t="str">
        <v>STABLZ</v>
      </c>
      <c r="E5440">
        <v>49.544129392860398</v>
      </c>
      <c r="F5440">
        <v>29318.434409843496</v>
      </c>
    </row>
    <row r="5441" spans="2:6" ht="15.75" customHeight="1" x14ac:dyDescent="0.25">
      <c r="B5441" t="str">
        <v>Stabull Finance</v>
      </c>
      <c r="C5441" t="str">
        <v>Dexs</v>
      </c>
      <c r="D5441" t="str">
        <v>STABUL</v>
      </c>
      <c r="E5441">
        <v>164592.0224044077</v>
      </c>
      <c r="F5441">
        <v>75258.953824274766</v>
      </c>
    </row>
    <row r="5442" spans="2:6" ht="15.75" customHeight="1" x14ac:dyDescent="0.25">
      <c r="B5442" t="str">
        <v>Stack</v>
      </c>
      <c r="C5442" t="str">
        <v>CDP</v>
      </c>
      <c r="D5442" t="str">
        <v>-</v>
      </c>
      <c r="E5442">
        <v>0</v>
      </c>
      <c r="F5442">
        <v>0</v>
      </c>
    </row>
    <row r="5443" spans="2:6" ht="15.75" customHeight="1" x14ac:dyDescent="0.25">
      <c r="B5443" t="str">
        <v>Stacker Ventures</v>
      </c>
      <c r="C5443" t="str">
        <v>Yield</v>
      </c>
      <c r="D5443" t="str">
        <v>STACK</v>
      </c>
      <c r="E5443">
        <v>4796.7507579271296</v>
      </c>
      <c r="F5443">
        <v>118670.9791841712</v>
      </c>
    </row>
    <row r="5444" spans="2:6" ht="15.75" customHeight="1" x14ac:dyDescent="0.25">
      <c r="B5444" t="str">
        <v>StackingDAO</v>
      </c>
      <c r="C5444" t="str">
        <v>Liquid Staking</v>
      </c>
      <c r="D5444" t="str">
        <v>-</v>
      </c>
      <c r="E5444">
        <v>29337127.966563139</v>
      </c>
      <c r="F5444">
        <v>0</v>
      </c>
    </row>
    <row r="5445" spans="2:6" ht="15.75" customHeight="1" x14ac:dyDescent="0.25">
      <c r="B5445" t="str">
        <v>Stacks sBTC</v>
      </c>
      <c r="C5445" t="str">
        <v>Bridge</v>
      </c>
      <c r="D5445" t="str">
        <v>-</v>
      </c>
      <c r="E5445">
        <v>411845851.44328099</v>
      </c>
      <c r="F5445">
        <v>0</v>
      </c>
    </row>
    <row r="5446" spans="2:6" ht="15.75" customHeight="1" x14ac:dyDescent="0.25">
      <c r="B5446" t="str">
        <v>StackSwap</v>
      </c>
      <c r="C5446" t="str">
        <v>Dexs</v>
      </c>
      <c r="D5446" t="str">
        <v>STSW</v>
      </c>
      <c r="E5446">
        <v>82076.887522075587</v>
      </c>
      <c r="F5446">
        <v>0</v>
      </c>
    </row>
    <row r="5447" spans="2:6" ht="15.75" customHeight="1" x14ac:dyDescent="0.25">
      <c r="B5447" t="str">
        <v>Stader</v>
      </c>
      <c r="C5447" t="str">
        <v>Liquid Staking</v>
      </c>
      <c r="D5447" t="str">
        <v>SD</v>
      </c>
      <c r="E5447">
        <v>543263571.74153292</v>
      </c>
      <c r="F5447">
        <v>17285710.434450798</v>
      </c>
    </row>
    <row r="5448" spans="2:6" ht="15.75" customHeight="1" x14ac:dyDescent="0.25">
      <c r="B5448" t="str">
        <v>Stafi</v>
      </c>
      <c r="C5448" t="str">
        <v>Liquid Staking</v>
      </c>
      <c r="D5448" t="str">
        <v>FIS</v>
      </c>
      <c r="E5448">
        <v>7677384.1242116019</v>
      </c>
      <c r="F5448">
        <v>2708493.2563987565</v>
      </c>
    </row>
    <row r="5449" spans="2:6" ht="15.75" customHeight="1" x14ac:dyDescent="0.25">
      <c r="B5449" t="str">
        <v>Stake DAO</v>
      </c>
      <c r="C5449" t="str">
        <v>Yield</v>
      </c>
      <c r="D5449" t="str">
        <v>SDT</v>
      </c>
      <c r="E5449">
        <v>215048030.26149893</v>
      </c>
      <c r="F5449">
        <v>15524985.790402509</v>
      </c>
    </row>
    <row r="5450" spans="2:6" ht="15.75" customHeight="1" x14ac:dyDescent="0.25">
      <c r="B5450" t="str">
        <v>stake.link index</v>
      </c>
      <c r="C5450" t="str">
        <v>Indexes</v>
      </c>
      <c r="D5450" t="str">
        <v>SDL</v>
      </c>
      <c r="E5450">
        <v>25650.031774371342</v>
      </c>
      <c r="F5450">
        <v>0</v>
      </c>
    </row>
    <row r="5451" spans="2:6" ht="15.75" customHeight="1" x14ac:dyDescent="0.25">
      <c r="B5451" t="str">
        <v>stake.link liquid</v>
      </c>
      <c r="C5451" t="str">
        <v>Liquid Staking</v>
      </c>
      <c r="D5451" t="str">
        <v>SDL</v>
      </c>
      <c r="E5451">
        <v>85255370.259298101</v>
      </c>
      <c r="F5451">
        <v>0</v>
      </c>
    </row>
    <row r="5452" spans="2:6" ht="15.75" customHeight="1" x14ac:dyDescent="0.25">
      <c r="B5452" t="str">
        <v>Stake.ly</v>
      </c>
      <c r="C5452" t="str">
        <v>Liquid Staking</v>
      </c>
      <c r="D5452" t="str">
        <v>-</v>
      </c>
      <c r="E5452">
        <v>30372.601444447013</v>
      </c>
      <c r="F5452">
        <v>0</v>
      </c>
    </row>
    <row r="5453" spans="2:6" ht="15.75" customHeight="1" x14ac:dyDescent="0.25">
      <c r="B5453" t="str">
        <v>Stake1</v>
      </c>
      <c r="C5453" t="str">
        <v>Lending</v>
      </c>
      <c r="D5453" t="str">
        <v>STAKE1</v>
      </c>
      <c r="E5453">
        <v>8.6150032521893228E-3</v>
      </c>
      <c r="F5453">
        <v>0</v>
      </c>
    </row>
    <row r="5454" spans="2:6" ht="15.75" customHeight="1" x14ac:dyDescent="0.25">
      <c r="B5454" t="str">
        <v>StakedICP</v>
      </c>
      <c r="C5454" t="str">
        <v>Liquid Staking</v>
      </c>
      <c r="D5454" t="str">
        <v>-</v>
      </c>
      <c r="E5454">
        <v>32067.737144653212</v>
      </c>
      <c r="F5454">
        <v>0</v>
      </c>
    </row>
    <row r="5455" spans="2:6" ht="15.75" customHeight="1" x14ac:dyDescent="0.25">
      <c r="B5455" t="str">
        <v>Stakee</v>
      </c>
      <c r="C5455" t="str">
        <v>Liquid Staking</v>
      </c>
      <c r="D5455" t="str">
        <v>-</v>
      </c>
      <c r="E5455">
        <v>16774116.961785747</v>
      </c>
      <c r="F5455">
        <v>0</v>
      </c>
    </row>
    <row r="5456" spans="2:6" ht="15.75" customHeight="1" x14ac:dyDescent="0.25">
      <c r="B5456" t="str">
        <v>StakeEase</v>
      </c>
      <c r="C5456" t="str">
        <v>Indexes</v>
      </c>
      <c r="D5456" t="str">
        <v>-</v>
      </c>
      <c r="E5456">
        <v>327.81689808687258</v>
      </c>
      <c r="F5456">
        <v>0</v>
      </c>
    </row>
    <row r="5457" spans="2:6" ht="15.75" customHeight="1" x14ac:dyDescent="0.25">
      <c r="B5457" t="str">
        <v>StakeEasy</v>
      </c>
      <c r="C5457" t="str">
        <v>Liquid Staking</v>
      </c>
      <c r="D5457" t="str">
        <v>-</v>
      </c>
      <c r="E5457">
        <v>0</v>
      </c>
      <c r="F5457">
        <v>0</v>
      </c>
    </row>
    <row r="5458" spans="2:6" ht="15.75" customHeight="1" x14ac:dyDescent="0.25">
      <c r="B5458" t="str">
        <v>StakeHound</v>
      </c>
      <c r="C5458" t="str">
        <v>Liquid Staking</v>
      </c>
      <c r="D5458" t="str">
        <v>-</v>
      </c>
      <c r="E5458">
        <v>0</v>
      </c>
      <c r="F5458">
        <v>0</v>
      </c>
    </row>
    <row r="5459" spans="2:6" ht="15.75" customHeight="1" x14ac:dyDescent="0.25">
      <c r="B5459" t="str">
        <v>Stakehouse</v>
      </c>
      <c r="C5459" t="str">
        <v>Liquid Staking</v>
      </c>
      <c r="D5459" t="str">
        <v>BSN</v>
      </c>
      <c r="E5459">
        <v>101495.18007</v>
      </c>
      <c r="F5459">
        <v>0</v>
      </c>
    </row>
    <row r="5460" spans="2:6" ht="15.75" customHeight="1" x14ac:dyDescent="0.25">
      <c r="B5460" t="str">
        <v>StakeNova</v>
      </c>
      <c r="C5460" t="str">
        <v>Yield</v>
      </c>
      <c r="D5460" t="str">
        <v>-</v>
      </c>
      <c r="E5460">
        <v>269362.62998378702</v>
      </c>
      <c r="F5460">
        <v>0</v>
      </c>
    </row>
    <row r="5461" spans="2:6" ht="15.75" customHeight="1" x14ac:dyDescent="0.25">
      <c r="B5461" t="str">
        <v>StakePoint</v>
      </c>
      <c r="C5461" t="str">
        <v>Farm</v>
      </c>
      <c r="D5461" t="str">
        <v>SPT</v>
      </c>
      <c r="E5461">
        <v>7719.3333446430242</v>
      </c>
      <c r="F5461">
        <v>0</v>
      </c>
    </row>
    <row r="5462" spans="2:6" ht="15.75" customHeight="1" x14ac:dyDescent="0.25">
      <c r="B5462" t="str">
        <v>Stakerz</v>
      </c>
      <c r="C5462" t="str">
        <v>Yield Aggregator</v>
      </c>
      <c r="D5462" t="str">
        <v>-</v>
      </c>
      <c r="E5462">
        <v>0</v>
      </c>
      <c r="F5462">
        <v>0</v>
      </c>
    </row>
    <row r="5463" spans="2:6" ht="15.75" customHeight="1" x14ac:dyDescent="0.25">
      <c r="B5463" t="str">
        <v>StakeSteak</v>
      </c>
      <c r="C5463" t="str">
        <v>Yield</v>
      </c>
      <c r="D5463" t="str">
        <v>STEAK</v>
      </c>
      <c r="E5463">
        <v>23198.274777345596</v>
      </c>
      <c r="F5463">
        <v>0</v>
      </c>
    </row>
    <row r="5464" spans="2:6" ht="15.75" customHeight="1" x14ac:dyDescent="0.25">
      <c r="B5464" t="str">
        <v>StakeStone Berachain Vault</v>
      </c>
      <c r="C5464" t="str">
        <v>Onchain Capital Allocator</v>
      </c>
      <c r="D5464" t="str">
        <v>-</v>
      </c>
      <c r="E5464">
        <v>8665058.3421977405</v>
      </c>
      <c r="F5464">
        <v>0</v>
      </c>
    </row>
    <row r="5465" spans="2:6" ht="15.75" customHeight="1" x14ac:dyDescent="0.25">
      <c r="B5465" t="str">
        <v>StakeStone SBTC</v>
      </c>
      <c r="C5465" t="str">
        <v>Indexes</v>
      </c>
      <c r="D5465" t="str">
        <v>-</v>
      </c>
      <c r="E5465">
        <v>36861.482568342632</v>
      </c>
      <c r="F5465">
        <v>0</v>
      </c>
    </row>
    <row r="5466" spans="2:6" ht="15.75" customHeight="1" x14ac:dyDescent="0.25">
      <c r="B5466" t="str">
        <v>StakeStone STONE</v>
      </c>
      <c r="C5466" t="str">
        <v>Liquid Staking</v>
      </c>
      <c r="D5466" t="str">
        <v>-</v>
      </c>
      <c r="E5466">
        <v>36491155.316416651</v>
      </c>
      <c r="F5466">
        <v>0</v>
      </c>
    </row>
    <row r="5467" spans="2:6" ht="15.75" customHeight="1" x14ac:dyDescent="0.25">
      <c r="B5467" t="str">
        <v>StakeWise V2</v>
      </c>
      <c r="C5467" t="str">
        <v>Liquid Staking</v>
      </c>
      <c r="D5467" t="str">
        <v>SWISE</v>
      </c>
      <c r="E5467">
        <v>1158492358.3780665</v>
      </c>
      <c r="F5467">
        <v>0</v>
      </c>
    </row>
    <row r="5468" spans="2:6" ht="15.75" customHeight="1" x14ac:dyDescent="0.25">
      <c r="B5468" t="str">
        <v>Stakin</v>
      </c>
      <c r="C5468" t="str">
        <v>Ponzi</v>
      </c>
      <c r="D5468" t="str">
        <v>-</v>
      </c>
      <c r="E5468">
        <v>2.4760345651721658E-10</v>
      </c>
      <c r="F5468">
        <v>0</v>
      </c>
    </row>
    <row r="5469" spans="2:6" ht="15.75" customHeight="1" x14ac:dyDescent="0.25">
      <c r="B5469" t="str">
        <v>Staking Rewards srETH</v>
      </c>
      <c r="C5469" t="str">
        <v>Indexes</v>
      </c>
      <c r="D5469" t="str">
        <v>-</v>
      </c>
      <c r="E5469">
        <v>0</v>
      </c>
      <c r="F5469">
        <v>0</v>
      </c>
    </row>
    <row r="5470" spans="2:6" ht="15.75" customHeight="1" x14ac:dyDescent="0.25">
      <c r="B5470" t="str">
        <v>Stakingverse</v>
      </c>
      <c r="C5470" t="str">
        <v>Liquid Staking</v>
      </c>
      <c r="D5470" t="str">
        <v>-</v>
      </c>
      <c r="E5470">
        <v>7252177.8649690384</v>
      </c>
      <c r="F5470">
        <v>0</v>
      </c>
    </row>
    <row r="5471" spans="2:6" ht="15.75" customHeight="1" x14ac:dyDescent="0.25">
      <c r="B5471" t="str">
        <v>Stand</v>
      </c>
      <c r="C5471" t="str">
        <v>Interface</v>
      </c>
      <c r="D5471" t="str">
        <v>-</v>
      </c>
      <c r="E5471">
        <v>0</v>
      </c>
      <c r="F5471">
        <v>0</v>
      </c>
    </row>
    <row r="5472" spans="2:6" ht="15.75" customHeight="1" x14ac:dyDescent="0.25">
      <c r="B5472" t="str">
        <v>Stand Cash</v>
      </c>
      <c r="C5472" t="str">
        <v>Yield</v>
      </c>
      <c r="D5472" t="str">
        <v>SAC</v>
      </c>
      <c r="E5472">
        <v>0</v>
      </c>
      <c r="F5472">
        <v>6417.340536347604</v>
      </c>
    </row>
    <row r="5473" spans="2:6" ht="15.75" customHeight="1" x14ac:dyDescent="0.25">
      <c r="B5473" t="str">
        <v>Standard Protocol Mode</v>
      </c>
      <c r="C5473" t="str">
        <v>Dexs</v>
      </c>
      <c r="D5473" t="str">
        <v>STND</v>
      </c>
      <c r="E5473">
        <v>526.71733947649784</v>
      </c>
      <c r="F5473">
        <v>0</v>
      </c>
    </row>
    <row r="5474" spans="2:6" ht="15.75" customHeight="1" x14ac:dyDescent="0.25">
      <c r="B5474" t="str">
        <v>Standard Protocol Shiden</v>
      </c>
      <c r="C5474" t="str">
        <v>Dexs</v>
      </c>
      <c r="D5474" t="str">
        <v>STND</v>
      </c>
      <c r="E5474">
        <v>21327.150047869778</v>
      </c>
      <c r="F5474">
        <v>0</v>
      </c>
    </row>
    <row r="5475" spans="2:6" ht="15.75" customHeight="1" x14ac:dyDescent="0.25">
      <c r="B5475" t="str">
        <v>Standard Protocol Somnia</v>
      </c>
      <c r="C5475" t="str">
        <v>Dexs</v>
      </c>
      <c r="D5475" t="str">
        <v>STND</v>
      </c>
      <c r="E5475">
        <v>0</v>
      </c>
      <c r="F5475">
        <v>0</v>
      </c>
    </row>
    <row r="5476" spans="2:6" ht="15.75" customHeight="1" x14ac:dyDescent="0.25">
      <c r="B5476" t="str">
        <v>Standard Spot CLOB</v>
      </c>
      <c r="C5476" t="str">
        <v>Dexs</v>
      </c>
      <c r="D5476" t="str">
        <v>STND</v>
      </c>
      <c r="E5476">
        <v>180.63955190786041</v>
      </c>
      <c r="F5476">
        <v>0</v>
      </c>
    </row>
    <row r="5477" spans="2:6" ht="15.75" customHeight="1" x14ac:dyDescent="0.25">
      <c r="B5477" t="str">
        <v>StandX Perp</v>
      </c>
      <c r="C5477" t="str">
        <v>Derivatives</v>
      </c>
      <c r="D5477" t="str">
        <v>-</v>
      </c>
      <c r="E5477">
        <v>0</v>
      </c>
      <c r="F5477">
        <v>0</v>
      </c>
    </row>
    <row r="5478" spans="2:6" ht="15.75" customHeight="1" x14ac:dyDescent="0.25">
      <c r="B5478" t="str">
        <v>StaQ</v>
      </c>
      <c r="C5478" t="str">
        <v>Liquid Staking</v>
      </c>
      <c r="D5478" t="str">
        <v>-</v>
      </c>
      <c r="E5478">
        <v>4139366.6207075119</v>
      </c>
      <c r="F5478">
        <v>0</v>
      </c>
    </row>
    <row r="5479" spans="2:6" ht="15.75" customHeight="1" x14ac:dyDescent="0.25">
      <c r="B5479" t="str">
        <v>Starbank</v>
      </c>
      <c r="C5479" t="str">
        <v>Dexs</v>
      </c>
      <c r="D5479" t="str">
        <v>SBX</v>
      </c>
      <c r="E5479">
        <v>171.19039607058653</v>
      </c>
      <c r="F5479">
        <v>0</v>
      </c>
    </row>
    <row r="5480" spans="2:6" ht="15.75" customHeight="1" x14ac:dyDescent="0.25">
      <c r="B5480" t="str">
        <v>Starbase</v>
      </c>
      <c r="C5480" t="str">
        <v>DEX Aggregator</v>
      </c>
      <c r="D5480" t="str">
        <v>-</v>
      </c>
      <c r="E5480">
        <v>0</v>
      </c>
      <c r="F5480">
        <v>0</v>
      </c>
    </row>
    <row r="5481" spans="2:6" ht="15.75" customHeight="1" x14ac:dyDescent="0.25">
      <c r="B5481" t="str">
        <v>StarCrazy</v>
      </c>
      <c r="C5481" t="str">
        <v>Gaming</v>
      </c>
      <c r="D5481" t="str">
        <v>GFT</v>
      </c>
      <c r="E5481">
        <v>0</v>
      </c>
      <c r="F5481">
        <v>58522.231111863344</v>
      </c>
    </row>
    <row r="5482" spans="2:6" ht="15.75" customHeight="1" x14ac:dyDescent="0.25">
      <c r="B5482" t="str">
        <v>Starfish Finance</v>
      </c>
      <c r="C5482" t="str">
        <v>Dexs</v>
      </c>
      <c r="D5482" t="str">
        <v>SEAN</v>
      </c>
      <c r="E5482">
        <v>1671.9921318731419</v>
      </c>
      <c r="F5482">
        <v>0</v>
      </c>
    </row>
    <row r="5483" spans="2:6" ht="15.75" customHeight="1" x14ac:dyDescent="0.25">
      <c r="B5483" t="str">
        <v>Starfish Liquid Staking</v>
      </c>
      <c r="C5483" t="str">
        <v>Liquid Staking</v>
      </c>
      <c r="D5483" t="str">
        <v>-</v>
      </c>
      <c r="E5483">
        <v>9.528979359576649</v>
      </c>
      <c r="F5483">
        <v>0</v>
      </c>
    </row>
    <row r="5484" spans="2:6" ht="15.75" customHeight="1" x14ac:dyDescent="0.25">
      <c r="B5484" t="str">
        <v>StarGate</v>
      </c>
      <c r="C5484" t="str">
        <v>Farm</v>
      </c>
      <c r="D5484" t="str">
        <v>-</v>
      </c>
      <c r="E5484">
        <v>17353059.59503869</v>
      </c>
      <c r="F5484">
        <v>0</v>
      </c>
    </row>
    <row r="5485" spans="2:6" ht="15.75" customHeight="1" x14ac:dyDescent="0.25">
      <c r="B5485" t="str">
        <v>Stargate V1</v>
      </c>
      <c r="C5485" t="str">
        <v>Cross Chain Bridge</v>
      </c>
      <c r="D5485" t="str">
        <v>STG</v>
      </c>
      <c r="E5485">
        <v>13603708.210264551</v>
      </c>
      <c r="F5485">
        <v>0</v>
      </c>
    </row>
    <row r="5486" spans="2:6" ht="15.75" customHeight="1" x14ac:dyDescent="0.25">
      <c r="B5486" t="str">
        <v>Stargate V2</v>
      </c>
      <c r="C5486" t="str">
        <v>Cross Chain Bridge</v>
      </c>
      <c r="D5486" t="str">
        <v>STG</v>
      </c>
      <c r="E5486">
        <v>164159870.68168217</v>
      </c>
      <c r="F5486">
        <v>0</v>
      </c>
    </row>
    <row r="5487" spans="2:6" ht="15.75" customHeight="1" x14ac:dyDescent="0.25">
      <c r="B5487" t="str">
        <v>Stargaze</v>
      </c>
      <c r="C5487" t="str">
        <v>NFT Marketplace</v>
      </c>
      <c r="D5487" t="str">
        <v>STARS</v>
      </c>
      <c r="E5487">
        <v>110294.60265330369</v>
      </c>
      <c r="F5487">
        <v>1015946.9716158203</v>
      </c>
    </row>
    <row r="5488" spans="2:6" ht="15.75" customHeight="1" x14ac:dyDescent="0.25">
      <c r="B5488" t="str">
        <v>StarkDeFI</v>
      </c>
      <c r="C5488" t="str">
        <v>Dexs</v>
      </c>
      <c r="D5488" t="str">
        <v>-</v>
      </c>
      <c r="E5488">
        <v>209121.56740384395</v>
      </c>
      <c r="F5488">
        <v>0</v>
      </c>
    </row>
    <row r="5489" spans="2:6" ht="15.75" customHeight="1" x14ac:dyDescent="0.25">
      <c r="B5489" t="str">
        <v>Starknet Bridge</v>
      </c>
      <c r="C5489" t="str">
        <v>Canonical Bridge</v>
      </c>
      <c r="D5489" t="str">
        <v>STRK</v>
      </c>
      <c r="E5489">
        <v>740742561.51901114</v>
      </c>
      <c r="F5489">
        <v>423478006.32672691</v>
      </c>
    </row>
    <row r="5490" spans="2:6" ht="15.75" customHeight="1" x14ac:dyDescent="0.25">
      <c r="B5490" t="str">
        <v>Starksport</v>
      </c>
      <c r="C5490" t="str">
        <v>Dexs</v>
      </c>
      <c r="D5490" t="str">
        <v>-</v>
      </c>
      <c r="E5490">
        <v>369.81597276599302</v>
      </c>
      <c r="F5490">
        <v>0</v>
      </c>
    </row>
    <row r="5491" spans="2:6" ht="15.75" customHeight="1" x14ac:dyDescent="0.25">
      <c r="B5491" t="str">
        <v>Starlay Finance</v>
      </c>
      <c r="C5491" t="str">
        <v>Lending</v>
      </c>
      <c r="D5491" t="str">
        <v>LAY</v>
      </c>
      <c r="E5491">
        <v>302485.25928898936</v>
      </c>
      <c r="F5491">
        <v>0</v>
      </c>
    </row>
    <row r="5492" spans="2:6" ht="15.75" customHeight="1" x14ac:dyDescent="0.25">
      <c r="B5492" t="str">
        <v>Starmaker</v>
      </c>
      <c r="C5492" t="str">
        <v>Dexs</v>
      </c>
      <c r="D5492" t="str">
        <v>STAR</v>
      </c>
      <c r="E5492">
        <v>38755.408619810223</v>
      </c>
      <c r="F5492">
        <v>0</v>
      </c>
    </row>
    <row r="5493" spans="2:6" ht="15.75" customHeight="1" x14ac:dyDescent="0.25">
      <c r="B5493" t="str">
        <v>Stars League</v>
      </c>
      <c r="C5493" t="str">
        <v>SoFi</v>
      </c>
      <c r="D5493" t="str">
        <v>-</v>
      </c>
      <c r="E5493">
        <v>4270.4327589901695</v>
      </c>
      <c r="F5493">
        <v>0</v>
      </c>
    </row>
    <row r="5494" spans="2:6" ht="15.75" customHeight="1" x14ac:dyDescent="0.25">
      <c r="B5494" t="str">
        <v>StarSwap</v>
      </c>
      <c r="C5494" t="str">
        <v>Dexs</v>
      </c>
      <c r="D5494" t="str">
        <v>STAR</v>
      </c>
      <c r="E5494">
        <v>64517.919814012981</v>
      </c>
      <c r="F5494">
        <v>0</v>
      </c>
    </row>
    <row r="5495" spans="2:6" ht="15.75" customHeight="1" x14ac:dyDescent="0.25">
      <c r="B5495" t="str">
        <v>Starswap Starcoin</v>
      </c>
      <c r="C5495" t="str">
        <v>Dexs</v>
      </c>
      <c r="D5495" t="str">
        <v>STAR</v>
      </c>
      <c r="E5495">
        <v>467279.24421575537</v>
      </c>
      <c r="F5495">
        <v>0</v>
      </c>
    </row>
    <row r="5496" spans="2:6" ht="15.75" customHeight="1" x14ac:dyDescent="0.25">
      <c r="B5496" t="str">
        <v>Starterra</v>
      </c>
      <c r="C5496" t="str">
        <v>Launchpad</v>
      </c>
      <c r="D5496" t="str">
        <v>STT</v>
      </c>
      <c r="E5496">
        <v>0</v>
      </c>
      <c r="F5496">
        <v>90635.849953752695</v>
      </c>
    </row>
    <row r="5497" spans="2:6" ht="15.75" customHeight="1" x14ac:dyDescent="0.25">
      <c r="B5497" t="str">
        <v>StationDEX V2</v>
      </c>
      <c r="C5497" t="str">
        <v>Dexs</v>
      </c>
      <c r="D5497" t="str">
        <v>-</v>
      </c>
      <c r="E5497">
        <v>59.959297220250505</v>
      </c>
      <c r="F5497">
        <v>0</v>
      </c>
    </row>
    <row r="5498" spans="2:6" ht="15.75" customHeight="1" x14ac:dyDescent="0.25">
      <c r="B5498" t="str">
        <v>StationDEX V3</v>
      </c>
      <c r="C5498" t="str">
        <v>Dexs</v>
      </c>
      <c r="D5498" t="str">
        <v>-</v>
      </c>
      <c r="E5498">
        <v>1186.822450562647</v>
      </c>
      <c r="F5498">
        <v>0</v>
      </c>
    </row>
    <row r="5499" spans="2:6" ht="15.75" customHeight="1" x14ac:dyDescent="0.25">
      <c r="B5499" t="str">
        <v>Statix Farm</v>
      </c>
      <c r="C5499" t="str">
        <v>Farm</v>
      </c>
      <c r="D5499" t="str">
        <v>STATIX</v>
      </c>
      <c r="E5499">
        <v>232.70281979652498</v>
      </c>
      <c r="F5499">
        <v>0</v>
      </c>
    </row>
    <row r="5500" spans="2:6" ht="15.75" customHeight="1" x14ac:dyDescent="0.25">
      <c r="B5500" t="str">
        <v>Status</v>
      </c>
      <c r="C5500" t="str">
        <v>Privacy</v>
      </c>
      <c r="D5500" t="str">
        <v>SNT</v>
      </c>
      <c r="E5500">
        <v>0</v>
      </c>
      <c r="F5500">
        <v>62387571.010329247</v>
      </c>
    </row>
    <row r="5501" spans="2:6" ht="15.75" customHeight="1" x14ac:dyDescent="0.25">
      <c r="B5501" t="str">
        <v>stCELO</v>
      </c>
      <c r="C5501" t="str">
        <v>Liquid Staking</v>
      </c>
      <c r="D5501" t="str">
        <v>-</v>
      </c>
      <c r="E5501">
        <v>2244264.5035799537</v>
      </c>
      <c r="F5501">
        <v>0</v>
      </c>
    </row>
    <row r="5502" spans="2:6" ht="15.75" customHeight="1" x14ac:dyDescent="0.25">
      <c r="B5502" t="str">
        <v>stCYBER</v>
      </c>
      <c r="C5502" t="str">
        <v>Liquid Staking</v>
      </c>
      <c r="D5502" t="str">
        <v>-</v>
      </c>
      <c r="E5502">
        <v>2618418.668799167</v>
      </c>
      <c r="F5502">
        <v>0</v>
      </c>
    </row>
    <row r="5503" spans="2:6" ht="15.75" customHeight="1" x14ac:dyDescent="0.25">
      <c r="B5503" t="str">
        <v>Steadefi</v>
      </c>
      <c r="C5503" t="str">
        <v>Leveraged Farming</v>
      </c>
      <c r="D5503" t="str">
        <v>SDY</v>
      </c>
      <c r="E5503">
        <v>938.73364860200672</v>
      </c>
      <c r="F5503">
        <v>0</v>
      </c>
    </row>
    <row r="5504" spans="2:6" ht="15.75" customHeight="1" x14ac:dyDescent="0.25">
      <c r="B5504" t="str">
        <v>Steak</v>
      </c>
      <c r="C5504" t="str">
        <v>Liquid Staking</v>
      </c>
      <c r="D5504" t="str">
        <v>STEAK</v>
      </c>
      <c r="E5504">
        <v>0</v>
      </c>
      <c r="F5504">
        <v>0</v>
      </c>
    </row>
    <row r="5505" spans="2:6" ht="15.75" customHeight="1" x14ac:dyDescent="0.25">
      <c r="B5505" t="str">
        <v>SteakBank Finance</v>
      </c>
      <c r="C5505" t="str">
        <v>Liquid Staking</v>
      </c>
      <c r="D5505" t="str">
        <v>SBF</v>
      </c>
      <c r="E5505">
        <v>377357.15343535843</v>
      </c>
      <c r="F5505">
        <v>14850.397952241914</v>
      </c>
    </row>
    <row r="5506" spans="2:6" ht="15.75" customHeight="1" x14ac:dyDescent="0.25">
      <c r="B5506" t="str">
        <v>Steakhouse Financial</v>
      </c>
      <c r="C5506" t="str">
        <v>Risk Curators</v>
      </c>
      <c r="D5506" t="str">
        <v>-</v>
      </c>
      <c r="E5506">
        <v>1613541597.5510731</v>
      </c>
      <c r="F5506">
        <v>0</v>
      </c>
    </row>
    <row r="5507" spans="2:6" ht="15.75" customHeight="1" x14ac:dyDescent="0.25">
      <c r="B5507" t="str">
        <v>SteakHut</v>
      </c>
      <c r="C5507" t="str">
        <v>Farm</v>
      </c>
      <c r="D5507" t="str">
        <v>STEAK</v>
      </c>
      <c r="E5507">
        <v>5359.0738014997851</v>
      </c>
      <c r="F5507">
        <v>0</v>
      </c>
    </row>
    <row r="5508" spans="2:6" ht="15.75" customHeight="1" x14ac:dyDescent="0.25">
      <c r="B5508" t="str">
        <v>SteakHut Liquidity</v>
      </c>
      <c r="C5508" t="str">
        <v>Liquidity manager</v>
      </c>
      <c r="D5508" t="str">
        <v>STEAK</v>
      </c>
      <c r="E5508">
        <v>109426.63202406158</v>
      </c>
      <c r="F5508">
        <v>0</v>
      </c>
    </row>
    <row r="5509" spans="2:6" ht="15.75" customHeight="1" x14ac:dyDescent="0.25">
      <c r="B5509" t="str">
        <v>Stealcam</v>
      </c>
      <c r="C5509" t="str">
        <v>NFT Marketplace</v>
      </c>
      <c r="D5509" t="str">
        <v>-</v>
      </c>
      <c r="E5509">
        <v>0</v>
      </c>
      <c r="F5509">
        <v>0</v>
      </c>
    </row>
    <row r="5510" spans="2:6" ht="15.75" customHeight="1" x14ac:dyDescent="0.25">
      <c r="B5510" t="str">
        <v>StealthPad</v>
      </c>
      <c r="C5510" t="str">
        <v>Launchpad</v>
      </c>
      <c r="D5510" t="str">
        <v>STEALTH</v>
      </c>
      <c r="E5510">
        <v>0</v>
      </c>
      <c r="F5510">
        <v>0</v>
      </c>
    </row>
    <row r="5511" spans="2:6" ht="15.75" customHeight="1" x14ac:dyDescent="0.25">
      <c r="B5511" t="str">
        <v>STEAMM</v>
      </c>
      <c r="C5511" t="str">
        <v>Dexs</v>
      </c>
      <c r="D5511" t="str">
        <v>-</v>
      </c>
      <c r="E5511">
        <v>6226221.7482780609</v>
      </c>
      <c r="F5511">
        <v>0</v>
      </c>
    </row>
    <row r="5512" spans="2:6" ht="15.75" customHeight="1" x14ac:dyDescent="0.25">
      <c r="B5512" t="str">
        <v>Steer Protocol</v>
      </c>
      <c r="C5512" t="str">
        <v>Liquidity manager</v>
      </c>
      <c r="D5512" t="str">
        <v>-</v>
      </c>
      <c r="E5512">
        <v>39203938.500163473</v>
      </c>
      <c r="F5512">
        <v>0</v>
      </c>
    </row>
    <row r="5513" spans="2:6" ht="15.75" customHeight="1" x14ac:dyDescent="0.25">
      <c r="B5513" t="str">
        <v>Stella</v>
      </c>
      <c r="C5513" t="str">
        <v>Leveraged Farming</v>
      </c>
      <c r="D5513" t="str">
        <v>ALPHA</v>
      </c>
      <c r="E5513">
        <v>659340.41579612356</v>
      </c>
      <c r="F5513">
        <v>7468948.8633464389</v>
      </c>
    </row>
    <row r="5514" spans="2:6" ht="15.75" customHeight="1" x14ac:dyDescent="0.25">
      <c r="B5514" t="str">
        <v>Stellar DEX</v>
      </c>
      <c r="C5514" t="str">
        <v>Dexs</v>
      </c>
      <c r="D5514" t="str">
        <v>XLM</v>
      </c>
      <c r="E5514">
        <v>20463876.661769047</v>
      </c>
      <c r="F5514">
        <v>0</v>
      </c>
    </row>
    <row r="5515" spans="2:6" ht="15.75" customHeight="1" x14ac:dyDescent="0.25">
      <c r="B5515" t="str">
        <v>Stellaris Finance</v>
      </c>
      <c r="C5515" t="str">
        <v>Yield Aggregator</v>
      </c>
      <c r="D5515" t="str">
        <v>STE</v>
      </c>
      <c r="E5515">
        <v>0</v>
      </c>
      <c r="F5515">
        <v>0</v>
      </c>
    </row>
    <row r="5516" spans="2:6" ht="15.75" customHeight="1" x14ac:dyDescent="0.25">
      <c r="B5516" t="str">
        <v>StellaSwap V2</v>
      </c>
      <c r="C5516" t="str">
        <v>Dexs</v>
      </c>
      <c r="D5516" t="str">
        <v>STELLA</v>
      </c>
      <c r="E5516">
        <v>386906.75808067963</v>
      </c>
      <c r="F5516">
        <v>0</v>
      </c>
    </row>
    <row r="5517" spans="2:6" ht="15.75" customHeight="1" x14ac:dyDescent="0.25">
      <c r="B5517" t="str">
        <v>StellaSwap V3</v>
      </c>
      <c r="C5517" t="str">
        <v>Dexs</v>
      </c>
      <c r="D5517" t="str">
        <v>STELLA</v>
      </c>
      <c r="E5517">
        <v>76152.057471772903</v>
      </c>
      <c r="F5517">
        <v>0</v>
      </c>
    </row>
    <row r="5518" spans="2:6" ht="15.75" customHeight="1" x14ac:dyDescent="0.25">
      <c r="B5518" t="str">
        <v>StellaSwap V4</v>
      </c>
      <c r="C5518" t="str">
        <v>Dexs</v>
      </c>
      <c r="D5518" t="str">
        <v>STELLA</v>
      </c>
      <c r="E5518">
        <v>2220292.8534485353</v>
      </c>
      <c r="F5518">
        <v>0</v>
      </c>
    </row>
    <row r="5519" spans="2:6" ht="15.75" customHeight="1" x14ac:dyDescent="0.25">
      <c r="B5519" t="str">
        <v>Step App</v>
      </c>
      <c r="C5519" t="str">
        <v>Services</v>
      </c>
      <c r="D5519" t="str">
        <v>FITFI</v>
      </c>
      <c r="E5519">
        <v>0</v>
      </c>
      <c r="F5519">
        <v>2727961.0369172646</v>
      </c>
    </row>
    <row r="5520" spans="2:6" ht="15.75" customHeight="1" x14ac:dyDescent="0.25">
      <c r="B5520" t="str">
        <v>Step Exchange</v>
      </c>
      <c r="C5520" t="str">
        <v>Dexs</v>
      </c>
      <c r="D5520" t="str">
        <v>SPEX</v>
      </c>
      <c r="E5520">
        <v>25516.894016958828</v>
      </c>
      <c r="F5520">
        <v>0</v>
      </c>
    </row>
    <row r="5521" spans="2:6" ht="15.75" customHeight="1" x14ac:dyDescent="0.25">
      <c r="B5521" t="str">
        <v>Step Finance</v>
      </c>
      <c r="C5521" t="str">
        <v>Portfolio Tracker</v>
      </c>
      <c r="D5521" t="str">
        <v>STEP</v>
      </c>
      <c r="E5521">
        <v>0</v>
      </c>
      <c r="F5521">
        <v>7393499.7638219455</v>
      </c>
    </row>
    <row r="5522" spans="2:6" ht="15.75" customHeight="1" x14ac:dyDescent="0.25">
      <c r="B5522" t="str">
        <v>Sterling Finance</v>
      </c>
      <c r="C5522" t="str">
        <v>Dexs</v>
      </c>
      <c r="D5522" t="str">
        <v>STR</v>
      </c>
      <c r="E5522">
        <v>10546.46633100721</v>
      </c>
      <c r="F5522">
        <v>0</v>
      </c>
    </row>
    <row r="5523" spans="2:6" ht="15.75" customHeight="1" x14ac:dyDescent="0.25">
      <c r="B5523" t="str">
        <v>Steroids</v>
      </c>
      <c r="C5523" t="str">
        <v>Yield</v>
      </c>
      <c r="D5523" t="str">
        <v>-</v>
      </c>
      <c r="E5523">
        <v>312816.51846962189</v>
      </c>
      <c r="F5523">
        <v>0</v>
      </c>
    </row>
    <row r="5524" spans="2:6" ht="15.75" customHeight="1" x14ac:dyDescent="0.25">
      <c r="B5524" t="str">
        <v>stETH.win</v>
      </c>
      <c r="C5524" t="str">
        <v>Yield Lottery</v>
      </c>
      <c r="D5524" t="str">
        <v>-</v>
      </c>
      <c r="E5524">
        <v>14056.650216644292</v>
      </c>
      <c r="F5524">
        <v>0</v>
      </c>
    </row>
    <row r="5525" spans="2:6" ht="15.75" customHeight="1" x14ac:dyDescent="0.25">
      <c r="B5525" t="str">
        <v>STFIL</v>
      </c>
      <c r="C5525" t="str">
        <v>Liquid Staking</v>
      </c>
      <c r="D5525" t="str">
        <v>-</v>
      </c>
      <c r="E5525">
        <v>8173816.2952961773</v>
      </c>
      <c r="F5525">
        <v>0</v>
      </c>
    </row>
    <row r="5526" spans="2:6" ht="15.75" customHeight="1" x14ac:dyDescent="0.25">
      <c r="B5526" t="str">
        <v>stHYPE</v>
      </c>
      <c r="C5526" t="str">
        <v>Liquid Staking</v>
      </c>
      <c r="D5526" t="str">
        <v>-</v>
      </c>
      <c r="E5526">
        <v>110353361.25415304</v>
      </c>
      <c r="F5526">
        <v>0</v>
      </c>
    </row>
    <row r="5527" spans="2:6" ht="15.75" customHeight="1" x14ac:dyDescent="0.25">
      <c r="B5527" t="str">
        <v>Stip Flip</v>
      </c>
      <c r="C5527" t="str">
        <v>Synthetics</v>
      </c>
      <c r="D5527" t="str">
        <v>-</v>
      </c>
      <c r="E5527">
        <v>2087.2456485725215</v>
      </c>
      <c r="F5527">
        <v>0</v>
      </c>
    </row>
    <row r="5528" spans="2:6" ht="15.75" customHeight="1" x14ac:dyDescent="0.25">
      <c r="B5528" t="str">
        <v>Stipend</v>
      </c>
      <c r="C5528" t="str">
        <v>Yield</v>
      </c>
      <c r="D5528" t="str">
        <v>PAY</v>
      </c>
      <c r="E5528">
        <v>0.6814552887822688</v>
      </c>
      <c r="F5528">
        <v>0</v>
      </c>
    </row>
    <row r="5529" spans="2:6" ht="15.75" customHeight="1" x14ac:dyDescent="0.25">
      <c r="B5529" t="str">
        <v>stkd-SCRT</v>
      </c>
      <c r="C5529" t="str">
        <v>Liquid Staking</v>
      </c>
      <c r="D5529" t="str">
        <v>SHD</v>
      </c>
      <c r="E5529">
        <v>1488826.497394216</v>
      </c>
      <c r="F5529">
        <v>0</v>
      </c>
    </row>
    <row r="5530" spans="2:6" ht="15.75" customHeight="1" x14ac:dyDescent="0.25">
      <c r="B5530" t="str">
        <v>sTLOS Liquid Staking</v>
      </c>
      <c r="C5530" t="str">
        <v>Liquid Staking</v>
      </c>
      <c r="D5530" t="str">
        <v>-</v>
      </c>
      <c r="E5530">
        <v>498061.43264737923</v>
      </c>
      <c r="F5530">
        <v>0</v>
      </c>
    </row>
    <row r="5531" spans="2:6" ht="15.75" customHeight="1" x14ac:dyDescent="0.25">
      <c r="B5531" t="str">
        <v>Stobix</v>
      </c>
      <c r="C5531" t="str">
        <v>Derivatives</v>
      </c>
      <c r="D5531" t="str">
        <v>-</v>
      </c>
      <c r="E5531">
        <v>6.0319870255276846E-7</v>
      </c>
      <c r="F5531">
        <v>0</v>
      </c>
    </row>
    <row r="5532" spans="2:6" ht="15.75" customHeight="1" x14ac:dyDescent="0.25">
      <c r="B5532" t="str">
        <v>STON.fi</v>
      </c>
      <c r="C5532" t="str">
        <v>Dexs</v>
      </c>
      <c r="D5532" t="str">
        <v>STON</v>
      </c>
      <c r="E5532">
        <v>41682004.169639774</v>
      </c>
      <c r="F5532">
        <v>14919579.31497084</v>
      </c>
    </row>
    <row r="5533" spans="2:6" ht="15.75" customHeight="1" x14ac:dyDescent="0.25">
      <c r="B5533" t="str">
        <v>STONEBTC</v>
      </c>
      <c r="C5533" t="str">
        <v>Yield Aggregator</v>
      </c>
      <c r="D5533" t="str">
        <v>-</v>
      </c>
      <c r="E5533">
        <v>906.50762711781056</v>
      </c>
      <c r="F5533">
        <v>0</v>
      </c>
    </row>
    <row r="5534" spans="2:6" ht="15.75" customHeight="1" x14ac:dyDescent="0.25">
      <c r="B5534" t="str">
        <v>StoneDefi</v>
      </c>
      <c r="C5534" t="str">
        <v>Yield Aggregator</v>
      </c>
      <c r="D5534" t="str">
        <v>STN</v>
      </c>
      <c r="E5534">
        <v>81088.640212026497</v>
      </c>
      <c r="F5534">
        <v>110067.75724509811</v>
      </c>
    </row>
    <row r="5535" spans="2:6" ht="15.75" customHeight="1" x14ac:dyDescent="0.25">
      <c r="B5535" t="str">
        <v>Storm Trade</v>
      </c>
      <c r="C5535" t="str">
        <v>Derivatives</v>
      </c>
      <c r="D5535" t="str">
        <v>STORM</v>
      </c>
      <c r="E5535">
        <v>13575761.355011199</v>
      </c>
      <c r="F5535">
        <v>2726628.1301903869</v>
      </c>
    </row>
    <row r="5536" spans="2:6" ht="15.75" customHeight="1" x14ac:dyDescent="0.25">
      <c r="B5536" t="str">
        <v>StormSwap</v>
      </c>
      <c r="C5536" t="str">
        <v>Yield</v>
      </c>
      <c r="D5536" t="str">
        <v>STORM</v>
      </c>
      <c r="E5536">
        <v>11049.162964818614</v>
      </c>
      <c r="F5536">
        <v>0</v>
      </c>
    </row>
    <row r="5537" spans="2:6" ht="15.75" customHeight="1" x14ac:dyDescent="0.25">
      <c r="B5537" t="str">
        <v>Story Hunt</v>
      </c>
      <c r="C5537" t="str">
        <v>Dexs</v>
      </c>
      <c r="D5537" t="str">
        <v>-</v>
      </c>
      <c r="E5537">
        <v>1785922.2903520493</v>
      </c>
      <c r="F5537">
        <v>0</v>
      </c>
    </row>
    <row r="5538" spans="2:6" ht="15.75" customHeight="1" x14ac:dyDescent="0.25">
      <c r="B5538" t="str">
        <v>Stout</v>
      </c>
      <c r="C5538" t="str">
        <v>CDP</v>
      </c>
      <c r="D5538" t="str">
        <v>STTX</v>
      </c>
      <c r="E5538">
        <v>53.72148280540803</v>
      </c>
      <c r="F5538">
        <v>0</v>
      </c>
    </row>
    <row r="5539" spans="2:6" ht="15.75" customHeight="1" x14ac:dyDescent="0.25">
      <c r="B5539" t="str">
        <v>Strata Season 0</v>
      </c>
      <c r="C5539" t="str">
        <v>Farm</v>
      </c>
      <c r="D5539" t="str">
        <v>-</v>
      </c>
      <c r="E5539">
        <v>2442134.1011304846</v>
      </c>
      <c r="F5539">
        <v>0</v>
      </c>
    </row>
    <row r="5540" spans="2:6" ht="15.75" customHeight="1" x14ac:dyDescent="0.25">
      <c r="B5540" t="str">
        <v>Strata Tranches</v>
      </c>
      <c r="C5540" t="str">
        <v>Yield</v>
      </c>
      <c r="D5540" t="str">
        <v>-</v>
      </c>
      <c r="E5540">
        <v>233286468.27309406</v>
      </c>
      <c r="F5540">
        <v>0</v>
      </c>
    </row>
    <row r="5541" spans="2:6" ht="15.75" customHeight="1" x14ac:dyDescent="0.25">
      <c r="B5541" t="str">
        <v>StrategyX Finance</v>
      </c>
      <c r="C5541" t="str">
        <v>Farm</v>
      </c>
      <c r="D5541" t="str">
        <v>STAY</v>
      </c>
      <c r="E5541">
        <v>0</v>
      </c>
      <c r="F5541">
        <v>0</v>
      </c>
    </row>
    <row r="5542" spans="2:6" ht="15.75" customHeight="1" x14ac:dyDescent="0.25">
      <c r="B5542" t="str">
        <v>Strater</v>
      </c>
      <c r="C5542" t="str">
        <v>Yield</v>
      </c>
      <c r="D5542" t="str">
        <v>-</v>
      </c>
      <c r="E5542">
        <v>779023.11624261003</v>
      </c>
      <c r="F5542">
        <v>0</v>
      </c>
    </row>
    <row r="5543" spans="2:6" ht="15.75" customHeight="1" x14ac:dyDescent="0.25">
      <c r="B5543" t="str">
        <v>StratEx</v>
      </c>
      <c r="C5543" t="str">
        <v>Yield Aggregator</v>
      </c>
      <c r="D5543" t="str">
        <v>-</v>
      </c>
      <c r="E5543">
        <v>386277.36357076745</v>
      </c>
      <c r="F5543">
        <v>0</v>
      </c>
    </row>
    <row r="5544" spans="2:6" ht="15.75" customHeight="1" x14ac:dyDescent="0.25">
      <c r="B5544" t="str">
        <v>Stratis Liquid Staking</v>
      </c>
      <c r="C5544" t="str">
        <v>Liquid Staking</v>
      </c>
      <c r="D5544" t="str">
        <v>-</v>
      </c>
      <c r="E5544">
        <v>663485.4709317633</v>
      </c>
      <c r="F5544">
        <v>0</v>
      </c>
    </row>
    <row r="5545" spans="2:6" ht="15.75" customHeight="1" x14ac:dyDescent="0.25">
      <c r="B5545" t="str">
        <v>Stratis mSTRAX</v>
      </c>
      <c r="C5545" t="str">
        <v>Liquid Staking</v>
      </c>
      <c r="D5545" t="str">
        <v>-</v>
      </c>
      <c r="E5545">
        <v>3486752.8797055064</v>
      </c>
      <c r="F5545">
        <v>0</v>
      </c>
    </row>
    <row r="5546" spans="2:6" ht="15.75" customHeight="1" x14ac:dyDescent="0.25">
      <c r="B5546" t="str">
        <v>Stratum Exchange</v>
      </c>
      <c r="C5546" t="str">
        <v>Dexs</v>
      </c>
      <c r="D5546" t="str">
        <v>STRAT</v>
      </c>
      <c r="E5546">
        <v>2894.5627924786809</v>
      </c>
      <c r="F5546">
        <v>0</v>
      </c>
    </row>
    <row r="5547" spans="2:6" ht="15.75" customHeight="1" x14ac:dyDescent="0.25">
      <c r="B5547" t="str">
        <v>StraxSwap</v>
      </c>
      <c r="C5547" t="str">
        <v>Dexs</v>
      </c>
      <c r="D5547" t="str">
        <v>-</v>
      </c>
      <c r="E5547">
        <v>38408.531727203728</v>
      </c>
      <c r="F5547">
        <v>0</v>
      </c>
    </row>
    <row r="5548" spans="2:6" ht="15.75" customHeight="1" x14ac:dyDescent="0.25">
      <c r="B5548" t="str">
        <v>Stream Finance</v>
      </c>
      <c r="C5548" t="str">
        <v>Yield</v>
      </c>
      <c r="D5548" t="str">
        <v>-</v>
      </c>
      <c r="E5548">
        <v>0</v>
      </c>
      <c r="F5548">
        <v>0</v>
      </c>
    </row>
    <row r="5549" spans="2:6" ht="15.75" customHeight="1" x14ac:dyDescent="0.25">
      <c r="B5549" t="str">
        <v>Streamflow</v>
      </c>
      <c r="C5549" t="str">
        <v>Payments</v>
      </c>
      <c r="D5549" t="str">
        <v>STREAM</v>
      </c>
      <c r="E5549">
        <v>192236.29932599477</v>
      </c>
      <c r="F5549">
        <v>2282890.9215829009</v>
      </c>
    </row>
    <row r="5550" spans="2:6" ht="15.75" customHeight="1" x14ac:dyDescent="0.25">
      <c r="B5550" t="str">
        <v>Streme</v>
      </c>
      <c r="C5550" t="str">
        <v>Launchpad</v>
      </c>
      <c r="D5550" t="str">
        <v>STREME</v>
      </c>
      <c r="E5550">
        <v>0</v>
      </c>
      <c r="F5550">
        <v>295198.61403500196</v>
      </c>
    </row>
    <row r="5551" spans="2:6" ht="15.75" customHeight="1" x14ac:dyDescent="0.25">
      <c r="B5551" t="str">
        <v>Stride</v>
      </c>
      <c r="C5551" t="str">
        <v>Liquid Staking</v>
      </c>
      <c r="D5551" t="str">
        <v>STRD</v>
      </c>
      <c r="E5551">
        <v>14350681.474570993</v>
      </c>
      <c r="F5551">
        <v>1191243.5426878647</v>
      </c>
    </row>
    <row r="5552" spans="2:6" ht="15.75" customHeight="1" x14ac:dyDescent="0.25">
      <c r="B5552" t="str">
        <v>Stride Hyperlane</v>
      </c>
      <c r="C5552" t="str">
        <v>Bridge</v>
      </c>
      <c r="D5552" t="str">
        <v>-</v>
      </c>
      <c r="E5552">
        <v>169403.92497998863</v>
      </c>
      <c r="F5552">
        <v>0</v>
      </c>
    </row>
    <row r="5553" spans="2:6" ht="15.75" customHeight="1" x14ac:dyDescent="0.25">
      <c r="B5553" t="str">
        <v>Strike</v>
      </c>
      <c r="C5553" t="str">
        <v>Lending</v>
      </c>
      <c r="D5553" t="str">
        <v>STRK</v>
      </c>
      <c r="E5553">
        <v>6332.35723847179</v>
      </c>
      <c r="F5553">
        <v>111655.2277889273</v>
      </c>
    </row>
    <row r="5554" spans="2:6" ht="15.75" customHeight="1" x14ac:dyDescent="0.25">
      <c r="B5554" t="str">
        <v>Strike Finance Forwards</v>
      </c>
      <c r="C5554" t="str">
        <v>Derivatives</v>
      </c>
      <c r="D5554" t="str">
        <v>STRIKE</v>
      </c>
      <c r="E5554">
        <v>6891.6946067436966</v>
      </c>
      <c r="F5554">
        <v>0</v>
      </c>
    </row>
    <row r="5555" spans="2:6" ht="15.75" customHeight="1" x14ac:dyDescent="0.25">
      <c r="B5555" t="str">
        <v>Strike Finance Perpetuals</v>
      </c>
      <c r="C5555" t="str">
        <v>Derivatives</v>
      </c>
      <c r="D5555" t="str">
        <v>STRIKE</v>
      </c>
      <c r="E5555">
        <v>3753052.6565335323</v>
      </c>
      <c r="F5555">
        <v>0</v>
      </c>
    </row>
    <row r="5556" spans="2:6" ht="15.75" customHeight="1" x14ac:dyDescent="0.25">
      <c r="B5556" t="str">
        <v>StrikeX</v>
      </c>
      <c r="C5556" t="str">
        <v>Farm</v>
      </c>
      <c r="D5556" t="str">
        <v>STRX</v>
      </c>
      <c r="E5556">
        <v>77.293689086657196</v>
      </c>
      <c r="F5556">
        <v>25091076.140885916</v>
      </c>
    </row>
    <row r="5557" spans="2:6" ht="15.75" customHeight="1" x14ac:dyDescent="0.25">
      <c r="B5557" t="str">
        <v>Strips Finance</v>
      </c>
      <c r="C5557" t="str">
        <v>Derivatives</v>
      </c>
      <c r="D5557" t="str">
        <v>STRP</v>
      </c>
      <c r="E5557">
        <v>0</v>
      </c>
      <c r="F5557">
        <v>0</v>
      </c>
    </row>
    <row r="5558" spans="2:6" ht="15.75" customHeight="1" x14ac:dyDescent="0.25">
      <c r="B5558" t="str">
        <v>Stronghands</v>
      </c>
      <c r="C5558" t="str">
        <v>Dexs</v>
      </c>
      <c r="D5558" t="str">
        <v>SMX</v>
      </c>
      <c r="E5558">
        <v>700.99402881575122</v>
      </c>
      <c r="F5558">
        <v>0</v>
      </c>
    </row>
    <row r="5559" spans="2:6" ht="15.75" customHeight="1" x14ac:dyDescent="0.25">
      <c r="B5559" t="str">
        <v>Stronghold Staked SOL</v>
      </c>
      <c r="C5559" t="str">
        <v>Liquid Staking</v>
      </c>
      <c r="D5559" t="str">
        <v>-</v>
      </c>
      <c r="E5559">
        <v>12661297.345833041</v>
      </c>
      <c r="F5559">
        <v>0</v>
      </c>
    </row>
    <row r="5560" spans="2:6" ht="15.75" customHeight="1" x14ac:dyDescent="0.25">
      <c r="B5560" t="str">
        <v>Struct Finance</v>
      </c>
      <c r="C5560" t="str">
        <v>Yield</v>
      </c>
      <c r="D5560" t="str">
        <v>-</v>
      </c>
      <c r="E5560">
        <v>27381.668214357946</v>
      </c>
      <c r="F5560">
        <v>0</v>
      </c>
    </row>
    <row r="5561" spans="2:6" ht="15.75" customHeight="1" x14ac:dyDescent="0.25">
      <c r="B5561" t="str">
        <v>Structured LSD</v>
      </c>
      <c r="C5561" t="str">
        <v>Yield</v>
      </c>
      <c r="D5561" t="str">
        <v>SLSD</v>
      </c>
      <c r="E5561">
        <v>58.136469590031211</v>
      </c>
      <c r="F5561">
        <v>0</v>
      </c>
    </row>
    <row r="5562" spans="2:6" ht="15.75" customHeight="1" x14ac:dyDescent="0.25">
      <c r="B5562" t="str">
        <v>Strudel Finance</v>
      </c>
      <c r="C5562" t="str">
        <v>Bridge</v>
      </c>
      <c r="D5562" t="str">
        <v>TRDL</v>
      </c>
      <c r="E5562">
        <v>0</v>
      </c>
      <c r="F5562">
        <v>0</v>
      </c>
    </row>
    <row r="5563" spans="2:6" ht="15.75" customHeight="1" x14ac:dyDescent="0.25">
      <c r="B5563" t="str">
        <v>STRX Finance</v>
      </c>
      <c r="C5563" t="str">
        <v>Liquid Staking</v>
      </c>
      <c r="D5563" t="str">
        <v>SFI</v>
      </c>
      <c r="E5563">
        <v>16325.781964522892</v>
      </c>
      <c r="F5563">
        <v>0</v>
      </c>
    </row>
    <row r="5564" spans="2:6" ht="15.75" customHeight="1" x14ac:dyDescent="0.25">
      <c r="B5564" t="str">
        <v>Stryke CLAMM</v>
      </c>
      <c r="C5564" t="str">
        <v>Options</v>
      </c>
      <c r="D5564" t="str">
        <v>DPX</v>
      </c>
      <c r="E5564">
        <v>218956.18015740957</v>
      </c>
      <c r="F5564">
        <v>0</v>
      </c>
    </row>
    <row r="5565" spans="2:6" ht="15.75" customHeight="1" x14ac:dyDescent="0.25">
      <c r="B5565" t="str">
        <v>Stryke SSOV</v>
      </c>
      <c r="C5565" t="str">
        <v>Options</v>
      </c>
      <c r="D5565" t="str">
        <v>DPX</v>
      </c>
      <c r="E5565">
        <v>15275.954954645113</v>
      </c>
      <c r="F5565">
        <v>0</v>
      </c>
    </row>
    <row r="5566" spans="2:6" ht="15.75" customHeight="1" x14ac:dyDescent="0.25">
      <c r="B5566" t="str">
        <v>Sturdy V1</v>
      </c>
      <c r="C5566" t="str">
        <v>Lending</v>
      </c>
      <c r="D5566" t="str">
        <v>STRDY</v>
      </c>
      <c r="E5566">
        <v>76697.436395036886</v>
      </c>
      <c r="F5566">
        <v>0</v>
      </c>
    </row>
    <row r="5567" spans="2:6" ht="15.75" customHeight="1" x14ac:dyDescent="0.25">
      <c r="B5567" t="str">
        <v>Sturdy V2</v>
      </c>
      <c r="C5567" t="str">
        <v>Lending</v>
      </c>
      <c r="D5567" t="str">
        <v>STRDY</v>
      </c>
      <c r="E5567">
        <v>634754.54497000761</v>
      </c>
      <c r="F5567">
        <v>0</v>
      </c>
    </row>
    <row r="5568" spans="2:6" ht="15.75" customHeight="1" x14ac:dyDescent="0.25">
      <c r="B5568" t="str">
        <v>Sturgeon</v>
      </c>
      <c r="C5568" t="str">
        <v>Yield</v>
      </c>
      <c r="D5568" t="str">
        <v>-</v>
      </c>
      <c r="E5568">
        <v>0</v>
      </c>
      <c r="F5568">
        <v>0</v>
      </c>
    </row>
    <row r="5569" spans="2:6" ht="15.75" customHeight="1" x14ac:dyDescent="0.25">
      <c r="B5569" t="str">
        <v>stUSDT</v>
      </c>
      <c r="C5569" t="str">
        <v>RWA</v>
      </c>
      <c r="D5569" t="str">
        <v>STUSDT</v>
      </c>
      <c r="E5569">
        <v>61446861.402918294</v>
      </c>
      <c r="F5569">
        <v>54311629.985851586</v>
      </c>
    </row>
    <row r="5570" spans="2:6" ht="15.75" customHeight="1" x14ac:dyDescent="0.25">
      <c r="B5570" t="str">
        <v>Substance Exchange</v>
      </c>
      <c r="C5570" t="str">
        <v>Derivatives</v>
      </c>
      <c r="D5570" t="str">
        <v>-</v>
      </c>
      <c r="E5570">
        <v>35637.25036466225</v>
      </c>
      <c r="F5570">
        <v>0</v>
      </c>
    </row>
    <row r="5571" spans="2:6" ht="15.75" customHeight="1" x14ac:dyDescent="0.25">
      <c r="B5571" t="str">
        <v>Subunit</v>
      </c>
      <c r="C5571" t="str">
        <v>RWA</v>
      </c>
      <c r="D5571" t="str">
        <v>-</v>
      </c>
      <c r="E5571">
        <v>2052.3354429391397</v>
      </c>
      <c r="F5571">
        <v>0</v>
      </c>
    </row>
    <row r="5572" spans="2:6" ht="15.75" customHeight="1" x14ac:dyDescent="0.25">
      <c r="B5572" t="str">
        <v>Subzero ZSwap</v>
      </c>
      <c r="C5572" t="str">
        <v>Dexs</v>
      </c>
      <c r="D5572" t="str">
        <v>-</v>
      </c>
      <c r="E5572">
        <v>3517.7300406316281</v>
      </c>
      <c r="F5572">
        <v>0</v>
      </c>
    </row>
    <row r="5573" spans="2:6" ht="15.75" customHeight="1" x14ac:dyDescent="0.25">
      <c r="B5573" t="str">
        <v>Subzero+</v>
      </c>
      <c r="C5573" t="str">
        <v>Reserve Currency</v>
      </c>
      <c r="D5573" t="str">
        <v>SUB</v>
      </c>
      <c r="E5573">
        <v>0</v>
      </c>
      <c r="F5573">
        <v>0</v>
      </c>
    </row>
    <row r="5574" spans="2:6" ht="15.75" customHeight="1" x14ac:dyDescent="0.25">
      <c r="B5574" t="str">
        <v>Sudo Inu</v>
      </c>
      <c r="C5574" t="str">
        <v>Farm</v>
      </c>
      <c r="D5574" t="str">
        <v>SNACK</v>
      </c>
      <c r="E5574">
        <v>0</v>
      </c>
      <c r="F5574">
        <v>0</v>
      </c>
    </row>
    <row r="5575" spans="2:6" ht="15.75" customHeight="1" x14ac:dyDescent="0.25">
      <c r="B5575" t="str">
        <v>Sudo Perps</v>
      </c>
      <c r="C5575" t="str">
        <v>Derivatives</v>
      </c>
      <c r="D5575" t="str">
        <v>SLP</v>
      </c>
      <c r="E5575">
        <v>597501.83687041188</v>
      </c>
      <c r="F5575">
        <v>0</v>
      </c>
    </row>
    <row r="5576" spans="2:6" ht="15.75" customHeight="1" x14ac:dyDescent="0.25">
      <c r="B5576" t="str">
        <v>Sudoswap V1</v>
      </c>
      <c r="C5576" t="str">
        <v>NFT Marketplace</v>
      </c>
      <c r="D5576" t="str">
        <v>SUDO</v>
      </c>
      <c r="E5576">
        <v>688015.80710549618</v>
      </c>
      <c r="F5576">
        <v>0</v>
      </c>
    </row>
    <row r="5577" spans="2:6" ht="15.75" customHeight="1" x14ac:dyDescent="0.25">
      <c r="B5577" t="str">
        <v>Sudoswap V2</v>
      </c>
      <c r="C5577" t="str">
        <v>NFT Marketplace</v>
      </c>
      <c r="D5577" t="str">
        <v>SUDO</v>
      </c>
      <c r="E5577">
        <v>411826.73458786699</v>
      </c>
      <c r="F5577">
        <v>0</v>
      </c>
    </row>
    <row r="5578" spans="2:6" ht="15.75" customHeight="1" x14ac:dyDescent="0.25">
      <c r="B5578" t="str">
        <v>Sugar Swap</v>
      </c>
      <c r="C5578" t="str">
        <v>Dexs</v>
      </c>
      <c r="D5578" t="str">
        <v>SUGAR</v>
      </c>
      <c r="E5578">
        <v>272.60659530211501</v>
      </c>
      <c r="F5578">
        <v>0</v>
      </c>
    </row>
    <row r="5579" spans="2:6" ht="15.75" customHeight="1" x14ac:dyDescent="0.25">
      <c r="B5579" t="str">
        <v>SugarSwap</v>
      </c>
      <c r="C5579" t="str">
        <v>Dexs</v>
      </c>
      <c r="D5579" t="str">
        <v>SUGAR</v>
      </c>
      <c r="E5579">
        <v>12459.098322497695</v>
      </c>
      <c r="F5579">
        <v>0</v>
      </c>
    </row>
    <row r="5580" spans="2:6" ht="15.75" customHeight="1" x14ac:dyDescent="0.25">
      <c r="B5580" t="str">
        <v>Sui Foundation</v>
      </c>
      <c r="C5580" t="str">
        <v>Canonical Bridge</v>
      </c>
      <c r="D5580" t="str">
        <v>SUI</v>
      </c>
      <c r="E5580">
        <v>0</v>
      </c>
      <c r="F5580">
        <v>6911168446.8617973</v>
      </c>
    </row>
    <row r="5581" spans="2:6" ht="15.75" customHeight="1" x14ac:dyDescent="0.25">
      <c r="B5581" t="str">
        <v>Sui Pearl</v>
      </c>
      <c r="C5581" t="str">
        <v>Yield Aggregator</v>
      </c>
      <c r="D5581" t="str">
        <v>PRL</v>
      </c>
      <c r="E5581">
        <v>33869.158518454664</v>
      </c>
      <c r="F5581">
        <v>0</v>
      </c>
    </row>
    <row r="5582" spans="2:6" ht="15.75" customHeight="1" x14ac:dyDescent="0.25">
      <c r="B5582" t="str">
        <v>Sui Rewards Me</v>
      </c>
      <c r="C5582" t="str">
        <v>Launchpad</v>
      </c>
      <c r="D5582" t="str">
        <v>SRM</v>
      </c>
      <c r="E5582">
        <v>21354.560509864579</v>
      </c>
      <c r="F5582">
        <v>0</v>
      </c>
    </row>
    <row r="5583" spans="2:6" ht="15.75" customHeight="1" x14ac:dyDescent="0.25">
      <c r="B5583" t="str">
        <v>SuiBridge</v>
      </c>
      <c r="C5583" t="str">
        <v>Canonical Bridge</v>
      </c>
      <c r="D5583" t="str">
        <v>-</v>
      </c>
      <c r="E5583">
        <v>144388191.76828316</v>
      </c>
      <c r="F5583">
        <v>0</v>
      </c>
    </row>
    <row r="5584" spans="2:6" ht="15.75" customHeight="1" x14ac:dyDescent="0.25">
      <c r="B5584" t="str">
        <v>SuiDollar</v>
      </c>
      <c r="C5584" t="str">
        <v>Basis Trading</v>
      </c>
      <c r="D5584" t="str">
        <v>-</v>
      </c>
      <c r="E5584">
        <v>250525.15850691471</v>
      </c>
      <c r="F5584">
        <v>0</v>
      </c>
    </row>
    <row r="5585" spans="2:6" ht="15.75" customHeight="1" x14ac:dyDescent="0.25">
      <c r="B5585" t="str">
        <v>Suilend</v>
      </c>
      <c r="C5585" t="str">
        <v>Lending</v>
      </c>
      <c r="D5585" t="str">
        <v>SEND</v>
      </c>
      <c r="E5585">
        <v>294830868.76722962</v>
      </c>
      <c r="F5585">
        <v>0</v>
      </c>
    </row>
    <row r="5586" spans="2:6" ht="15.75" customHeight="1" x14ac:dyDescent="0.25">
      <c r="B5586" t="str">
        <v>SuiMarket</v>
      </c>
      <c r="C5586" t="str">
        <v>Prediction Market</v>
      </c>
      <c r="D5586" t="str">
        <v>-</v>
      </c>
      <c r="E5586">
        <v>0</v>
      </c>
      <c r="F5586">
        <v>0</v>
      </c>
    </row>
    <row r="5587" spans="2:6" ht="15.75" customHeight="1" x14ac:dyDescent="0.25">
      <c r="B5587" t="str">
        <v>SUITE</v>
      </c>
      <c r="C5587" t="str">
        <v>Trading App</v>
      </c>
      <c r="D5587" t="str">
        <v>SUITE</v>
      </c>
      <c r="E5587">
        <v>0</v>
      </c>
      <c r="F5587">
        <v>48162.29562666249</v>
      </c>
    </row>
    <row r="5588" spans="2:6" ht="15.75" customHeight="1" x14ac:dyDescent="0.25">
      <c r="B5588" t="str">
        <v>Sumer.money</v>
      </c>
      <c r="C5588" t="str">
        <v>Lending</v>
      </c>
      <c r="D5588" t="str">
        <v>-</v>
      </c>
      <c r="E5588">
        <v>2772043.0245939381</v>
      </c>
      <c r="F5588">
        <v>0</v>
      </c>
    </row>
    <row r="5589" spans="2:6" ht="15.75" customHeight="1" x14ac:dyDescent="0.25">
      <c r="B5589" t="str">
        <v>Summer.fi Pro</v>
      </c>
      <c r="C5589" t="str">
        <v>CDP Manager</v>
      </c>
      <c r="D5589" t="str">
        <v>-</v>
      </c>
      <c r="E5589">
        <v>62766238.115639821</v>
      </c>
      <c r="F5589">
        <v>0</v>
      </c>
    </row>
    <row r="5590" spans="2:6" ht="15.75" customHeight="1" x14ac:dyDescent="0.25">
      <c r="B5590" t="str">
        <v>Summit Defi</v>
      </c>
      <c r="C5590" t="str">
        <v>Yield</v>
      </c>
      <c r="D5590" t="str">
        <v>SUMMIT</v>
      </c>
      <c r="E5590">
        <v>256.20551491299079</v>
      </c>
      <c r="F5590">
        <v>0</v>
      </c>
    </row>
    <row r="5591" spans="2:6" ht="15.75" customHeight="1" x14ac:dyDescent="0.25">
      <c r="B5591" t="str">
        <v>SummitX Finance</v>
      </c>
      <c r="C5591" t="str">
        <v>Dexs</v>
      </c>
      <c r="D5591" t="str">
        <v>-</v>
      </c>
      <c r="E5591">
        <v>7283.8024977951982</v>
      </c>
      <c r="F5591">
        <v>0</v>
      </c>
    </row>
    <row r="5592" spans="2:6" ht="15.75" customHeight="1" x14ac:dyDescent="0.25">
      <c r="B5592" t="str">
        <v>SumSwap</v>
      </c>
      <c r="C5592" t="str">
        <v>Dexs</v>
      </c>
      <c r="D5592" t="str">
        <v>SUM</v>
      </c>
      <c r="E5592">
        <v>86896.628479079576</v>
      </c>
      <c r="F5592">
        <v>0</v>
      </c>
    </row>
    <row r="5593" spans="2:6" ht="15.75" customHeight="1" x14ac:dyDescent="0.25">
      <c r="B5593" t="str">
        <v>SUN.io</v>
      </c>
      <c r="C5593" t="str">
        <v>Dexs</v>
      </c>
      <c r="D5593" t="str">
        <v>SUN</v>
      </c>
      <c r="E5593">
        <v>845943.72210822848</v>
      </c>
      <c r="F5593">
        <v>385581514.65304595</v>
      </c>
    </row>
    <row r="5594" spans="2:6" ht="15.75" customHeight="1" x14ac:dyDescent="0.25">
      <c r="B5594" t="str">
        <v>SundaeSwap V2</v>
      </c>
      <c r="C5594" t="str">
        <v>Dexs</v>
      </c>
      <c r="D5594" t="str">
        <v>SUNDAE</v>
      </c>
      <c r="E5594">
        <v>1099386.4596838101</v>
      </c>
      <c r="F5594">
        <v>0</v>
      </c>
    </row>
    <row r="5595" spans="2:6" ht="15.75" customHeight="1" x14ac:dyDescent="0.25">
      <c r="B5595" t="str">
        <v>SundaeSwap V3</v>
      </c>
      <c r="C5595" t="str">
        <v>Dexs</v>
      </c>
      <c r="D5595" t="str">
        <v>SUNDAE</v>
      </c>
      <c r="E5595">
        <v>6562226.8748629987</v>
      </c>
      <c r="F5595">
        <v>0</v>
      </c>
    </row>
    <row r="5596" spans="2:6" ht="15.75" customHeight="1" x14ac:dyDescent="0.25">
      <c r="B5596" t="str">
        <v>SunFlower Finance</v>
      </c>
      <c r="C5596" t="str">
        <v>Dexs</v>
      </c>
      <c r="D5596" t="str">
        <v>SFO</v>
      </c>
      <c r="E5596">
        <v>138.02871418354229</v>
      </c>
      <c r="F5596">
        <v>0</v>
      </c>
    </row>
    <row r="5597" spans="2:6" ht="15.75" customHeight="1" x14ac:dyDescent="0.25">
      <c r="B5597" t="str">
        <v>SunflowerSwap</v>
      </c>
      <c r="C5597" t="str">
        <v>Farm</v>
      </c>
      <c r="D5597" t="str">
        <v>SFR</v>
      </c>
      <c r="E5597">
        <v>917.83118407684287</v>
      </c>
      <c r="F5597">
        <v>0</v>
      </c>
    </row>
    <row r="5598" spans="2:6" ht="15.75" customHeight="1" x14ac:dyDescent="0.25">
      <c r="B5598" t="str">
        <v>Sunny</v>
      </c>
      <c r="C5598" t="str">
        <v>Yield</v>
      </c>
      <c r="D5598" t="str">
        <v>SUNNY</v>
      </c>
      <c r="E5598">
        <v>3369501.6857776791</v>
      </c>
      <c r="F5598">
        <v>0</v>
      </c>
    </row>
    <row r="5599" spans="2:6" ht="15.75" customHeight="1" x14ac:dyDescent="0.25">
      <c r="B5599" t="str">
        <v>SunPump</v>
      </c>
      <c r="C5599" t="str">
        <v>Launchpad</v>
      </c>
      <c r="D5599" t="str">
        <v>-</v>
      </c>
      <c r="E5599">
        <v>1937118.7367959702</v>
      </c>
      <c r="F5599">
        <v>0</v>
      </c>
    </row>
    <row r="5600" spans="2:6" ht="15.75" customHeight="1" x14ac:dyDescent="0.25">
      <c r="B5600" t="str">
        <v>Sunrise Gaming</v>
      </c>
      <c r="C5600" t="str">
        <v>Luck Games</v>
      </c>
      <c r="D5600" t="str">
        <v>SUNC</v>
      </c>
      <c r="E5600">
        <v>0</v>
      </c>
      <c r="F5600">
        <v>0</v>
      </c>
    </row>
    <row r="5601" spans="2:6" ht="15.75" customHeight="1" x14ac:dyDescent="0.25">
      <c r="B5601" t="str">
        <v>SUNSwap V1</v>
      </c>
      <c r="C5601" t="str">
        <v>Dexs</v>
      </c>
      <c r="D5601" t="str">
        <v>SUN</v>
      </c>
      <c r="E5601">
        <v>56584871.802576996</v>
      </c>
      <c r="F5601">
        <v>0</v>
      </c>
    </row>
    <row r="5602" spans="2:6" ht="15.75" customHeight="1" x14ac:dyDescent="0.25">
      <c r="B5602" t="str">
        <v>SUNSwap V2</v>
      </c>
      <c r="C5602" t="str">
        <v>Dexs</v>
      </c>
      <c r="D5602" t="str">
        <v>SUN</v>
      </c>
      <c r="E5602">
        <v>254083584.05796203</v>
      </c>
      <c r="F5602">
        <v>0</v>
      </c>
    </row>
    <row r="5603" spans="2:6" ht="15.75" customHeight="1" x14ac:dyDescent="0.25">
      <c r="B5603" t="str">
        <v>SUNSwap V3</v>
      </c>
      <c r="C5603" t="str">
        <v>Dexs</v>
      </c>
      <c r="D5603" t="str">
        <v>SUN</v>
      </c>
      <c r="E5603">
        <v>178921356.02977529</v>
      </c>
      <c r="F5603">
        <v>0</v>
      </c>
    </row>
    <row r="5604" spans="2:6" ht="15.75" customHeight="1" x14ac:dyDescent="0.25">
      <c r="B5604" t="str">
        <v>SunX</v>
      </c>
      <c r="C5604" t="str">
        <v>Derivatives</v>
      </c>
      <c r="D5604" t="str">
        <v>SUN</v>
      </c>
      <c r="E5604">
        <v>22022650.201752625</v>
      </c>
      <c r="F5604">
        <v>0</v>
      </c>
    </row>
    <row r="5605" spans="2:6" ht="15.75" customHeight="1" x14ac:dyDescent="0.25">
      <c r="B5605" t="str">
        <v>Super DCA</v>
      </c>
      <c r="C5605" t="str">
        <v>DCA Tools</v>
      </c>
      <c r="D5605" t="str">
        <v>DCA</v>
      </c>
      <c r="E5605">
        <v>4693.5978363607055</v>
      </c>
      <c r="F5605">
        <v>0</v>
      </c>
    </row>
    <row r="5606" spans="2:6" ht="15.75" customHeight="1" x14ac:dyDescent="0.25">
      <c r="B5606" t="str">
        <v>SuperBoring</v>
      </c>
      <c r="C5606" t="str">
        <v>DEX Aggregator</v>
      </c>
      <c r="D5606" t="str">
        <v>-</v>
      </c>
      <c r="E5606">
        <v>0</v>
      </c>
      <c r="F5606">
        <v>0</v>
      </c>
    </row>
    <row r="5607" spans="2:6" ht="15.75" customHeight="1" x14ac:dyDescent="0.25">
      <c r="B5607" t="str">
        <v>SuperBots</v>
      </c>
      <c r="C5607" t="str">
        <v>Yield Aggregator</v>
      </c>
      <c r="D5607" t="str">
        <v>UBXT</v>
      </c>
      <c r="E5607">
        <v>829.91293031829264</v>
      </c>
      <c r="F5607">
        <v>0</v>
      </c>
    </row>
    <row r="5608" spans="2:6" ht="15.75" customHeight="1" x14ac:dyDescent="0.25">
      <c r="B5608" t="str">
        <v>Supercexy</v>
      </c>
      <c r="C5608" t="str">
        <v>Interface</v>
      </c>
      <c r="D5608" t="str">
        <v>-</v>
      </c>
      <c r="E5608">
        <v>0</v>
      </c>
      <c r="F5608">
        <v>0</v>
      </c>
    </row>
    <row r="5609" spans="2:6" ht="15.75" customHeight="1" x14ac:dyDescent="0.25">
      <c r="B5609" t="str">
        <v>Superchain</v>
      </c>
      <c r="C5609" t="str">
        <v>Services</v>
      </c>
      <c r="D5609" t="str">
        <v>-</v>
      </c>
      <c r="E5609">
        <v>0</v>
      </c>
      <c r="F5609">
        <v>0</v>
      </c>
    </row>
    <row r="5610" spans="2:6" ht="15.75" customHeight="1" x14ac:dyDescent="0.25">
      <c r="B5610" t="str">
        <v>SuperDapp</v>
      </c>
      <c r="C5610" t="str">
        <v>Farm</v>
      </c>
      <c r="D5610" t="str">
        <v>SUPR</v>
      </c>
      <c r="E5610">
        <v>0</v>
      </c>
      <c r="F5610">
        <v>133228.2384223897</v>
      </c>
    </row>
    <row r="5611" spans="2:6" ht="15.75" customHeight="1" x14ac:dyDescent="0.25">
      <c r="B5611" t="str">
        <v>SuperEarn</v>
      </c>
      <c r="C5611" t="str">
        <v>Yield</v>
      </c>
      <c r="D5611" t="str">
        <v>-</v>
      </c>
      <c r="E5611">
        <v>3793176.7666729977</v>
      </c>
      <c r="F5611">
        <v>0</v>
      </c>
    </row>
    <row r="5612" spans="2:6" ht="15.75" customHeight="1" x14ac:dyDescent="0.25">
      <c r="B5612" t="str">
        <v>SuperFarm</v>
      </c>
      <c r="C5612" t="str">
        <v>Services</v>
      </c>
      <c r="D5612" t="str">
        <v>SUPER</v>
      </c>
      <c r="E5612">
        <v>26090.064929127995</v>
      </c>
      <c r="F5612">
        <v>139012348.87711722</v>
      </c>
    </row>
    <row r="5613" spans="2:6" ht="15.75" customHeight="1" x14ac:dyDescent="0.25">
      <c r="B5613" t="str">
        <v>Superfluid</v>
      </c>
      <c r="C5613" t="str">
        <v>Payments</v>
      </c>
      <c r="D5613" t="str">
        <v>SUP</v>
      </c>
      <c r="E5613">
        <v>11328587.095172608</v>
      </c>
      <c r="F5613">
        <v>2648172.8377179657</v>
      </c>
    </row>
    <row r="5614" spans="2:6" ht="15.75" customHeight="1" x14ac:dyDescent="0.25">
      <c r="B5614" t="str">
        <v>Superform</v>
      </c>
      <c r="C5614" t="str">
        <v>Yield Aggregator</v>
      </c>
      <c r="D5614" t="str">
        <v>UP</v>
      </c>
      <c r="E5614">
        <v>77657562.258637026</v>
      </c>
      <c r="F5614">
        <v>0</v>
      </c>
    </row>
    <row r="5615" spans="2:6" ht="15.75" customHeight="1" x14ac:dyDescent="0.25">
      <c r="B5615" t="str">
        <v>Superfund</v>
      </c>
      <c r="C5615" t="str">
        <v>Onchain Capital Allocator</v>
      </c>
      <c r="D5615" t="str">
        <v>-</v>
      </c>
      <c r="E5615">
        <v>384076.53757689003</v>
      </c>
      <c r="F5615">
        <v>0</v>
      </c>
    </row>
    <row r="5616" spans="2:6" ht="15.75" customHeight="1" x14ac:dyDescent="0.25">
      <c r="B5616" t="str">
        <v>SuperHedge</v>
      </c>
      <c r="C5616" t="str">
        <v>Yield</v>
      </c>
      <c r="D5616" t="str">
        <v>-</v>
      </c>
      <c r="E5616">
        <v>77.710451880094638</v>
      </c>
      <c r="F5616">
        <v>0</v>
      </c>
    </row>
    <row r="5617" spans="2:6" ht="15.75" customHeight="1" x14ac:dyDescent="0.25">
      <c r="B5617" t="str">
        <v>Superhero DEX</v>
      </c>
      <c r="C5617" t="str">
        <v>Dexs</v>
      </c>
      <c r="D5617" t="str">
        <v>-</v>
      </c>
      <c r="E5617">
        <v>227.64979118818181</v>
      </c>
      <c r="F5617">
        <v>0</v>
      </c>
    </row>
    <row r="5618" spans="2:6" ht="15.75" customHeight="1" x14ac:dyDescent="0.25">
      <c r="B5618" t="str">
        <v>SuperLauncher</v>
      </c>
      <c r="C5618" t="str">
        <v>Launchpad</v>
      </c>
      <c r="D5618" t="str">
        <v>LAUNCH</v>
      </c>
      <c r="E5618">
        <v>0</v>
      </c>
      <c r="F5618">
        <v>0</v>
      </c>
    </row>
    <row r="5619" spans="2:6" ht="15.75" customHeight="1" x14ac:dyDescent="0.25">
      <c r="B5619" t="str">
        <v>Superlend</v>
      </c>
      <c r="C5619" t="str">
        <v>Lending</v>
      </c>
      <c r="D5619" t="str">
        <v>-</v>
      </c>
      <c r="E5619">
        <v>10113694.999517895</v>
      </c>
      <c r="F5619">
        <v>0</v>
      </c>
    </row>
    <row r="5620" spans="2:6" ht="15.75" customHeight="1" x14ac:dyDescent="0.25">
      <c r="B5620" t="str">
        <v>Superloop</v>
      </c>
      <c r="C5620" t="str">
        <v>Onchain Capital Allocator</v>
      </c>
      <c r="D5620" t="str">
        <v>-</v>
      </c>
      <c r="E5620">
        <v>3765865.0616480508</v>
      </c>
      <c r="F5620">
        <v>0</v>
      </c>
    </row>
    <row r="5621" spans="2:6" ht="15.75" customHeight="1" x14ac:dyDescent="0.25">
      <c r="B5621" t="str">
        <v>Superman Swap</v>
      </c>
      <c r="C5621" t="str">
        <v>Yield Aggregator</v>
      </c>
      <c r="D5621" t="str">
        <v>SUPERMAN</v>
      </c>
      <c r="E5621">
        <v>3025.8708358217227</v>
      </c>
      <c r="F5621">
        <v>0</v>
      </c>
    </row>
    <row r="5622" spans="2:6" ht="15.75" customHeight="1" x14ac:dyDescent="0.25">
      <c r="B5622" t="str">
        <v>Superp</v>
      </c>
      <c r="C5622" t="str">
        <v>Derivatives</v>
      </c>
      <c r="D5622" t="str">
        <v>SUP</v>
      </c>
      <c r="E5622">
        <v>181006.49389198597</v>
      </c>
      <c r="F5622">
        <v>4496288.0345176095</v>
      </c>
    </row>
    <row r="5623" spans="2:6" ht="15.75" customHeight="1" x14ac:dyDescent="0.25">
      <c r="B5623" t="str">
        <v>Superposition</v>
      </c>
      <c r="C5623" t="str">
        <v>Lending</v>
      </c>
      <c r="D5623" t="str">
        <v>-</v>
      </c>
      <c r="E5623">
        <v>569379.86570199882</v>
      </c>
      <c r="F5623">
        <v>0</v>
      </c>
    </row>
    <row r="5624" spans="2:6" ht="15.75" customHeight="1" x14ac:dyDescent="0.25">
      <c r="B5624" t="str">
        <v>SuperRare</v>
      </c>
      <c r="C5624" t="str">
        <v>NFT Marketplace</v>
      </c>
      <c r="D5624" t="str">
        <v>RARE</v>
      </c>
      <c r="E5624">
        <v>0</v>
      </c>
      <c r="F5624">
        <v>19046070.381292671</v>
      </c>
    </row>
    <row r="5625" spans="2:6" ht="15.75" customHeight="1" x14ac:dyDescent="0.25">
      <c r="B5625" t="str">
        <v>SuperReturn</v>
      </c>
      <c r="C5625" t="str">
        <v>Onchain Capital Allocator</v>
      </c>
      <c r="D5625" t="str">
        <v>-</v>
      </c>
      <c r="E5625">
        <v>2303747.0506512383</v>
      </c>
      <c r="F5625">
        <v>0</v>
      </c>
    </row>
    <row r="5626" spans="2:6" ht="15.75" customHeight="1" x14ac:dyDescent="0.25">
      <c r="B5626" t="str">
        <v>Superstack</v>
      </c>
      <c r="C5626" t="str">
        <v>Interface</v>
      </c>
      <c r="D5626" t="str">
        <v>-</v>
      </c>
      <c r="E5626">
        <v>0</v>
      </c>
      <c r="F5626">
        <v>0</v>
      </c>
    </row>
    <row r="5627" spans="2:6" ht="15.75" customHeight="1" x14ac:dyDescent="0.25">
      <c r="B5627" t="str">
        <v>Superstate USCC</v>
      </c>
      <c r="C5627" t="str">
        <v>Basis Trading</v>
      </c>
      <c r="D5627" t="str">
        <v>-</v>
      </c>
      <c r="E5627">
        <v>376126178.92564923</v>
      </c>
      <c r="F5627">
        <v>0</v>
      </c>
    </row>
    <row r="5628" spans="2:6" ht="15.75" customHeight="1" x14ac:dyDescent="0.25">
      <c r="B5628" t="str">
        <v>Superstate USTB</v>
      </c>
      <c r="C5628" t="str">
        <v>RWA</v>
      </c>
      <c r="D5628" t="str">
        <v>-</v>
      </c>
      <c r="E5628">
        <v>575395331.73754466</v>
      </c>
      <c r="F5628">
        <v>0</v>
      </c>
    </row>
    <row r="5629" spans="2:6" ht="15.75" customHeight="1" x14ac:dyDescent="0.25">
      <c r="B5629" t="str">
        <v>SuperSwap Ink</v>
      </c>
      <c r="C5629" t="str">
        <v>DEX Aggregator</v>
      </c>
      <c r="D5629" t="str">
        <v>-</v>
      </c>
      <c r="E5629">
        <v>0</v>
      </c>
      <c r="F5629">
        <v>0</v>
      </c>
    </row>
    <row r="5630" spans="2:6" ht="15.75" customHeight="1" x14ac:dyDescent="0.25">
      <c r="B5630" t="str">
        <v>SuperSwap V2</v>
      </c>
      <c r="C5630" t="str">
        <v>Dexs</v>
      </c>
      <c r="D5630" t="str">
        <v>-</v>
      </c>
      <c r="E5630">
        <v>8.6716866130211595E-3</v>
      </c>
      <c r="F5630">
        <v>0</v>
      </c>
    </row>
    <row r="5631" spans="2:6" ht="15.75" customHeight="1" x14ac:dyDescent="0.25">
      <c r="B5631" t="str">
        <v>SuperSwap V3</v>
      </c>
      <c r="C5631" t="str">
        <v>Dexs</v>
      </c>
      <c r="D5631" t="str">
        <v>-</v>
      </c>
      <c r="E5631">
        <v>543.97977652551208</v>
      </c>
      <c r="F5631">
        <v>0</v>
      </c>
    </row>
    <row r="5632" spans="2:6" ht="15.75" customHeight="1" x14ac:dyDescent="0.25">
      <c r="B5632" t="str">
        <v>SuperSweth Vault</v>
      </c>
      <c r="C5632" t="str">
        <v>Farm</v>
      </c>
      <c r="D5632" t="str">
        <v>SWELL</v>
      </c>
      <c r="E5632">
        <v>72.520231326707105</v>
      </c>
      <c r="F5632">
        <v>0</v>
      </c>
    </row>
    <row r="5633" spans="2:6" ht="15.75" customHeight="1" x14ac:dyDescent="0.25">
      <c r="B5633" t="str">
        <v>Supervaults</v>
      </c>
      <c r="C5633" t="str">
        <v>Liquidity manager</v>
      </c>
      <c r="D5633" t="str">
        <v>-</v>
      </c>
      <c r="E5633">
        <v>3042861.1826194567</v>
      </c>
      <c r="F5633">
        <v>0</v>
      </c>
    </row>
    <row r="5634" spans="2:6" ht="15.75" customHeight="1" x14ac:dyDescent="0.25">
      <c r="B5634" t="str">
        <v>SuperX</v>
      </c>
      <c r="C5634" t="str">
        <v>Interface</v>
      </c>
      <c r="D5634" t="str">
        <v>-</v>
      </c>
      <c r="E5634">
        <v>0</v>
      </c>
      <c r="F5634">
        <v>0</v>
      </c>
    </row>
    <row r="5635" spans="2:6" ht="15.75" customHeight="1" x14ac:dyDescent="0.25">
      <c r="B5635" t="str">
        <v>Supra Bridge</v>
      </c>
      <c r="C5635" t="str">
        <v>Canonical Bridge</v>
      </c>
      <c r="D5635" t="str">
        <v>SUPRA</v>
      </c>
      <c r="E5635">
        <v>71425.872184248976</v>
      </c>
      <c r="F5635">
        <v>0</v>
      </c>
    </row>
    <row r="5636" spans="2:6" ht="15.75" customHeight="1" x14ac:dyDescent="0.25">
      <c r="B5636" t="str">
        <v>Supra Staking</v>
      </c>
      <c r="C5636" t="str">
        <v>Staking Pool</v>
      </c>
      <c r="D5636" t="str">
        <v>-</v>
      </c>
      <c r="E5636">
        <v>12702729.568199851</v>
      </c>
      <c r="F5636">
        <v>0</v>
      </c>
    </row>
    <row r="5637" spans="2:6" ht="15.75" customHeight="1" x14ac:dyDescent="0.25">
      <c r="B5637" t="str">
        <v>SupraFi</v>
      </c>
      <c r="C5637" t="str">
        <v>Liquid Staking</v>
      </c>
      <c r="D5637" t="str">
        <v>-</v>
      </c>
      <c r="E5637">
        <v>71.20581964382535</v>
      </c>
      <c r="F5637">
        <v>0</v>
      </c>
    </row>
    <row r="5638" spans="2:6" ht="15.75" customHeight="1" x14ac:dyDescent="0.25">
      <c r="B5638" t="str">
        <v>SupSwap V2</v>
      </c>
      <c r="C5638" t="str">
        <v>Dexs</v>
      </c>
      <c r="D5638" t="str">
        <v>-</v>
      </c>
      <c r="E5638">
        <v>888.01197118815435</v>
      </c>
      <c r="F5638">
        <v>0</v>
      </c>
    </row>
    <row r="5639" spans="2:6" ht="15.75" customHeight="1" x14ac:dyDescent="0.25">
      <c r="B5639" t="str">
        <v>SupSwap V3</v>
      </c>
      <c r="C5639" t="str">
        <v>Dexs</v>
      </c>
      <c r="D5639" t="str">
        <v>-</v>
      </c>
      <c r="E5639">
        <v>31093.449246073364</v>
      </c>
      <c r="F5639">
        <v>0</v>
      </c>
    </row>
    <row r="5640" spans="2:6" ht="15.75" customHeight="1" x14ac:dyDescent="0.25">
      <c r="B5640" t="str">
        <v>Surf Lending</v>
      </c>
      <c r="C5640" t="str">
        <v>Lending</v>
      </c>
      <c r="D5640" t="str">
        <v>SURF</v>
      </c>
      <c r="E5640">
        <v>4540246.8090066053</v>
      </c>
      <c r="F5640">
        <v>1638317.640984142</v>
      </c>
    </row>
    <row r="5641" spans="2:6" ht="15.75" customHeight="1" x14ac:dyDescent="0.25">
      <c r="B5641" t="str">
        <v>Surf Liquid</v>
      </c>
      <c r="C5641" t="str">
        <v>Yield</v>
      </c>
      <c r="D5641" t="str">
        <v>SURF</v>
      </c>
      <c r="E5641">
        <v>1053.8360376190058</v>
      </c>
      <c r="F5641">
        <v>459507.77255750116</v>
      </c>
    </row>
    <row r="5642" spans="2:6" ht="15.75" customHeight="1" x14ac:dyDescent="0.25">
      <c r="B5642" t="str">
        <v>Surf Protocol</v>
      </c>
      <c r="C5642" t="str">
        <v>Derivatives</v>
      </c>
      <c r="D5642" t="str">
        <v>-</v>
      </c>
      <c r="E5642">
        <v>5999.1437094304465</v>
      </c>
      <c r="F5642">
        <v>0</v>
      </c>
    </row>
    <row r="5643" spans="2:6" ht="15.75" customHeight="1" x14ac:dyDescent="0.25">
      <c r="B5643" t="str">
        <v>Surfswap Classic</v>
      </c>
      <c r="C5643" t="str">
        <v>Dexs</v>
      </c>
      <c r="D5643" t="str">
        <v>TIDE</v>
      </c>
      <c r="E5643">
        <v>236.70973800018922</v>
      </c>
      <c r="F5643">
        <v>0</v>
      </c>
    </row>
    <row r="5644" spans="2:6" ht="15.75" customHeight="1" x14ac:dyDescent="0.25">
      <c r="B5644" t="str">
        <v>Surfswap Stable AMM</v>
      </c>
      <c r="C5644" t="str">
        <v>Dexs</v>
      </c>
      <c r="D5644" t="str">
        <v>TIDE</v>
      </c>
      <c r="E5644">
        <v>0</v>
      </c>
      <c r="F5644">
        <v>0</v>
      </c>
    </row>
    <row r="5645" spans="2:6" ht="15.75" customHeight="1" x14ac:dyDescent="0.25">
      <c r="B5645" t="str">
        <v>Surge</v>
      </c>
      <c r="C5645" t="str">
        <v>Lending</v>
      </c>
      <c r="D5645" t="str">
        <v>-</v>
      </c>
      <c r="E5645">
        <v>2993.5886261197174</v>
      </c>
      <c r="F5645">
        <v>0</v>
      </c>
    </row>
    <row r="5646" spans="2:6" ht="15.75" customHeight="1" x14ac:dyDescent="0.25">
      <c r="B5646" t="str">
        <v>Surge Trade</v>
      </c>
      <c r="C5646" t="str">
        <v>Derivatives</v>
      </c>
      <c r="D5646" t="str">
        <v>SRG</v>
      </c>
      <c r="E5646">
        <v>125754.67965683795</v>
      </c>
      <c r="F5646">
        <v>0</v>
      </c>
    </row>
    <row r="5647" spans="2:6" ht="15.75" customHeight="1" x14ac:dyDescent="0.25">
      <c r="B5647" t="str">
        <v>SurgeDefi</v>
      </c>
      <c r="C5647" t="str">
        <v>Dexs</v>
      </c>
      <c r="D5647" t="str">
        <v>-</v>
      </c>
      <c r="E5647">
        <v>6824.9141374398614</v>
      </c>
      <c r="F5647">
        <v>0</v>
      </c>
    </row>
    <row r="5648" spans="2:6" ht="15.75" customHeight="1" x14ac:dyDescent="0.25">
      <c r="B5648" t="str">
        <v>Sushi Aptos</v>
      </c>
      <c r="C5648" t="str">
        <v>Dexs</v>
      </c>
      <c r="D5648" t="str">
        <v>SUSHI</v>
      </c>
      <c r="E5648">
        <v>351692.28869060479</v>
      </c>
      <c r="F5648">
        <v>0</v>
      </c>
    </row>
    <row r="5649" spans="2:6" ht="15.75" customHeight="1" x14ac:dyDescent="0.25">
      <c r="B5649" t="str">
        <v>Sushi BentoBox</v>
      </c>
      <c r="C5649" t="str">
        <v>Yield</v>
      </c>
      <c r="D5649" t="str">
        <v>SUSHI</v>
      </c>
      <c r="E5649">
        <v>2858749.7287564515</v>
      </c>
      <c r="F5649">
        <v>0</v>
      </c>
    </row>
    <row r="5650" spans="2:6" ht="15.75" customHeight="1" x14ac:dyDescent="0.25">
      <c r="B5650" t="str">
        <v>Sushi Furo</v>
      </c>
      <c r="C5650" t="str">
        <v>Payments</v>
      </c>
      <c r="D5650" t="str">
        <v>-</v>
      </c>
      <c r="E5650">
        <v>4068.1069776431968</v>
      </c>
      <c r="F5650">
        <v>0</v>
      </c>
    </row>
    <row r="5651" spans="2:6" ht="15.75" customHeight="1" x14ac:dyDescent="0.25">
      <c r="B5651" t="str">
        <v>Sushi Kashi</v>
      </c>
      <c r="C5651" t="str">
        <v>Lending</v>
      </c>
      <c r="D5651" t="str">
        <v>SUSHI</v>
      </c>
      <c r="E5651">
        <v>142338.75279725032</v>
      </c>
      <c r="F5651">
        <v>0</v>
      </c>
    </row>
    <row r="5652" spans="2:6" ht="15.75" customHeight="1" x14ac:dyDescent="0.25">
      <c r="B5652" t="str">
        <v>Sushi Trident</v>
      </c>
      <c r="C5652" t="str">
        <v>Dexs</v>
      </c>
      <c r="D5652" t="str">
        <v>-</v>
      </c>
      <c r="E5652">
        <v>283000.08630831604</v>
      </c>
      <c r="F5652">
        <v>0</v>
      </c>
    </row>
    <row r="5653" spans="2:6" ht="15.75" customHeight="1" x14ac:dyDescent="0.25">
      <c r="B5653" t="str">
        <v>SushiSwap</v>
      </c>
      <c r="C5653" t="str">
        <v>Dexs</v>
      </c>
      <c r="D5653" t="str">
        <v>SUSHI</v>
      </c>
      <c r="E5653">
        <v>107220095.7595374</v>
      </c>
      <c r="F5653">
        <v>89114499.320342347</v>
      </c>
    </row>
    <row r="5654" spans="2:6" ht="15.75" customHeight="1" x14ac:dyDescent="0.25">
      <c r="B5654" t="str">
        <v>SushiSwap Agg</v>
      </c>
      <c r="C5654" t="str">
        <v>DEX Aggregator</v>
      </c>
      <c r="D5654" t="str">
        <v>SUSHI</v>
      </c>
      <c r="E5654">
        <v>0</v>
      </c>
      <c r="F5654">
        <v>0</v>
      </c>
    </row>
    <row r="5655" spans="2:6" ht="15.75" customHeight="1" x14ac:dyDescent="0.25">
      <c r="B5655" t="str">
        <v>SushiSwap V3</v>
      </c>
      <c r="C5655" t="str">
        <v>Dexs</v>
      </c>
      <c r="D5655" t="str">
        <v>SUSHI</v>
      </c>
      <c r="E5655">
        <v>101514127.02570744</v>
      </c>
      <c r="F5655">
        <v>0</v>
      </c>
    </row>
    <row r="5656" spans="2:6" ht="15.75" customHeight="1" x14ac:dyDescent="0.25">
      <c r="B5656" t="str">
        <v>Suterusu</v>
      </c>
      <c r="C5656" t="str">
        <v>Services</v>
      </c>
      <c r="D5656" t="str">
        <v>SUTER</v>
      </c>
      <c r="E5656">
        <v>191350.10184203731</v>
      </c>
      <c r="F5656">
        <v>0</v>
      </c>
    </row>
    <row r="5657" spans="2:6" ht="15.75" customHeight="1" x14ac:dyDescent="0.25">
      <c r="B5657" t="str">
        <v>Suzaku</v>
      </c>
      <c r="C5657" t="str">
        <v>Restaking</v>
      </c>
      <c r="D5657" t="str">
        <v>SUZ</v>
      </c>
      <c r="E5657">
        <v>2677200.1896998547</v>
      </c>
      <c r="F5657">
        <v>782275.23442002886</v>
      </c>
    </row>
    <row r="5658" spans="2:6" ht="15.75" customHeight="1" x14ac:dyDescent="0.25">
      <c r="B5658" t="str">
        <v>Swaap Earn</v>
      </c>
      <c r="C5658" t="str">
        <v>Yield</v>
      </c>
      <c r="D5658" t="str">
        <v>-</v>
      </c>
      <c r="E5658">
        <v>4940.6708436285016</v>
      </c>
      <c r="F5658">
        <v>0</v>
      </c>
    </row>
    <row r="5659" spans="2:6" ht="15.75" customHeight="1" x14ac:dyDescent="0.25">
      <c r="B5659" t="str">
        <v>Swaap Maker V1</v>
      </c>
      <c r="C5659" t="str">
        <v>Dexs</v>
      </c>
      <c r="D5659" t="str">
        <v>-</v>
      </c>
      <c r="E5659">
        <v>125933.21366356805</v>
      </c>
      <c r="F5659">
        <v>0</v>
      </c>
    </row>
    <row r="5660" spans="2:6" ht="15.75" customHeight="1" x14ac:dyDescent="0.25">
      <c r="B5660" t="str">
        <v>Swaap Maker V2</v>
      </c>
      <c r="C5660" t="str">
        <v>Dexs</v>
      </c>
      <c r="D5660" t="str">
        <v>-</v>
      </c>
      <c r="E5660">
        <v>10772269.125446845</v>
      </c>
      <c r="F5660">
        <v>0</v>
      </c>
    </row>
    <row r="5661" spans="2:6" ht="15.75" customHeight="1" x14ac:dyDescent="0.25">
      <c r="B5661" t="str">
        <v>Swamp Finance</v>
      </c>
      <c r="C5661" t="str">
        <v>Yield</v>
      </c>
      <c r="D5661" t="str">
        <v>SWAMP</v>
      </c>
      <c r="E5661">
        <v>1587928.5286003842</v>
      </c>
      <c r="F5661">
        <v>0</v>
      </c>
    </row>
    <row r="5662" spans="2:6" ht="15.75" customHeight="1" x14ac:dyDescent="0.25">
      <c r="B5662" t="str">
        <v>SwanSwap</v>
      </c>
      <c r="C5662" t="str">
        <v>Dexs</v>
      </c>
      <c r="D5662" t="str">
        <v>SWAN</v>
      </c>
      <c r="E5662">
        <v>52494.445120709977</v>
      </c>
      <c r="F5662">
        <v>0</v>
      </c>
    </row>
    <row r="5663" spans="2:6" ht="15.75" customHeight="1" x14ac:dyDescent="0.25">
      <c r="B5663" t="str">
        <v>Swap Country</v>
      </c>
      <c r="C5663" t="str">
        <v>Dexs</v>
      </c>
      <c r="D5663" t="str">
        <v>-</v>
      </c>
      <c r="E5663">
        <v>88519.919638029533</v>
      </c>
      <c r="F5663">
        <v>0</v>
      </c>
    </row>
    <row r="5664" spans="2:6" ht="15.75" customHeight="1" x14ac:dyDescent="0.25">
      <c r="B5664" t="str">
        <v>swap.coffee</v>
      </c>
      <c r="C5664" t="str">
        <v>DEX Aggregator</v>
      </c>
      <c r="D5664" t="str">
        <v>-</v>
      </c>
      <c r="E5664">
        <v>257114.11900137886</v>
      </c>
      <c r="F5664">
        <v>0</v>
      </c>
    </row>
    <row r="5665" spans="2:6" ht="15.75" customHeight="1" x14ac:dyDescent="0.25">
      <c r="B5665" t="str">
        <v>Swap.io CLMM</v>
      </c>
      <c r="C5665" t="str">
        <v>Dexs</v>
      </c>
      <c r="D5665" t="str">
        <v>-</v>
      </c>
      <c r="E5665">
        <v>2241.9934363081288</v>
      </c>
      <c r="F5665">
        <v>0</v>
      </c>
    </row>
    <row r="5666" spans="2:6" ht="15.75" customHeight="1" x14ac:dyDescent="0.25">
      <c r="B5666" t="str">
        <v>SwapBased AMM</v>
      </c>
      <c r="C5666" t="str">
        <v>Dexs</v>
      </c>
      <c r="D5666" t="str">
        <v>Base</v>
      </c>
      <c r="E5666">
        <v>137640.62560533007</v>
      </c>
      <c r="F5666">
        <v>0</v>
      </c>
    </row>
    <row r="5667" spans="2:6" ht="15.75" customHeight="1" x14ac:dyDescent="0.25">
      <c r="B5667" t="str">
        <v>SwapBased Concentrated Liquidity</v>
      </c>
      <c r="C5667" t="str">
        <v>Dexs</v>
      </c>
      <c r="D5667" t="str">
        <v>Base</v>
      </c>
      <c r="E5667">
        <v>97937.476655471299</v>
      </c>
      <c r="F5667">
        <v>0</v>
      </c>
    </row>
    <row r="5668" spans="2:6" ht="15.75" customHeight="1" x14ac:dyDescent="0.25">
      <c r="B5668" t="str">
        <v>SwapBased Perp</v>
      </c>
      <c r="C5668" t="str">
        <v>Derivatives</v>
      </c>
      <c r="D5668" t="str">
        <v>Base</v>
      </c>
      <c r="E5668">
        <v>17372.715149405587</v>
      </c>
      <c r="F5668">
        <v>0</v>
      </c>
    </row>
    <row r="5669" spans="2:6" ht="15.75" customHeight="1" x14ac:dyDescent="0.25">
      <c r="B5669" t="str">
        <v>SwapBlast</v>
      </c>
      <c r="C5669" t="str">
        <v>Dexs</v>
      </c>
      <c r="D5669" t="str">
        <v>SBF</v>
      </c>
      <c r="E5669">
        <v>1632.4356385073484</v>
      </c>
      <c r="F5669">
        <v>0</v>
      </c>
    </row>
    <row r="5670" spans="2:6" ht="15.75" customHeight="1" x14ac:dyDescent="0.25">
      <c r="B5670" t="str">
        <v>SwapBlast V3</v>
      </c>
      <c r="C5670" t="str">
        <v>Dexs</v>
      </c>
      <c r="D5670" t="str">
        <v>SBF</v>
      </c>
      <c r="E5670">
        <v>1461.0766936435002</v>
      </c>
      <c r="F5670">
        <v>0</v>
      </c>
    </row>
    <row r="5671" spans="2:6" ht="15.75" customHeight="1" x14ac:dyDescent="0.25">
      <c r="B5671" t="str">
        <v>SwapFish</v>
      </c>
      <c r="C5671" t="str">
        <v>Dexs</v>
      </c>
      <c r="D5671" t="str">
        <v>FISH</v>
      </c>
      <c r="E5671">
        <v>41332.507063654659</v>
      </c>
      <c r="F5671">
        <v>0</v>
      </c>
    </row>
    <row r="5672" spans="2:6" ht="15.75" customHeight="1" x14ac:dyDescent="0.25">
      <c r="B5672" t="str">
        <v>Swapline V1</v>
      </c>
      <c r="C5672" t="str">
        <v>Dexs</v>
      </c>
      <c r="D5672" t="str">
        <v>-</v>
      </c>
      <c r="E5672">
        <v>3385.1635931498804</v>
      </c>
      <c r="F5672">
        <v>0</v>
      </c>
    </row>
    <row r="5673" spans="2:6" ht="15.75" customHeight="1" x14ac:dyDescent="0.25">
      <c r="B5673" t="str">
        <v>Swapline V2</v>
      </c>
      <c r="C5673" t="str">
        <v>Dexs</v>
      </c>
      <c r="D5673" t="str">
        <v>-</v>
      </c>
      <c r="E5673">
        <v>4057.0202378079698</v>
      </c>
      <c r="F5673">
        <v>0</v>
      </c>
    </row>
    <row r="5674" spans="2:6" ht="15.75" customHeight="1" x14ac:dyDescent="0.25">
      <c r="B5674" t="str">
        <v>SwapMatic</v>
      </c>
      <c r="C5674" t="str">
        <v>Dexs</v>
      </c>
      <c r="D5674" t="str">
        <v>SWAM</v>
      </c>
      <c r="E5674">
        <v>435.75606265466001</v>
      </c>
      <c r="F5674">
        <v>10576.25592900921</v>
      </c>
    </row>
    <row r="5675" spans="2:6" ht="15.75" customHeight="1" x14ac:dyDescent="0.25">
      <c r="B5675" t="str">
        <v>SwapMode V2</v>
      </c>
      <c r="C5675" t="str">
        <v>Dexs</v>
      </c>
      <c r="D5675" t="str">
        <v>SMD</v>
      </c>
      <c r="E5675">
        <v>55675.313761232006</v>
      </c>
      <c r="F5675">
        <v>0</v>
      </c>
    </row>
    <row r="5676" spans="2:6" ht="15.75" customHeight="1" x14ac:dyDescent="0.25">
      <c r="B5676" t="str">
        <v>SwapMode V3</v>
      </c>
      <c r="C5676" t="str">
        <v>Dexs</v>
      </c>
      <c r="D5676" t="str">
        <v>SMD</v>
      </c>
      <c r="E5676">
        <v>2644.6714275122099</v>
      </c>
      <c r="F5676">
        <v>0</v>
      </c>
    </row>
    <row r="5677" spans="2:6" ht="15.75" customHeight="1" x14ac:dyDescent="0.25">
      <c r="B5677" t="str">
        <v>SWAPP</v>
      </c>
      <c r="C5677" t="str">
        <v>Dexs</v>
      </c>
      <c r="D5677" t="str">
        <v>SWAPP</v>
      </c>
      <c r="E5677">
        <v>5103.506170654623</v>
      </c>
      <c r="F5677">
        <v>0</v>
      </c>
    </row>
    <row r="5678" spans="2:6" ht="15.75" customHeight="1" x14ac:dyDescent="0.25">
      <c r="B5678" t="str">
        <v>SwapperChan</v>
      </c>
      <c r="C5678" t="str">
        <v>Dexs</v>
      </c>
      <c r="D5678" t="str">
        <v>WAIFU</v>
      </c>
      <c r="E5678">
        <v>22722.444474153559</v>
      </c>
      <c r="F5678">
        <v>0</v>
      </c>
    </row>
    <row r="5679" spans="2:6" ht="15.75" customHeight="1" x14ac:dyDescent="0.25">
      <c r="B5679" t="str">
        <v>Swappi</v>
      </c>
      <c r="C5679" t="str">
        <v>Dexs</v>
      </c>
      <c r="D5679" t="str">
        <v>PPI</v>
      </c>
      <c r="E5679">
        <v>2576950.6152372123</v>
      </c>
      <c r="F5679">
        <v>0</v>
      </c>
    </row>
    <row r="5680" spans="2:6" ht="15.75" customHeight="1" x14ac:dyDescent="0.25">
      <c r="B5680" t="str">
        <v>Swapr V2</v>
      </c>
      <c r="C5680" t="str">
        <v>Dexs</v>
      </c>
      <c r="D5680" t="str">
        <v>SWPR</v>
      </c>
      <c r="E5680">
        <v>484458.42181362439</v>
      </c>
      <c r="F5680">
        <v>0</v>
      </c>
    </row>
    <row r="5681" spans="2:6" ht="15.75" customHeight="1" x14ac:dyDescent="0.25">
      <c r="B5681" t="str">
        <v>Swapr V3</v>
      </c>
      <c r="C5681" t="str">
        <v>Dexs</v>
      </c>
      <c r="D5681" t="str">
        <v>SWPR</v>
      </c>
      <c r="E5681">
        <v>1293147.1804226974</v>
      </c>
      <c r="F5681">
        <v>0</v>
      </c>
    </row>
    <row r="5682" spans="2:6" ht="15.75" customHeight="1" x14ac:dyDescent="0.25">
      <c r="B5682" t="str">
        <v>Swaprum</v>
      </c>
      <c r="C5682" t="str">
        <v>Dexs</v>
      </c>
      <c r="D5682" t="str">
        <v>SAPR</v>
      </c>
      <c r="E5682">
        <v>7155.0997475470213</v>
      </c>
      <c r="F5682">
        <v>0</v>
      </c>
    </row>
    <row r="5683" spans="2:6" ht="15.75" customHeight="1" x14ac:dyDescent="0.25">
      <c r="B5683" t="str">
        <v>Swaps.io</v>
      </c>
      <c r="C5683" t="str">
        <v>Bridge</v>
      </c>
      <c r="D5683" t="str">
        <v>-</v>
      </c>
      <c r="E5683">
        <v>0</v>
      </c>
      <c r="F5683">
        <v>0</v>
      </c>
    </row>
    <row r="5684" spans="2:6" ht="15.75" customHeight="1" x14ac:dyDescent="0.25">
      <c r="B5684" t="str">
        <v>Swapscanner Dex</v>
      </c>
      <c r="C5684" t="str">
        <v>Dexs</v>
      </c>
      <c r="D5684" t="str">
        <v>SCNR</v>
      </c>
      <c r="E5684">
        <v>0</v>
      </c>
      <c r="F5684">
        <v>0</v>
      </c>
    </row>
    <row r="5685" spans="2:6" ht="15.75" customHeight="1" x14ac:dyDescent="0.25">
      <c r="B5685" t="str">
        <v>Swapscanner LSD</v>
      </c>
      <c r="C5685" t="str">
        <v>Liquid Staking</v>
      </c>
      <c r="D5685" t="str">
        <v>SCNR</v>
      </c>
      <c r="E5685">
        <v>4080112.5150586208</v>
      </c>
      <c r="F5685">
        <v>0</v>
      </c>
    </row>
    <row r="5686" spans="2:6" ht="15.75" customHeight="1" x14ac:dyDescent="0.25">
      <c r="B5686" t="str">
        <v>Swapsicle V1</v>
      </c>
      <c r="C5686" t="str">
        <v>Dexs</v>
      </c>
      <c r="D5686" t="str">
        <v>POPS</v>
      </c>
      <c r="E5686">
        <v>32795.069817819793</v>
      </c>
      <c r="F5686">
        <v>0</v>
      </c>
    </row>
    <row r="5687" spans="2:6" ht="15.75" customHeight="1" x14ac:dyDescent="0.25">
      <c r="B5687" t="str">
        <v>Swapsicle V2</v>
      </c>
      <c r="C5687" t="str">
        <v>Dexs</v>
      </c>
      <c r="D5687" t="str">
        <v>SLUSH</v>
      </c>
      <c r="E5687">
        <v>11019.158141151289</v>
      </c>
      <c r="F5687">
        <v>0</v>
      </c>
    </row>
    <row r="5688" spans="2:6" ht="15.75" customHeight="1" x14ac:dyDescent="0.25">
      <c r="B5688" t="str">
        <v>SwapX Algebra</v>
      </c>
      <c r="C5688" t="str">
        <v>Dexs</v>
      </c>
      <c r="D5688" t="str">
        <v>SWPX</v>
      </c>
      <c r="E5688">
        <v>1334971.1181127818</v>
      </c>
      <c r="F5688">
        <v>0</v>
      </c>
    </row>
    <row r="5689" spans="2:6" ht="15.75" customHeight="1" x14ac:dyDescent="0.25">
      <c r="B5689" t="str">
        <v>SwapX V2</v>
      </c>
      <c r="C5689" t="str">
        <v>Dexs</v>
      </c>
      <c r="D5689" t="str">
        <v>SWPX</v>
      </c>
      <c r="E5689">
        <v>220951.83450213456</v>
      </c>
      <c r="F5689">
        <v>0</v>
      </c>
    </row>
    <row r="5690" spans="2:6" ht="15.75" customHeight="1" x14ac:dyDescent="0.25">
      <c r="B5690" t="str">
        <v>SwapX Xone Chain</v>
      </c>
      <c r="C5690" t="str">
        <v>Dexs</v>
      </c>
      <c r="D5690" t="str">
        <v>-</v>
      </c>
      <c r="E5690">
        <v>13404.16633033453</v>
      </c>
      <c r="F5690">
        <v>0</v>
      </c>
    </row>
    <row r="5691" spans="2:6" ht="15.75" customHeight="1" x14ac:dyDescent="0.25">
      <c r="B5691" t="str">
        <v>Swarm Markets</v>
      </c>
      <c r="C5691" t="str">
        <v>Dexs</v>
      </c>
      <c r="D5691" t="str">
        <v>SMT</v>
      </c>
      <c r="E5691">
        <v>70238.221162365371</v>
      </c>
      <c r="F5691">
        <v>4492868.5128270611</v>
      </c>
    </row>
    <row r="5692" spans="2:6" ht="15.75" customHeight="1" x14ac:dyDescent="0.25">
      <c r="B5692" t="str">
        <v>Swaylend</v>
      </c>
      <c r="C5692" t="str">
        <v>Lending</v>
      </c>
      <c r="D5692" t="str">
        <v>-</v>
      </c>
      <c r="E5692">
        <v>1503227.6881933033</v>
      </c>
      <c r="F5692">
        <v>0</v>
      </c>
    </row>
    <row r="5693" spans="2:6" ht="15.75" customHeight="1" x14ac:dyDescent="0.25">
      <c r="B5693" t="str">
        <v>Sweep</v>
      </c>
      <c r="C5693" t="str">
        <v>RWA</v>
      </c>
      <c r="D5693" t="str">
        <v>SWEEPR</v>
      </c>
      <c r="E5693">
        <v>8133.9822133876805</v>
      </c>
      <c r="F5693">
        <v>0</v>
      </c>
    </row>
    <row r="5694" spans="2:6" ht="15.75" customHeight="1" x14ac:dyDescent="0.25">
      <c r="B5694" t="str">
        <v>Sweep n Flip</v>
      </c>
      <c r="C5694" t="str">
        <v>NFT Marketplace</v>
      </c>
      <c r="D5694" t="str">
        <v>-</v>
      </c>
      <c r="E5694">
        <v>782.21668075490902</v>
      </c>
      <c r="F5694">
        <v>0</v>
      </c>
    </row>
    <row r="5695" spans="2:6" ht="15.75" customHeight="1" x14ac:dyDescent="0.25">
      <c r="B5695" t="str">
        <v>SweetSwap</v>
      </c>
      <c r="C5695" t="str">
        <v>Dexs</v>
      </c>
      <c r="D5695" t="str">
        <v>Sweets</v>
      </c>
      <c r="E5695">
        <v>3297.135095394256</v>
      </c>
      <c r="F5695">
        <v>0</v>
      </c>
    </row>
    <row r="5696" spans="2:6" ht="15.75" customHeight="1" x14ac:dyDescent="0.25">
      <c r="B5696" t="str">
        <v>Swell BTC LRT</v>
      </c>
      <c r="C5696" t="str">
        <v>Yield Aggregator</v>
      </c>
      <c r="D5696" t="str">
        <v>SWELL</v>
      </c>
      <c r="E5696">
        <v>639627.60606982687</v>
      </c>
      <c r="F5696">
        <v>0</v>
      </c>
    </row>
    <row r="5697" spans="2:6" ht="15.75" customHeight="1" x14ac:dyDescent="0.25">
      <c r="B5697" t="str">
        <v>Swell Earn</v>
      </c>
      <c r="C5697" t="str">
        <v>Yield Aggregator</v>
      </c>
      <c r="D5697" t="str">
        <v>SWELL</v>
      </c>
      <c r="E5697">
        <v>1109172.7969028628</v>
      </c>
      <c r="F5697">
        <v>0</v>
      </c>
    </row>
    <row r="5698" spans="2:6" ht="15.75" customHeight="1" x14ac:dyDescent="0.25">
      <c r="B5698" t="str">
        <v>Swell L2 Farm</v>
      </c>
      <c r="C5698" t="str">
        <v>Farm</v>
      </c>
      <c r="D5698" t="str">
        <v>SWELL</v>
      </c>
      <c r="E5698">
        <v>100602875.3544634</v>
      </c>
      <c r="F5698">
        <v>0</v>
      </c>
    </row>
    <row r="5699" spans="2:6" ht="15.75" customHeight="1" x14ac:dyDescent="0.25">
      <c r="B5699" t="str">
        <v>Swell Liquid Restaking</v>
      </c>
      <c r="C5699" t="str">
        <v>Liquid Restaking</v>
      </c>
      <c r="D5699" t="str">
        <v>SWELL</v>
      </c>
      <c r="E5699">
        <v>55839171.397622332</v>
      </c>
      <c r="F5699">
        <v>0</v>
      </c>
    </row>
    <row r="5700" spans="2:6" ht="15.75" customHeight="1" x14ac:dyDescent="0.25">
      <c r="B5700" t="str">
        <v>Swell Liquid Staking</v>
      </c>
      <c r="C5700" t="str">
        <v>Liquid Staking</v>
      </c>
      <c r="D5700" t="str">
        <v>SWELL</v>
      </c>
      <c r="E5700">
        <v>61757383.127247304</v>
      </c>
      <c r="F5700">
        <v>0</v>
      </c>
    </row>
    <row r="5701" spans="2:6" ht="15.75" customHeight="1" x14ac:dyDescent="0.25">
      <c r="B5701" t="str">
        <v>Swellchain Bridge</v>
      </c>
      <c r="C5701" t="str">
        <v>Canonical Bridge</v>
      </c>
      <c r="D5701" t="str">
        <v>-</v>
      </c>
      <c r="E5701">
        <v>7541466.6903120177</v>
      </c>
      <c r="F5701">
        <v>0</v>
      </c>
    </row>
    <row r="5702" spans="2:6" ht="15.75" customHeight="1" x14ac:dyDescent="0.25">
      <c r="B5702" t="str">
        <v>Swerve</v>
      </c>
      <c r="C5702" t="str">
        <v>Dexs</v>
      </c>
      <c r="D5702" t="str">
        <v>SWRV</v>
      </c>
      <c r="E5702">
        <v>305277.65014842863</v>
      </c>
      <c r="F5702">
        <v>0</v>
      </c>
    </row>
    <row r="5703" spans="2:6" ht="15.75" customHeight="1" x14ac:dyDescent="0.25">
      <c r="B5703" t="str">
        <v>SWFT</v>
      </c>
      <c r="C5703" t="str">
        <v>Bridge</v>
      </c>
      <c r="D5703" t="str">
        <v>-</v>
      </c>
      <c r="E5703">
        <v>1921.709232269739</v>
      </c>
      <c r="F5703">
        <v>0</v>
      </c>
    </row>
    <row r="5704" spans="2:6" ht="15.75" customHeight="1" x14ac:dyDescent="0.25">
      <c r="B5704" t="str">
        <v>Swift Finance</v>
      </c>
      <c r="C5704" t="str">
        <v>Yield</v>
      </c>
      <c r="D5704" t="str">
        <v>SWIFT</v>
      </c>
      <c r="E5704">
        <v>776.90047772742378</v>
      </c>
      <c r="F5704">
        <v>0</v>
      </c>
    </row>
    <row r="5705" spans="2:6" ht="15.75" customHeight="1" x14ac:dyDescent="0.25">
      <c r="B5705" t="str">
        <v>Swim Protocol</v>
      </c>
      <c r="C5705" t="str">
        <v>Cross Chain Bridge</v>
      </c>
      <c r="D5705" t="str">
        <v>-</v>
      </c>
      <c r="E5705">
        <v>102439.06994418157</v>
      </c>
      <c r="F5705">
        <v>0</v>
      </c>
    </row>
    <row r="5706" spans="2:6" ht="15.75" customHeight="1" x14ac:dyDescent="0.25">
      <c r="B5706" t="str">
        <v>Swing</v>
      </c>
      <c r="C5706" t="str">
        <v>DEX Aggregator</v>
      </c>
      <c r="D5706" t="str">
        <v>$SWING</v>
      </c>
      <c r="E5706">
        <v>0</v>
      </c>
      <c r="F5706">
        <v>0</v>
      </c>
    </row>
    <row r="5707" spans="2:6" ht="15.75" customHeight="1" x14ac:dyDescent="0.25">
      <c r="B5707" t="str">
        <v>Swing DAO</v>
      </c>
      <c r="C5707" t="str">
        <v>Reserve Currency</v>
      </c>
      <c r="D5707" t="str">
        <v>GNIWS</v>
      </c>
      <c r="E5707">
        <v>2.0688933451170032E-2</v>
      </c>
      <c r="F5707">
        <v>0</v>
      </c>
    </row>
    <row r="5708" spans="2:6" ht="15.75" customHeight="1" x14ac:dyDescent="0.25">
      <c r="B5708" t="str">
        <v>Swipe</v>
      </c>
      <c r="C5708" t="str">
        <v>Dexs</v>
      </c>
      <c r="D5708" t="str">
        <v>SXP</v>
      </c>
      <c r="E5708">
        <v>30762.115391172243</v>
      </c>
      <c r="F5708">
        <v>49429567.631126359</v>
      </c>
    </row>
    <row r="5709" spans="2:6" ht="15.75" customHeight="1" x14ac:dyDescent="0.25">
      <c r="B5709" t="str">
        <v>Swirl</v>
      </c>
      <c r="C5709" t="str">
        <v>Liquid Staking</v>
      </c>
      <c r="D5709" t="str">
        <v>-</v>
      </c>
      <c r="E5709">
        <v>9845013.1261376329</v>
      </c>
      <c r="F5709">
        <v>0</v>
      </c>
    </row>
    <row r="5710" spans="2:6" ht="15.75" customHeight="1" x14ac:dyDescent="0.25">
      <c r="B5710" t="str">
        <v>SwirlLend</v>
      </c>
      <c r="C5710" t="str">
        <v>Lending</v>
      </c>
      <c r="D5710" t="str">
        <v>SWI</v>
      </c>
      <c r="E5710">
        <v>0.12620422400200002</v>
      </c>
      <c r="F5710">
        <v>0</v>
      </c>
    </row>
    <row r="5711" spans="2:6" ht="15.75" customHeight="1" x14ac:dyDescent="0.25">
      <c r="B5711" t="str">
        <v>Switcheo Finance</v>
      </c>
      <c r="C5711" t="str">
        <v>Dexs</v>
      </c>
      <c r="D5711" t="str">
        <v>-</v>
      </c>
      <c r="E5711">
        <v>2485869.3779171975</v>
      </c>
      <c r="F5711">
        <v>0</v>
      </c>
    </row>
    <row r="5712" spans="2:6" ht="15.75" customHeight="1" x14ac:dyDescent="0.25">
      <c r="B5712" t="str">
        <v>Swivel Finance</v>
      </c>
      <c r="C5712" t="str">
        <v>Yield</v>
      </c>
      <c r="D5712" t="str">
        <v>-</v>
      </c>
      <c r="E5712">
        <v>5.4924440224358841</v>
      </c>
      <c r="F5712">
        <v>0</v>
      </c>
    </row>
    <row r="5713" spans="2:6" ht="15.75" customHeight="1" x14ac:dyDescent="0.25">
      <c r="B5713" t="str">
        <v>Swop</v>
      </c>
      <c r="C5713" t="str">
        <v>Dexs</v>
      </c>
      <c r="D5713" t="str">
        <v>SWOP</v>
      </c>
      <c r="E5713">
        <v>689255.20577460364</v>
      </c>
      <c r="F5713">
        <v>194843.86352602384</v>
      </c>
    </row>
    <row r="5714" spans="2:6" ht="15.75" customHeight="1" x14ac:dyDescent="0.25">
      <c r="B5714" t="str">
        <v>Swych Perpetual</v>
      </c>
      <c r="C5714" t="str">
        <v>Derivatives</v>
      </c>
      <c r="D5714" t="str">
        <v>SWYCH</v>
      </c>
      <c r="E5714">
        <v>209842.68208699644</v>
      </c>
      <c r="F5714">
        <v>0</v>
      </c>
    </row>
    <row r="5715" spans="2:6" ht="15.75" customHeight="1" x14ac:dyDescent="0.25">
      <c r="B5715" t="str">
        <v>Swyrl CL</v>
      </c>
      <c r="C5715" t="str">
        <v>Dexs</v>
      </c>
      <c r="D5715" t="str">
        <v>-</v>
      </c>
      <c r="E5715">
        <v>100041.81713573895</v>
      </c>
      <c r="F5715">
        <v>0</v>
      </c>
    </row>
    <row r="5716" spans="2:6" ht="15.75" customHeight="1" x14ac:dyDescent="0.25">
      <c r="B5716" t="str">
        <v>Swyrl Legacy</v>
      </c>
      <c r="C5716" t="str">
        <v>Dexs</v>
      </c>
      <c r="D5716" t="str">
        <v>-</v>
      </c>
      <c r="E5716">
        <v>28.635247294204788</v>
      </c>
      <c r="F5716">
        <v>0</v>
      </c>
    </row>
    <row r="5717" spans="2:6" ht="15.75" customHeight="1" x14ac:dyDescent="0.25">
      <c r="B5717" t="str">
        <v>SX Bet</v>
      </c>
      <c r="C5717" t="str">
        <v>Prediction Market</v>
      </c>
      <c r="D5717" t="str">
        <v>-</v>
      </c>
      <c r="E5717">
        <v>676301.68867280195</v>
      </c>
      <c r="F5717">
        <v>0</v>
      </c>
    </row>
    <row r="5718" spans="2:6" ht="15.75" customHeight="1" x14ac:dyDescent="0.25">
      <c r="B5718" t="str">
        <v>SX Rollup Bridge</v>
      </c>
      <c r="C5718" t="str">
        <v>Canonical Bridge</v>
      </c>
      <c r="D5718" t="str">
        <v>-</v>
      </c>
      <c r="E5718">
        <v>46559357.637600608</v>
      </c>
      <c r="F5718">
        <v>0</v>
      </c>
    </row>
    <row r="5719" spans="2:6" ht="15.75" customHeight="1" x14ac:dyDescent="0.25">
      <c r="B5719" t="str">
        <v>Syde</v>
      </c>
      <c r="C5719" t="str">
        <v>Synthetics</v>
      </c>
      <c r="D5719" t="str">
        <v>-</v>
      </c>
      <c r="E5719">
        <v>106.17158389511941</v>
      </c>
      <c r="F5719">
        <v>0</v>
      </c>
    </row>
    <row r="5720" spans="2:6" ht="15.75" customHeight="1" x14ac:dyDescent="0.25">
      <c r="B5720" t="str">
        <v>Sygma</v>
      </c>
      <c r="C5720" t="str">
        <v>Bridge</v>
      </c>
      <c r="D5720" t="str">
        <v>-</v>
      </c>
      <c r="E5720">
        <v>0</v>
      </c>
      <c r="F5720">
        <v>0</v>
      </c>
    </row>
    <row r="5721" spans="2:6" ht="15.75" customHeight="1" x14ac:dyDescent="0.25">
      <c r="B5721" t="str">
        <v>Sygnum FIUSD Liquidity Fund</v>
      </c>
      <c r="C5721" t="str">
        <v>RWA</v>
      </c>
      <c r="D5721" t="str">
        <v>-</v>
      </c>
      <c r="E5721">
        <v>46877880.387800001</v>
      </c>
      <c r="F5721">
        <v>0</v>
      </c>
    </row>
    <row r="5722" spans="2:6" ht="15.75" customHeight="1" x14ac:dyDescent="0.25">
      <c r="B5722" t="str">
        <v>Symbiosis</v>
      </c>
      <c r="C5722" t="str">
        <v>Cross Chain Bridge</v>
      </c>
      <c r="D5722" t="str">
        <v>SIS</v>
      </c>
      <c r="E5722">
        <v>9468374.2371793091</v>
      </c>
      <c r="F5722">
        <v>3405691.7199066854</v>
      </c>
    </row>
    <row r="5723" spans="2:6" ht="15.75" customHeight="1" x14ac:dyDescent="0.25">
      <c r="B5723" t="str">
        <v>Symbiotic</v>
      </c>
      <c r="C5723" t="str">
        <v>Restaking</v>
      </c>
      <c r="D5723" t="str">
        <v>-</v>
      </c>
      <c r="E5723">
        <v>553892057.80097222</v>
      </c>
      <c r="F5723">
        <v>0</v>
      </c>
    </row>
    <row r="5724" spans="2:6" ht="15.75" customHeight="1" x14ac:dyDescent="0.25">
      <c r="B5724" t="str">
        <v>Symblox</v>
      </c>
      <c r="C5724" t="str">
        <v>Synthetics</v>
      </c>
      <c r="D5724" t="str">
        <v>SYX</v>
      </c>
      <c r="E5724">
        <v>10169.358131203335</v>
      </c>
      <c r="F5724">
        <v>0</v>
      </c>
    </row>
    <row r="5725" spans="2:6" ht="15.75" customHeight="1" x14ac:dyDescent="0.25">
      <c r="B5725" t="str">
        <v>Symmetric</v>
      </c>
      <c r="C5725" t="str">
        <v>Dexs</v>
      </c>
      <c r="D5725" t="str">
        <v>SYMM</v>
      </c>
      <c r="E5725">
        <v>47778.355612674277</v>
      </c>
      <c r="F5725">
        <v>0</v>
      </c>
    </row>
    <row r="5726" spans="2:6" ht="15.75" customHeight="1" x14ac:dyDescent="0.25">
      <c r="B5726" t="str">
        <v>Symmetry</v>
      </c>
      <c r="C5726" t="str">
        <v>Indexes</v>
      </c>
      <c r="D5726" t="str">
        <v>-</v>
      </c>
      <c r="E5726">
        <v>2798234.0871657096</v>
      </c>
      <c r="F5726">
        <v>0</v>
      </c>
    </row>
    <row r="5727" spans="2:6" ht="15.75" customHeight="1" x14ac:dyDescent="0.25">
      <c r="B5727" t="str">
        <v>Symmetry Trade</v>
      </c>
      <c r="C5727" t="str">
        <v>Derivatives</v>
      </c>
      <c r="D5727" t="str">
        <v>-</v>
      </c>
      <c r="E5727">
        <v>7367.2469979665038</v>
      </c>
      <c r="F5727">
        <v>0</v>
      </c>
    </row>
    <row r="5728" spans="2:6" ht="15.75" customHeight="1" x14ac:dyDescent="0.25">
      <c r="B5728" t="str">
        <v>SYMMIO</v>
      </c>
      <c r="C5728" t="str">
        <v>Derivatives</v>
      </c>
      <c r="D5728" t="str">
        <v>SYMM</v>
      </c>
      <c r="E5728">
        <v>4960688.9271565303</v>
      </c>
      <c r="F5728">
        <v>9976353.01592445</v>
      </c>
    </row>
    <row r="5729" spans="2:6" ht="15.75" customHeight="1" x14ac:dyDescent="0.25">
      <c r="B5729" t="str">
        <v>Symphony Exchange</v>
      </c>
      <c r="C5729" t="str">
        <v>DEX Aggregator</v>
      </c>
      <c r="D5729" t="str">
        <v>-</v>
      </c>
      <c r="E5729">
        <v>0</v>
      </c>
      <c r="F5729">
        <v>0</v>
      </c>
    </row>
    <row r="5730" spans="2:6" ht="15.75" customHeight="1" x14ac:dyDescent="0.25">
      <c r="B5730" t="str">
        <v>Symphony Finance</v>
      </c>
      <c r="C5730" t="str">
        <v>Dexs</v>
      </c>
      <c r="D5730" t="str">
        <v>-</v>
      </c>
      <c r="E5730">
        <v>853.52017276365768</v>
      </c>
      <c r="F5730">
        <v>0</v>
      </c>
    </row>
    <row r="5731" spans="2:6" ht="15.75" customHeight="1" x14ac:dyDescent="0.25">
      <c r="B5731" t="str">
        <v>Synapse</v>
      </c>
      <c r="C5731" t="str">
        <v>Cross Chain Bridge</v>
      </c>
      <c r="D5731" t="str">
        <v>SYN</v>
      </c>
      <c r="E5731">
        <v>22448651.304146994</v>
      </c>
      <c r="F5731">
        <v>13458411.399104659</v>
      </c>
    </row>
    <row r="5732" spans="2:6" ht="15.75" customHeight="1" x14ac:dyDescent="0.25">
      <c r="B5732" t="str">
        <v>Synatra</v>
      </c>
      <c r="C5732" t="str">
        <v>Yield Aggregator</v>
      </c>
      <c r="D5732" t="str">
        <v>-</v>
      </c>
      <c r="E5732">
        <v>8327598.961188782</v>
      </c>
      <c r="F5732">
        <v>0</v>
      </c>
    </row>
    <row r="5733" spans="2:6" ht="15.75" customHeight="1" x14ac:dyDescent="0.25">
      <c r="B5733" t="str">
        <v>SYNC Network</v>
      </c>
      <c r="C5733" t="str">
        <v>NFT Lending</v>
      </c>
      <c r="D5733" t="str">
        <v>SYNC</v>
      </c>
      <c r="E5733">
        <v>0</v>
      </c>
      <c r="F5733">
        <v>68632.591790014572</v>
      </c>
    </row>
    <row r="5734" spans="2:6" ht="15.75" customHeight="1" x14ac:dyDescent="0.25">
      <c r="B5734" t="str">
        <v>SyncSwap</v>
      </c>
      <c r="C5734" t="str">
        <v>Dexs</v>
      </c>
      <c r="D5734" t="str">
        <v>-</v>
      </c>
      <c r="E5734">
        <v>22197715.328399271</v>
      </c>
      <c r="F5734">
        <v>0</v>
      </c>
    </row>
    <row r="5735" spans="2:6" ht="15.75" customHeight="1" x14ac:dyDescent="0.25">
      <c r="B5735" t="str">
        <v>SyncSwap V3</v>
      </c>
      <c r="C5735" t="str">
        <v>Dexs</v>
      </c>
      <c r="D5735" t="str">
        <v>-</v>
      </c>
      <c r="E5735">
        <v>0</v>
      </c>
      <c r="F5735">
        <v>0</v>
      </c>
    </row>
    <row r="5736" spans="2:6" ht="15.75" customHeight="1" x14ac:dyDescent="0.25">
      <c r="B5736" t="str">
        <v>Syncus</v>
      </c>
      <c r="C5736" t="str">
        <v>Reserve Currency</v>
      </c>
      <c r="D5736" t="str">
        <v>SYNC</v>
      </c>
      <c r="E5736">
        <v>14.096630297001242</v>
      </c>
      <c r="F5736">
        <v>173859.49542914095</v>
      </c>
    </row>
    <row r="5737" spans="2:6" ht="15.75" customHeight="1" x14ac:dyDescent="0.25">
      <c r="B5737" t="str">
        <v>SyncYield</v>
      </c>
      <c r="C5737" t="str">
        <v>Yield Aggregator</v>
      </c>
      <c r="D5737" t="str">
        <v>SYN</v>
      </c>
      <c r="E5737">
        <v>1.2851339868020711E-2</v>
      </c>
      <c r="F5737">
        <v>0</v>
      </c>
    </row>
    <row r="5738" spans="2:6" ht="15.75" customHeight="1" x14ac:dyDescent="0.25">
      <c r="B5738" t="str">
        <v>SynFutures V1</v>
      </c>
      <c r="C5738" t="str">
        <v>Derivatives</v>
      </c>
      <c r="D5738" t="str">
        <v>F</v>
      </c>
      <c r="E5738">
        <v>114348.95130612986</v>
      </c>
      <c r="F5738">
        <v>0</v>
      </c>
    </row>
    <row r="5739" spans="2:6" ht="15.75" customHeight="1" x14ac:dyDescent="0.25">
      <c r="B5739" t="str">
        <v>SynFutures V2</v>
      </c>
      <c r="C5739" t="str">
        <v>Derivatives</v>
      </c>
      <c r="D5739" t="str">
        <v>F</v>
      </c>
      <c r="E5739">
        <v>2.4582870708122744E-3</v>
      </c>
      <c r="F5739">
        <v>0</v>
      </c>
    </row>
    <row r="5740" spans="2:6" ht="15.75" customHeight="1" x14ac:dyDescent="0.25">
      <c r="B5740" t="str">
        <v>SynFutures V3</v>
      </c>
      <c r="C5740" t="str">
        <v>Derivatives</v>
      </c>
      <c r="D5740" t="str">
        <v>F</v>
      </c>
      <c r="E5740">
        <v>7377799.1635977551</v>
      </c>
      <c r="F5740">
        <v>0</v>
      </c>
    </row>
    <row r="5741" spans="2:6" ht="15.75" customHeight="1" x14ac:dyDescent="0.25">
      <c r="B5741" t="str">
        <v>SynLev</v>
      </c>
      <c r="C5741" t="str">
        <v>Synthetics</v>
      </c>
      <c r="D5741" t="str">
        <v>SYN</v>
      </c>
      <c r="E5741">
        <v>0</v>
      </c>
      <c r="F5741">
        <v>0</v>
      </c>
    </row>
    <row r="5742" spans="2:6" ht="15.75" customHeight="1" x14ac:dyDescent="0.25">
      <c r="B5742" t="str">
        <v>Synnax Protocol</v>
      </c>
      <c r="C5742" t="str">
        <v>CDP</v>
      </c>
      <c r="D5742" t="str">
        <v>-</v>
      </c>
      <c r="E5742">
        <v>7425855.1487173801</v>
      </c>
      <c r="F5742">
        <v>0</v>
      </c>
    </row>
    <row r="5743" spans="2:6" ht="15.75" customHeight="1" x14ac:dyDescent="0.25">
      <c r="B5743" t="str">
        <v>SYNO Finance</v>
      </c>
      <c r="C5743" t="str">
        <v>Lending</v>
      </c>
      <c r="D5743" t="str">
        <v>SYNO</v>
      </c>
      <c r="E5743">
        <v>202284.31783382469</v>
      </c>
      <c r="F5743">
        <v>1718.4373464652101</v>
      </c>
    </row>
    <row r="5744" spans="2:6" ht="15.75" customHeight="1" x14ac:dyDescent="0.25">
      <c r="B5744" t="str">
        <v>SynStation</v>
      </c>
      <c r="C5744" t="str">
        <v>Prediction Market</v>
      </c>
      <c r="D5744" t="str">
        <v>-</v>
      </c>
      <c r="E5744">
        <v>11611.402344124515</v>
      </c>
      <c r="F5744">
        <v>0</v>
      </c>
    </row>
    <row r="5745" spans="2:6" ht="15.75" customHeight="1" x14ac:dyDescent="0.25">
      <c r="B5745" t="str">
        <v>Synthetify</v>
      </c>
      <c r="C5745" t="str">
        <v>Synthetics</v>
      </c>
      <c r="D5745" t="str">
        <v>SNY</v>
      </c>
      <c r="E5745">
        <v>25674.310914587546</v>
      </c>
      <c r="F5745">
        <v>1101.4578665405897</v>
      </c>
    </row>
    <row r="5746" spans="2:6" ht="15.75" customHeight="1" x14ac:dyDescent="0.25">
      <c r="B5746" t="str">
        <v>Synthetix v1+v2</v>
      </c>
      <c r="C5746" t="str">
        <v>Synthetics</v>
      </c>
      <c r="D5746" t="str">
        <v>SNX</v>
      </c>
      <c r="E5746">
        <v>1789.2176490690797</v>
      </c>
      <c r="F5746">
        <v>0</v>
      </c>
    </row>
    <row r="5747" spans="2:6" ht="15.75" customHeight="1" x14ac:dyDescent="0.25">
      <c r="B5747" t="str">
        <v>Synthetix V3</v>
      </c>
      <c r="C5747" t="str">
        <v>Derivatives</v>
      </c>
      <c r="D5747" t="str">
        <v>SNX</v>
      </c>
      <c r="E5747">
        <v>61256653.995108306</v>
      </c>
      <c r="F5747">
        <v>0</v>
      </c>
    </row>
    <row r="5748" spans="2:6" ht="15.75" customHeight="1" x14ac:dyDescent="0.25">
      <c r="B5748" t="str">
        <v>SynthEx</v>
      </c>
      <c r="C5748" t="str">
        <v>Synthetics</v>
      </c>
      <c r="D5748" t="str">
        <v>SYX</v>
      </c>
      <c r="E5748">
        <v>924.03241782644704</v>
      </c>
      <c r="F5748">
        <v>0</v>
      </c>
    </row>
    <row r="5749" spans="2:6" ht="15.75" customHeight="1" x14ac:dyDescent="0.25">
      <c r="B5749" t="str">
        <v>Synthswap Perps</v>
      </c>
      <c r="C5749" t="str">
        <v>Derivatives</v>
      </c>
      <c r="D5749" t="str">
        <v>SYNTH</v>
      </c>
      <c r="E5749">
        <v>775.75267403759904</v>
      </c>
      <c r="F5749">
        <v>0</v>
      </c>
    </row>
    <row r="5750" spans="2:6" ht="15.75" customHeight="1" x14ac:dyDescent="0.25">
      <c r="B5750" t="str">
        <v>Synthswap V2</v>
      </c>
      <c r="C5750" t="str">
        <v>Dexs</v>
      </c>
      <c r="D5750" t="str">
        <v>SYNTH</v>
      </c>
      <c r="E5750">
        <v>18501.961352482285</v>
      </c>
      <c r="F5750">
        <v>0</v>
      </c>
    </row>
    <row r="5751" spans="2:6" ht="15.75" customHeight="1" x14ac:dyDescent="0.25">
      <c r="B5751" t="str">
        <v>Synthswap V3</v>
      </c>
      <c r="C5751" t="str">
        <v>Dexs</v>
      </c>
      <c r="D5751" t="str">
        <v>SYNTH</v>
      </c>
      <c r="E5751">
        <v>5973.5705474296128</v>
      </c>
      <c r="F5751">
        <v>0</v>
      </c>
    </row>
    <row r="5752" spans="2:6" ht="15.75" customHeight="1" x14ac:dyDescent="0.25">
      <c r="B5752" t="str">
        <v>Syntropia</v>
      </c>
      <c r="C5752" t="str">
        <v>Yield Aggregator</v>
      </c>
      <c r="D5752" t="str">
        <v>-</v>
      </c>
      <c r="E5752">
        <v>3704473.8323388291</v>
      </c>
      <c r="F5752">
        <v>0</v>
      </c>
    </row>
    <row r="5753" spans="2:6" ht="15.75" customHeight="1" x14ac:dyDescent="0.25">
      <c r="B5753" t="str">
        <v>Sypher Finance</v>
      </c>
      <c r="C5753" t="str">
        <v>Derivatives</v>
      </c>
      <c r="D5753" t="str">
        <v>SYP</v>
      </c>
      <c r="E5753">
        <v>9755.4620014997927</v>
      </c>
      <c r="F5753">
        <v>0</v>
      </c>
    </row>
    <row r="5754" spans="2:6" ht="15.75" customHeight="1" x14ac:dyDescent="0.25">
      <c r="B5754" t="str">
        <v>Syrup Finance</v>
      </c>
      <c r="C5754" t="str">
        <v>Derivatives</v>
      </c>
      <c r="D5754" t="str">
        <v>SRX</v>
      </c>
      <c r="E5754">
        <v>2420.9799634834858</v>
      </c>
      <c r="F5754">
        <v>0</v>
      </c>
    </row>
    <row r="5755" spans="2:6" ht="15.75" customHeight="1" x14ac:dyDescent="0.25">
      <c r="B5755" t="str">
        <v>T RIZE</v>
      </c>
      <c r="C5755" t="str">
        <v>RWA</v>
      </c>
      <c r="D5755" t="str">
        <v>RIZE</v>
      </c>
      <c r="E5755">
        <v>23000000</v>
      </c>
      <c r="F5755">
        <v>13595577.47233527</v>
      </c>
    </row>
    <row r="5756" spans="2:6" ht="15.75" customHeight="1" x14ac:dyDescent="0.25">
      <c r="B5756" t="str">
        <v>T2T2</v>
      </c>
      <c r="C5756" t="str">
        <v>SoFi</v>
      </c>
      <c r="D5756" t="str">
        <v>T2T2</v>
      </c>
      <c r="E5756">
        <v>15209.325282668859</v>
      </c>
      <c r="F5756">
        <v>0</v>
      </c>
    </row>
    <row r="5757" spans="2:6" ht="15.75" customHeight="1" x14ac:dyDescent="0.25">
      <c r="B5757" t="str">
        <v>t3rn Bridge</v>
      </c>
      <c r="C5757" t="str">
        <v>Bridge</v>
      </c>
      <c r="D5757" t="str">
        <v>TRN</v>
      </c>
      <c r="E5757">
        <v>637.94341206074739</v>
      </c>
      <c r="F5757">
        <v>0</v>
      </c>
    </row>
    <row r="5758" spans="2:6" ht="15.75" customHeight="1" x14ac:dyDescent="0.25">
      <c r="B5758" t="str">
        <v>TAC Cross Chain Layer</v>
      </c>
      <c r="C5758" t="str">
        <v>Bridge</v>
      </c>
      <c r="D5758" t="str">
        <v>-</v>
      </c>
      <c r="E5758">
        <v>2020833.8081955037</v>
      </c>
      <c r="F5758">
        <v>0</v>
      </c>
    </row>
    <row r="5759" spans="2:6" ht="15.75" customHeight="1" x14ac:dyDescent="0.25">
      <c r="B5759" t="str">
        <v>TachySwap</v>
      </c>
      <c r="C5759" t="str">
        <v>Dexs</v>
      </c>
      <c r="D5759" t="str">
        <v>-</v>
      </c>
      <c r="E5759">
        <v>629.07308785246585</v>
      </c>
      <c r="F5759">
        <v>0</v>
      </c>
    </row>
    <row r="5760" spans="2:6" ht="15.75" customHeight="1" x14ac:dyDescent="0.25">
      <c r="B5760" t="str">
        <v>Taco Studios</v>
      </c>
      <c r="C5760" t="str">
        <v>Dexs</v>
      </c>
      <c r="D5760" t="str">
        <v>-</v>
      </c>
      <c r="E5760">
        <v>52278.831362007986</v>
      </c>
      <c r="F5760">
        <v>0</v>
      </c>
    </row>
    <row r="5761" spans="2:6" ht="15.75" customHeight="1" x14ac:dyDescent="0.25">
      <c r="B5761" t="str">
        <v>Taffy Finance</v>
      </c>
      <c r="C5761" t="str">
        <v>Dexs</v>
      </c>
      <c r="D5761" t="str">
        <v>-</v>
      </c>
      <c r="E5761">
        <v>67632.605706057991</v>
      </c>
      <c r="F5761">
        <v>0</v>
      </c>
    </row>
    <row r="5762" spans="2:6" ht="15.75" customHeight="1" x14ac:dyDescent="0.25">
      <c r="B5762" t="str">
        <v>TagDotTech</v>
      </c>
      <c r="C5762" t="str">
        <v>SoFi</v>
      </c>
      <c r="D5762" t="str">
        <v>-</v>
      </c>
      <c r="E5762">
        <v>8004.6625187260279</v>
      </c>
      <c r="F5762">
        <v>0</v>
      </c>
    </row>
    <row r="5763" spans="2:6" ht="15.75" customHeight="1" x14ac:dyDescent="0.25">
      <c r="B5763" t="str">
        <v>tai.money</v>
      </c>
      <c r="C5763" t="str">
        <v>CDP</v>
      </c>
      <c r="D5763" t="str">
        <v>TAI</v>
      </c>
      <c r="E5763">
        <v>48089.268340329887</v>
      </c>
      <c r="F5763">
        <v>0</v>
      </c>
    </row>
    <row r="5764" spans="2:6" ht="15.75" customHeight="1" x14ac:dyDescent="0.25">
      <c r="B5764" t="str">
        <v>TaiChi</v>
      </c>
      <c r="C5764" t="str">
        <v>Reserve Currency</v>
      </c>
      <c r="D5764" t="str">
        <v>TAC</v>
      </c>
      <c r="E5764">
        <v>0.13336952212541464</v>
      </c>
      <c r="F5764">
        <v>26930.630796339792</v>
      </c>
    </row>
    <row r="5765" spans="2:6" ht="15.75" customHeight="1" x14ac:dyDescent="0.25">
      <c r="B5765" t="str">
        <v>TaiDog</v>
      </c>
      <c r="C5765" t="str">
        <v>Yield</v>
      </c>
      <c r="D5765" t="str">
        <v>TAIDOG</v>
      </c>
      <c r="E5765">
        <v>28.551579547907714</v>
      </c>
      <c r="F5765">
        <v>0</v>
      </c>
    </row>
    <row r="5766" spans="2:6" ht="15.75" customHeight="1" x14ac:dyDescent="0.25">
      <c r="B5766" t="str">
        <v>Taiga Acala</v>
      </c>
      <c r="C5766" t="str">
        <v>Synthetics</v>
      </c>
      <c r="D5766" t="str">
        <v>-</v>
      </c>
      <c r="E5766">
        <v>219228.438776567</v>
      </c>
      <c r="F5766">
        <v>0</v>
      </c>
    </row>
    <row r="5767" spans="2:6" ht="15.75" customHeight="1" x14ac:dyDescent="0.25">
      <c r="B5767" t="str">
        <v>Taiga Karura</v>
      </c>
      <c r="C5767" t="str">
        <v>Synthetics</v>
      </c>
      <c r="D5767" t="str">
        <v>TAI</v>
      </c>
      <c r="E5767">
        <v>109367.17779174683</v>
      </c>
      <c r="F5767">
        <v>0</v>
      </c>
    </row>
    <row r="5768" spans="2:6" ht="15.75" customHeight="1" x14ac:dyDescent="0.25">
      <c r="B5768" t="str">
        <v>Taiko Bridge</v>
      </c>
      <c r="C5768" t="str">
        <v>Canonical Bridge</v>
      </c>
      <c r="D5768" t="str">
        <v>TAIKO</v>
      </c>
      <c r="E5768">
        <v>30145990.270942807</v>
      </c>
      <c r="F5768">
        <v>37797586.172456615</v>
      </c>
    </row>
    <row r="5769" spans="2:6" ht="15.75" customHeight="1" x14ac:dyDescent="0.25">
      <c r="B5769" t="str">
        <v>Taiko Drips</v>
      </c>
      <c r="C5769" t="str">
        <v>Farm</v>
      </c>
      <c r="D5769" t="str">
        <v>-</v>
      </c>
      <c r="E5769">
        <v>0</v>
      </c>
      <c r="F5769">
        <v>0</v>
      </c>
    </row>
    <row r="5770" spans="2:6" ht="15.75" customHeight="1" x14ac:dyDescent="0.25">
      <c r="B5770" t="str">
        <v>Taiko Swap</v>
      </c>
      <c r="C5770" t="str">
        <v>Dexs</v>
      </c>
      <c r="D5770" t="str">
        <v>-</v>
      </c>
      <c r="E5770">
        <v>7578416.6667630756</v>
      </c>
      <c r="F5770">
        <v>0</v>
      </c>
    </row>
    <row r="5771" spans="2:6" ht="15.75" customHeight="1" x14ac:dyDescent="0.25">
      <c r="B5771" t="str">
        <v>Takara Lend</v>
      </c>
      <c r="C5771" t="str">
        <v>Lending</v>
      </c>
      <c r="D5771" t="str">
        <v>-</v>
      </c>
      <c r="E5771">
        <v>84578859.678821295</v>
      </c>
      <c r="F5771">
        <v>0</v>
      </c>
    </row>
    <row r="5772" spans="2:6" ht="15.75" customHeight="1" x14ac:dyDescent="0.25">
      <c r="B5772" t="str">
        <v>TAKOSWAP</v>
      </c>
      <c r="C5772" t="str">
        <v>Dexs</v>
      </c>
      <c r="D5772" t="str">
        <v>TAKO</v>
      </c>
      <c r="E5772">
        <v>132101.07207698631</v>
      </c>
      <c r="F5772">
        <v>0</v>
      </c>
    </row>
    <row r="5773" spans="2:6" ht="15.75" customHeight="1" x14ac:dyDescent="0.25">
      <c r="B5773" t="str">
        <v>TakoTako</v>
      </c>
      <c r="C5773" t="str">
        <v>Lending</v>
      </c>
      <c r="D5773" t="str">
        <v>-</v>
      </c>
      <c r="E5773">
        <v>19103.678494566211</v>
      </c>
      <c r="F5773">
        <v>0</v>
      </c>
    </row>
    <row r="5774" spans="2:6" ht="15.75" customHeight="1" x14ac:dyDescent="0.25">
      <c r="B5774" t="str">
        <v>Talent Protocol V1</v>
      </c>
      <c r="C5774" t="str">
        <v>SoFi</v>
      </c>
      <c r="D5774" t="str">
        <v>TALENT</v>
      </c>
      <c r="E5774">
        <v>8.343210383926488E-3</v>
      </c>
      <c r="F5774">
        <v>447429.44914230437</v>
      </c>
    </row>
    <row r="5775" spans="2:6" ht="15.75" customHeight="1" x14ac:dyDescent="0.25">
      <c r="B5775" t="str">
        <v>Tangent</v>
      </c>
      <c r="C5775" t="str">
        <v>Dexs</v>
      </c>
      <c r="D5775" t="str">
        <v>-</v>
      </c>
      <c r="E5775">
        <v>0</v>
      </c>
      <c r="F5775">
        <v>0</v>
      </c>
    </row>
    <row r="5776" spans="2:6" ht="15.75" customHeight="1" x14ac:dyDescent="0.25">
      <c r="B5776" t="str">
        <v>Tangent Protocol</v>
      </c>
      <c r="C5776" t="str">
        <v>Yield</v>
      </c>
      <c r="D5776" t="str">
        <v>TANG</v>
      </c>
      <c r="E5776">
        <v>0</v>
      </c>
      <c r="F5776">
        <v>0</v>
      </c>
    </row>
    <row r="5777" spans="2:6" ht="15.75" customHeight="1" x14ac:dyDescent="0.25">
      <c r="B5777" t="str">
        <v>Tangible Arcana</v>
      </c>
      <c r="C5777" t="str">
        <v>Basis Trading</v>
      </c>
      <c r="D5777" t="str">
        <v>-</v>
      </c>
      <c r="E5777">
        <v>0</v>
      </c>
      <c r="F5777">
        <v>0</v>
      </c>
    </row>
    <row r="5778" spans="2:6" ht="15.75" customHeight="1" x14ac:dyDescent="0.25">
      <c r="B5778" t="str">
        <v>Tangible RWA</v>
      </c>
      <c r="C5778" t="str">
        <v>RWA</v>
      </c>
      <c r="D5778" t="str">
        <v>TNGBL</v>
      </c>
      <c r="E5778">
        <v>42085977.494831786</v>
      </c>
      <c r="F5778">
        <v>0</v>
      </c>
    </row>
    <row r="5779" spans="2:6" ht="15.75" customHeight="1" x14ac:dyDescent="0.25">
      <c r="B5779" t="str">
        <v>Tangible USTB</v>
      </c>
      <c r="C5779" t="str">
        <v>RWA</v>
      </c>
      <c r="D5779" t="str">
        <v>TNGBL</v>
      </c>
      <c r="E5779">
        <v>2899.0127599652233</v>
      </c>
      <c r="F5779">
        <v>0</v>
      </c>
    </row>
    <row r="5780" spans="2:6" ht="15.75" customHeight="1" x14ac:dyDescent="0.25">
      <c r="B5780" t="str">
        <v>TangleSwap</v>
      </c>
      <c r="C5780" t="str">
        <v>Dexs</v>
      </c>
      <c r="D5780" t="str">
        <v>VOID</v>
      </c>
      <c r="E5780">
        <v>1653.8945279170493</v>
      </c>
      <c r="F5780">
        <v>0</v>
      </c>
    </row>
    <row r="5781" spans="2:6" ht="15.75" customHeight="1" x14ac:dyDescent="0.25">
      <c r="B5781" t="str">
        <v>TangoSwap</v>
      </c>
      <c r="C5781" t="str">
        <v>Dexs</v>
      </c>
      <c r="D5781" t="str">
        <v>TANGO</v>
      </c>
      <c r="E5781">
        <v>1572.5138933263663</v>
      </c>
      <c r="F5781">
        <v>0</v>
      </c>
    </row>
    <row r="5782" spans="2:6" ht="15.75" customHeight="1" x14ac:dyDescent="0.25">
      <c r="B5782" t="str">
        <v>Tanken Capital</v>
      </c>
      <c r="C5782" t="str">
        <v>Risk Curators</v>
      </c>
      <c r="D5782" t="str">
        <v>-</v>
      </c>
      <c r="E5782">
        <v>85185.939514549755</v>
      </c>
      <c r="F5782">
        <v>0</v>
      </c>
    </row>
    <row r="5783" spans="2:6" ht="15.75" customHeight="1" x14ac:dyDescent="0.25">
      <c r="B5783" t="str">
        <v>TanukiX</v>
      </c>
      <c r="C5783" t="str">
        <v>Dexs</v>
      </c>
      <c r="D5783" t="str">
        <v>-</v>
      </c>
      <c r="E5783">
        <v>36.997749369879358</v>
      </c>
      <c r="F5783">
        <v>0</v>
      </c>
    </row>
    <row r="5784" spans="2:6" ht="15.75" customHeight="1" x14ac:dyDescent="0.25">
      <c r="B5784" t="str">
        <v>TanX.fi</v>
      </c>
      <c r="C5784" t="str">
        <v>Dexs</v>
      </c>
      <c r="D5784" t="str">
        <v>-</v>
      </c>
      <c r="E5784">
        <v>935884.66284526186</v>
      </c>
      <c r="F5784">
        <v>0</v>
      </c>
    </row>
    <row r="5785" spans="2:6" ht="15.75" customHeight="1" x14ac:dyDescent="0.25">
      <c r="B5785" t="str">
        <v>TaoFi</v>
      </c>
      <c r="C5785" t="str">
        <v>Dexs</v>
      </c>
      <c r="D5785" t="str">
        <v>-</v>
      </c>
      <c r="E5785">
        <v>579409.05549591756</v>
      </c>
      <c r="F5785">
        <v>0</v>
      </c>
    </row>
    <row r="5786" spans="2:6" ht="15.75" customHeight="1" x14ac:dyDescent="0.25">
      <c r="B5786" t="str">
        <v>TAOlie</v>
      </c>
      <c r="C5786" t="str">
        <v>Staking Pool</v>
      </c>
      <c r="D5786" t="str">
        <v>TAOlie</v>
      </c>
      <c r="E5786">
        <v>0</v>
      </c>
      <c r="F5786">
        <v>173460.98193732809</v>
      </c>
    </row>
    <row r="5787" spans="2:6" ht="15.75" customHeight="1" x14ac:dyDescent="0.25">
      <c r="B5787" t="str">
        <v>Tapp Exchange</v>
      </c>
      <c r="C5787" t="str">
        <v>Dexs</v>
      </c>
      <c r="D5787" t="str">
        <v>-</v>
      </c>
      <c r="E5787">
        <v>5914896.7601693841</v>
      </c>
      <c r="F5787">
        <v>0</v>
      </c>
    </row>
    <row r="5788" spans="2:6" ht="15.75" customHeight="1" x14ac:dyDescent="0.25">
      <c r="B5788" t="str">
        <v>TaraPerps</v>
      </c>
      <c r="C5788" t="str">
        <v>Derivatives</v>
      </c>
      <c r="D5788" t="str">
        <v>-</v>
      </c>
      <c r="E5788">
        <v>492.99624231399815</v>
      </c>
      <c r="F5788">
        <v>0</v>
      </c>
    </row>
    <row r="5789" spans="2:6" ht="15.75" customHeight="1" x14ac:dyDescent="0.25">
      <c r="B5789" t="str">
        <v>Taraswap</v>
      </c>
      <c r="C5789" t="str">
        <v>Dexs</v>
      </c>
      <c r="D5789" t="str">
        <v>TSWAP</v>
      </c>
      <c r="E5789">
        <v>845681.64441048645</v>
      </c>
      <c r="F5789">
        <v>192356.92895143011</v>
      </c>
    </row>
    <row r="5790" spans="2:6" ht="15.75" customHeight="1" x14ac:dyDescent="0.25">
      <c r="B5790" t="str">
        <v>Taraxa Foundation</v>
      </c>
      <c r="C5790" t="str">
        <v>Foundation</v>
      </c>
      <c r="D5790" t="str">
        <v>-</v>
      </c>
      <c r="E5790">
        <v>0</v>
      </c>
      <c r="F5790">
        <v>0</v>
      </c>
    </row>
    <row r="5791" spans="2:6" ht="15.75" customHeight="1" x14ac:dyDescent="0.25">
      <c r="B5791" t="str">
        <v>Tardly</v>
      </c>
      <c r="C5791" t="str">
        <v>Yield Lottery</v>
      </c>
      <c r="D5791" t="str">
        <v>ATARD</v>
      </c>
      <c r="E5791">
        <v>92214.467165663809</v>
      </c>
      <c r="F5791">
        <v>0</v>
      </c>
    </row>
    <row r="5792" spans="2:6" ht="15.75" customHeight="1" x14ac:dyDescent="0.25">
      <c r="B5792" t="str">
        <v>Tarina</v>
      </c>
      <c r="C5792" t="str">
        <v>Dexs</v>
      </c>
      <c r="D5792" t="str">
        <v>TARINA</v>
      </c>
      <c r="E5792">
        <v>59.146555414937048</v>
      </c>
      <c r="F5792">
        <v>0</v>
      </c>
    </row>
    <row r="5793" spans="2:6" ht="15.75" customHeight="1" x14ac:dyDescent="0.25">
      <c r="B5793" t="str">
        <v>Tarot</v>
      </c>
      <c r="C5793" t="str">
        <v>Lending</v>
      </c>
      <c r="D5793" t="str">
        <v>TAROT</v>
      </c>
      <c r="E5793">
        <v>1030476.4782744255</v>
      </c>
      <c r="F5793">
        <v>3318972.3827841645</v>
      </c>
    </row>
    <row r="5794" spans="2:6" ht="15.75" customHeight="1" x14ac:dyDescent="0.25">
      <c r="B5794" t="str">
        <v>Tashi</v>
      </c>
      <c r="C5794" t="str">
        <v>Lending</v>
      </c>
      <c r="D5794" t="str">
        <v>TASHI</v>
      </c>
      <c r="E5794">
        <v>23402.593418121149</v>
      </c>
      <c r="F5794">
        <v>0</v>
      </c>
    </row>
    <row r="5795" spans="2:6" ht="15.75" customHeight="1" x14ac:dyDescent="0.25">
      <c r="B5795" t="str">
        <v>TAU Labs</v>
      </c>
      <c r="C5795" t="str">
        <v>Risk Curators</v>
      </c>
      <c r="D5795" t="str">
        <v>-</v>
      </c>
      <c r="E5795">
        <v>11318969.216770757</v>
      </c>
      <c r="F5795">
        <v>0</v>
      </c>
    </row>
    <row r="5796" spans="2:6" ht="15.75" customHeight="1" x14ac:dyDescent="0.25">
      <c r="B5796" t="str">
        <v>tBTC</v>
      </c>
      <c r="C5796" t="str">
        <v>Decentralized BTC</v>
      </c>
      <c r="D5796" t="str">
        <v>T</v>
      </c>
      <c r="E5796">
        <v>513802041.26046067</v>
      </c>
      <c r="F5796">
        <v>0</v>
      </c>
    </row>
    <row r="5797" spans="2:6" ht="15.75" customHeight="1" x14ac:dyDescent="0.25">
      <c r="B5797" t="str">
        <v>TCV Platform</v>
      </c>
      <c r="C5797" t="str">
        <v>Liquidity manager</v>
      </c>
      <c r="D5797" t="str">
        <v>-</v>
      </c>
      <c r="E5797">
        <v>3996.4346339368212</v>
      </c>
      <c r="F5797">
        <v>0</v>
      </c>
    </row>
    <row r="5798" spans="2:6" ht="15.75" customHeight="1" x14ac:dyDescent="0.25">
      <c r="B5798" t="str">
        <v>Tea-Fi</v>
      </c>
      <c r="C5798" t="str">
        <v>Yield</v>
      </c>
      <c r="D5798" t="str">
        <v>TEA</v>
      </c>
      <c r="E5798">
        <v>26.86549525168892</v>
      </c>
      <c r="F5798">
        <v>0</v>
      </c>
    </row>
    <row r="5799" spans="2:6" ht="15.75" customHeight="1" x14ac:dyDescent="0.25">
      <c r="B5799" t="str">
        <v>Tea-REX</v>
      </c>
      <c r="C5799" t="str">
        <v>Derivatives</v>
      </c>
      <c r="D5799" t="str">
        <v>TREX</v>
      </c>
      <c r="E5799">
        <v>2042720.7373100556</v>
      </c>
      <c r="F5799">
        <v>301307.63169322151</v>
      </c>
    </row>
    <row r="5800" spans="2:6" ht="15.75" customHeight="1" x14ac:dyDescent="0.25">
      <c r="B5800" t="str">
        <v>Teahouse Managed</v>
      </c>
      <c r="C5800" t="str">
        <v>Yield Aggregator</v>
      </c>
      <c r="D5800" t="str">
        <v>-</v>
      </c>
      <c r="E5800">
        <v>1352377.8473097179</v>
      </c>
      <c r="F5800">
        <v>0</v>
      </c>
    </row>
    <row r="5801" spans="2:6" ht="15.75" customHeight="1" x14ac:dyDescent="0.25">
      <c r="B5801" t="str">
        <v>Teahouse Permissionless</v>
      </c>
      <c r="C5801" t="str">
        <v>Liquidity manager</v>
      </c>
      <c r="D5801" t="str">
        <v>-</v>
      </c>
      <c r="E5801">
        <v>332151.63042828714</v>
      </c>
      <c r="F5801">
        <v>0</v>
      </c>
    </row>
    <row r="5802" spans="2:6" ht="15.75" customHeight="1" x14ac:dyDescent="0.25">
      <c r="B5802" t="str">
        <v>Tealswap V2</v>
      </c>
      <c r="C5802" t="str">
        <v>Dexs</v>
      </c>
      <c r="D5802" t="str">
        <v>-</v>
      </c>
      <c r="E5802">
        <v>4298.6296981603164</v>
      </c>
      <c r="F5802">
        <v>0</v>
      </c>
    </row>
    <row r="5803" spans="2:6" ht="15.75" customHeight="1" x14ac:dyDescent="0.25">
      <c r="B5803" t="str">
        <v>Tealswap V3</v>
      </c>
      <c r="C5803" t="str">
        <v>Dexs</v>
      </c>
      <c r="D5803" t="str">
        <v>ALT</v>
      </c>
      <c r="E5803">
        <v>100793.88282996965</v>
      </c>
      <c r="F5803">
        <v>0</v>
      </c>
    </row>
    <row r="5804" spans="2:6" ht="15.75" customHeight="1" x14ac:dyDescent="0.25">
      <c r="B5804" t="str">
        <v>Team Finance</v>
      </c>
      <c r="C5804" t="str">
        <v>Token Locker</v>
      </c>
      <c r="D5804" t="str">
        <v>SWAP</v>
      </c>
      <c r="E5804">
        <v>77503300.364441872</v>
      </c>
      <c r="F5804">
        <v>4835792.7804635111</v>
      </c>
    </row>
    <row r="5805" spans="2:6" ht="15.75" customHeight="1" x14ac:dyDescent="0.25">
      <c r="B5805" t="str">
        <v>Tectonic</v>
      </c>
      <c r="C5805" t="str">
        <v>Lending</v>
      </c>
      <c r="D5805" t="str">
        <v>TONIC</v>
      </c>
      <c r="E5805">
        <v>131536840.6334748</v>
      </c>
      <c r="F5805">
        <v>5105726.2714950955</v>
      </c>
    </row>
    <row r="5806" spans="2:6" ht="15.75" customHeight="1" x14ac:dyDescent="0.25">
      <c r="B5806" t="str">
        <v>Teddy Cash</v>
      </c>
      <c r="C5806" t="str">
        <v>CDP</v>
      </c>
      <c r="D5806" t="str">
        <v>TEDDY</v>
      </c>
      <c r="E5806">
        <v>21793.506566595894</v>
      </c>
      <c r="F5806">
        <v>21066.204242278076</v>
      </c>
    </row>
    <row r="5807" spans="2:6" ht="15.75" customHeight="1" x14ac:dyDescent="0.25">
      <c r="B5807" t="str">
        <v>TeddySwap</v>
      </c>
      <c r="C5807" t="str">
        <v>Dexs</v>
      </c>
      <c r="D5807" t="str">
        <v>TEDY</v>
      </c>
      <c r="E5807">
        <v>115012.23907539228</v>
      </c>
      <c r="F5807">
        <v>0</v>
      </c>
    </row>
    <row r="5808" spans="2:6" ht="15.75" customHeight="1" x14ac:dyDescent="0.25">
      <c r="B5808" t="str">
        <v>Tegisto</v>
      </c>
      <c r="C5808" t="str">
        <v>Dexs</v>
      </c>
      <c r="D5808" t="str">
        <v>TGS</v>
      </c>
      <c r="E5808">
        <v>0</v>
      </c>
      <c r="F5808">
        <v>0</v>
      </c>
    </row>
    <row r="5809" spans="2:6" ht="15.75" customHeight="1" x14ac:dyDescent="0.25">
      <c r="B5809" t="str">
        <v>Tegro</v>
      </c>
      <c r="C5809" t="str">
        <v>Dexs</v>
      </c>
      <c r="D5809" t="str">
        <v>TGR</v>
      </c>
      <c r="E5809">
        <v>0</v>
      </c>
      <c r="F5809">
        <v>0</v>
      </c>
    </row>
    <row r="5810" spans="2:6" ht="15.75" customHeight="1" x14ac:dyDescent="0.25">
      <c r="B5810" t="str">
        <v>Tegro Finance</v>
      </c>
      <c r="C5810" t="str">
        <v>Dexs</v>
      </c>
      <c r="D5810" t="str">
        <v>-</v>
      </c>
      <c r="E5810">
        <v>13266.88279568802</v>
      </c>
      <c r="F5810">
        <v>0</v>
      </c>
    </row>
    <row r="5811" spans="2:6" ht="15.75" customHeight="1" x14ac:dyDescent="0.25">
      <c r="B5811" t="str">
        <v>Telcoin</v>
      </c>
      <c r="C5811" t="str">
        <v>Payments</v>
      </c>
      <c r="D5811" t="str">
        <v>TEL</v>
      </c>
      <c r="E5811">
        <v>0</v>
      </c>
      <c r="F5811">
        <v>352924316.96401548</v>
      </c>
    </row>
    <row r="5812" spans="2:6" ht="15.75" customHeight="1" x14ac:dyDescent="0.25">
      <c r="B5812" t="str">
        <v>Telegram USD</v>
      </c>
      <c r="C5812" t="str">
        <v>CDP</v>
      </c>
      <c r="D5812" t="str">
        <v>-</v>
      </c>
      <c r="E5812">
        <v>471192.421355</v>
      </c>
      <c r="F5812">
        <v>0</v>
      </c>
    </row>
    <row r="5813" spans="2:6" ht="15.75" customHeight="1" x14ac:dyDescent="0.25">
      <c r="B5813" t="str">
        <v>TeleSwap</v>
      </c>
      <c r="C5813" t="str">
        <v>Bridge</v>
      </c>
      <c r="D5813" t="str">
        <v>TST</v>
      </c>
      <c r="E5813">
        <v>383096.22435904958</v>
      </c>
      <c r="F5813">
        <v>74822.888238836575</v>
      </c>
    </row>
    <row r="5814" spans="2:6" ht="15.75" customHeight="1" x14ac:dyDescent="0.25">
      <c r="B5814" t="str">
        <v>TeleSwap TON</v>
      </c>
      <c r="C5814" t="str">
        <v>Bridge Aggregator</v>
      </c>
      <c r="D5814" t="str">
        <v>-</v>
      </c>
      <c r="E5814">
        <v>0</v>
      </c>
      <c r="F5814">
        <v>0</v>
      </c>
    </row>
    <row r="5815" spans="2:6" ht="15.75" customHeight="1" x14ac:dyDescent="0.25">
      <c r="B5815" t="str">
        <v>Teller</v>
      </c>
      <c r="C5815" t="str">
        <v>Lending</v>
      </c>
      <c r="D5815" t="str">
        <v>-</v>
      </c>
      <c r="E5815">
        <v>6685158.0700227283</v>
      </c>
      <c r="F5815">
        <v>0</v>
      </c>
    </row>
    <row r="5816" spans="2:6" ht="15.75" customHeight="1" x14ac:dyDescent="0.25">
      <c r="B5816" t="str">
        <v>Telos Consilium</v>
      </c>
      <c r="C5816" t="str">
        <v>Risk Curators</v>
      </c>
      <c r="D5816" t="str">
        <v>-</v>
      </c>
      <c r="E5816">
        <v>148010305.80226186</v>
      </c>
      <c r="F5816">
        <v>0</v>
      </c>
    </row>
    <row r="5817" spans="2:6" ht="15.75" customHeight="1" x14ac:dyDescent="0.25">
      <c r="B5817" t="str">
        <v>Telos Swap</v>
      </c>
      <c r="C5817" t="str">
        <v>Dexs</v>
      </c>
      <c r="D5817" t="str">
        <v>SWAP</v>
      </c>
      <c r="E5817">
        <v>35282.307753133195</v>
      </c>
      <c r="F5817">
        <v>0</v>
      </c>
    </row>
    <row r="5818" spans="2:6" ht="15.75" customHeight="1" x14ac:dyDescent="0.25">
      <c r="B5818" t="str">
        <v>Tempest Capital</v>
      </c>
      <c r="C5818" t="str">
        <v>Lending</v>
      </c>
      <c r="D5818" t="str">
        <v>TEM</v>
      </c>
      <c r="E5818">
        <v>0.97258551518695802</v>
      </c>
      <c r="F5818">
        <v>0</v>
      </c>
    </row>
    <row r="5819" spans="2:6" ht="15.75" customHeight="1" x14ac:dyDescent="0.25">
      <c r="B5819" t="str">
        <v>Tempest Finance</v>
      </c>
      <c r="C5819" t="str">
        <v>Liquidity manager</v>
      </c>
      <c r="D5819" t="str">
        <v>-</v>
      </c>
      <c r="E5819">
        <v>400205.12044538831</v>
      </c>
      <c r="F5819">
        <v>0</v>
      </c>
    </row>
    <row r="5820" spans="2:6" ht="15.75" customHeight="1" x14ac:dyDescent="0.25">
      <c r="B5820" t="str">
        <v>Templar DAO</v>
      </c>
      <c r="C5820" t="str">
        <v>Reserve Currency</v>
      </c>
      <c r="D5820" t="str">
        <v>TEM</v>
      </c>
      <c r="E5820">
        <v>0</v>
      </c>
      <c r="F5820">
        <v>0</v>
      </c>
    </row>
    <row r="5821" spans="2:6" ht="15.75" customHeight="1" x14ac:dyDescent="0.25">
      <c r="B5821" t="str">
        <v>Templar Protocol</v>
      </c>
      <c r="C5821" t="str">
        <v>Lending</v>
      </c>
      <c r="D5821" t="str">
        <v>-</v>
      </c>
      <c r="E5821">
        <v>10998430.469782697</v>
      </c>
      <c r="F5821">
        <v>0</v>
      </c>
    </row>
    <row r="5822" spans="2:6" ht="15.75" customHeight="1" x14ac:dyDescent="0.25">
      <c r="B5822" t="str">
        <v>TempleDAO</v>
      </c>
      <c r="C5822" t="str">
        <v>Reserve Currency</v>
      </c>
      <c r="D5822" t="str">
        <v>TEMPLE</v>
      </c>
      <c r="E5822">
        <v>1.4874866112719152</v>
      </c>
      <c r="F5822">
        <v>0</v>
      </c>
    </row>
    <row r="5823" spans="2:6" ht="15.75" customHeight="1" x14ac:dyDescent="0.25">
      <c r="B5823" t="str">
        <v>TempleDAO Trade</v>
      </c>
      <c r="C5823" t="str">
        <v>Dexs</v>
      </c>
      <c r="D5823" t="str">
        <v>TEMPLE</v>
      </c>
      <c r="E5823">
        <v>0</v>
      </c>
      <c r="F5823">
        <v>0</v>
      </c>
    </row>
    <row r="5824" spans="2:6" ht="15.75" customHeight="1" x14ac:dyDescent="0.25">
      <c r="B5824" t="str">
        <v>TempoDAO</v>
      </c>
      <c r="C5824" t="str">
        <v>Reserve Currency</v>
      </c>
      <c r="D5824" t="str">
        <v>TEMPO</v>
      </c>
      <c r="E5824">
        <v>3.6165869144522014</v>
      </c>
      <c r="F5824">
        <v>0</v>
      </c>
    </row>
    <row r="5825" spans="2:6" ht="15.75" customHeight="1" x14ac:dyDescent="0.25">
      <c r="B5825" t="str">
        <v>Tempus Finance</v>
      </c>
      <c r="C5825" t="str">
        <v>Services</v>
      </c>
      <c r="D5825" t="str">
        <v>TEMP</v>
      </c>
      <c r="E5825">
        <v>0</v>
      </c>
      <c r="F5825">
        <v>2891143.7717522536</v>
      </c>
    </row>
    <row r="5826" spans="2:6" ht="15.75" customHeight="1" x14ac:dyDescent="0.25">
      <c r="B5826" t="str">
        <v>TEN Finance</v>
      </c>
      <c r="C5826" t="str">
        <v>Yield</v>
      </c>
      <c r="D5826" t="str">
        <v>TENFI</v>
      </c>
      <c r="E5826">
        <v>251652.84982660072</v>
      </c>
      <c r="F5826">
        <v>92647.114314392282</v>
      </c>
    </row>
    <row r="5827" spans="2:6" ht="15.75" customHeight="1" x14ac:dyDescent="0.25">
      <c r="B5827" t="str">
        <v>Tender Finance</v>
      </c>
      <c r="C5827" t="str">
        <v>Lending</v>
      </c>
      <c r="D5827" t="str">
        <v>TND</v>
      </c>
      <c r="E5827">
        <v>235776.68263522198</v>
      </c>
      <c r="F5827">
        <v>3642141.9641399155</v>
      </c>
    </row>
    <row r="5828" spans="2:6" ht="15.75" customHeight="1" x14ac:dyDescent="0.25">
      <c r="B5828" t="str">
        <v>Tenderize V1</v>
      </c>
      <c r="C5828" t="str">
        <v>Liquid Staking</v>
      </c>
      <c r="D5828" t="str">
        <v>-</v>
      </c>
      <c r="E5828">
        <v>16085.03639173014</v>
      </c>
      <c r="F5828">
        <v>0</v>
      </c>
    </row>
    <row r="5829" spans="2:6" ht="15.75" customHeight="1" x14ac:dyDescent="0.25">
      <c r="B5829" t="str">
        <v>Tenderize V2</v>
      </c>
      <c r="C5829" t="str">
        <v>Liquid Staking</v>
      </c>
      <c r="D5829" t="str">
        <v>-</v>
      </c>
      <c r="E5829">
        <v>2364189.1181025822</v>
      </c>
      <c r="F5829">
        <v>0</v>
      </c>
    </row>
    <row r="5830" spans="2:6" ht="15.75" customHeight="1" x14ac:dyDescent="0.25">
      <c r="B5830" t="str">
        <v>TenderSwap</v>
      </c>
      <c r="C5830" t="str">
        <v>Dexs</v>
      </c>
      <c r="D5830" t="str">
        <v>-</v>
      </c>
      <c r="E5830">
        <v>2953.5211362415039</v>
      </c>
      <c r="F5830">
        <v>0</v>
      </c>
    </row>
    <row r="5831" spans="2:6" ht="15.75" customHeight="1" x14ac:dyDescent="0.25">
      <c r="B5831" t="str">
        <v>Tendie Swap</v>
      </c>
      <c r="C5831" t="str">
        <v>Dexs</v>
      </c>
      <c r="D5831" t="str">
        <v>TENDIES</v>
      </c>
      <c r="E5831">
        <v>0</v>
      </c>
      <c r="F5831">
        <v>0</v>
      </c>
    </row>
    <row r="5832" spans="2:6" ht="15.75" customHeight="1" x14ac:dyDescent="0.25">
      <c r="B5832" t="str">
        <v>TendieSwap</v>
      </c>
      <c r="C5832" t="str">
        <v>Dexs</v>
      </c>
      <c r="D5832" t="str">
        <v>TENDIE</v>
      </c>
      <c r="E5832">
        <v>1651.7767208533985</v>
      </c>
      <c r="F5832">
        <v>1525982.5378879367</v>
      </c>
    </row>
    <row r="5833" spans="2:6" ht="15.75" customHeight="1" x14ac:dyDescent="0.25">
      <c r="B5833" t="str">
        <v>Tenet</v>
      </c>
      <c r="C5833" t="str">
        <v>Yield</v>
      </c>
      <c r="D5833" t="str">
        <v>TEN</v>
      </c>
      <c r="E5833">
        <v>24117.106965716022</v>
      </c>
      <c r="F5833">
        <v>0</v>
      </c>
    </row>
    <row r="5834" spans="2:6" ht="15.75" customHeight="1" x14ac:dyDescent="0.25">
      <c r="B5834" t="str">
        <v>Tensorplex</v>
      </c>
      <c r="C5834" t="str">
        <v>Liquid Staking</v>
      </c>
      <c r="D5834" t="str">
        <v>-</v>
      </c>
      <c r="E5834">
        <v>3072450.9099073024</v>
      </c>
      <c r="F5834">
        <v>0</v>
      </c>
    </row>
    <row r="5835" spans="2:6" ht="15.75" customHeight="1" x14ac:dyDescent="0.25">
      <c r="B5835" t="str">
        <v>Tenx</v>
      </c>
      <c r="C5835" t="str">
        <v>Dexs</v>
      </c>
      <c r="D5835" t="str">
        <v>TENX</v>
      </c>
      <c r="E5835">
        <v>0</v>
      </c>
      <c r="F5835">
        <v>0</v>
      </c>
    </row>
    <row r="5836" spans="2:6" ht="15.75" customHeight="1" x14ac:dyDescent="0.25">
      <c r="B5836" t="str">
        <v>Teralend</v>
      </c>
      <c r="C5836" t="str">
        <v>Lending</v>
      </c>
      <c r="D5836" t="str">
        <v>-</v>
      </c>
      <c r="E5836">
        <v>0</v>
      </c>
      <c r="F5836">
        <v>0</v>
      </c>
    </row>
    <row r="5837" spans="2:6" ht="15.75" customHeight="1" x14ac:dyDescent="0.25">
      <c r="B5837" t="str">
        <v>TermFinance Lend</v>
      </c>
      <c r="C5837" t="str">
        <v>Lending</v>
      </c>
      <c r="D5837" t="str">
        <v>-</v>
      </c>
      <c r="E5837">
        <v>3582357.9011214348</v>
      </c>
      <c r="F5837">
        <v>0</v>
      </c>
    </row>
    <row r="5838" spans="2:6" ht="15.75" customHeight="1" x14ac:dyDescent="0.25">
      <c r="B5838" t="str">
        <v>TermFinance Vaults</v>
      </c>
      <c r="C5838" t="str">
        <v>Yield</v>
      </c>
      <c r="D5838" t="str">
        <v>-</v>
      </c>
      <c r="E5838">
        <v>19939805.928600147</v>
      </c>
      <c r="F5838">
        <v>0</v>
      </c>
    </row>
    <row r="5839" spans="2:6" ht="15.75" customHeight="1" x14ac:dyDescent="0.25">
      <c r="B5839" t="str">
        <v>Terminal Finance Pre-Deposits</v>
      </c>
      <c r="C5839" t="str">
        <v>Farm</v>
      </c>
      <c r="D5839" t="str">
        <v>-</v>
      </c>
      <c r="E5839">
        <v>2491527.6786919786</v>
      </c>
      <c r="F5839">
        <v>0</v>
      </c>
    </row>
    <row r="5840" spans="2:6" ht="15.75" customHeight="1" x14ac:dyDescent="0.25">
      <c r="B5840" t="str">
        <v>TermMax</v>
      </c>
      <c r="C5840" t="str">
        <v>Lending</v>
      </c>
      <c r="D5840" t="str">
        <v>-</v>
      </c>
      <c r="E5840">
        <v>21054774.422690719</v>
      </c>
      <c r="F5840">
        <v>0</v>
      </c>
    </row>
    <row r="5841" spans="2:6" ht="15.75" customHeight="1" x14ac:dyDescent="0.25">
      <c r="B5841" t="str">
        <v>Terra Bridge</v>
      </c>
      <c r="C5841" t="str">
        <v>Bridge</v>
      </c>
      <c r="D5841" t="str">
        <v>-</v>
      </c>
      <c r="E5841">
        <v>341.79660098771939</v>
      </c>
      <c r="F5841">
        <v>0</v>
      </c>
    </row>
    <row r="5842" spans="2:6" ht="15.75" customHeight="1" x14ac:dyDescent="0.25">
      <c r="B5842" t="str">
        <v>TerraFloki</v>
      </c>
      <c r="C5842" t="str">
        <v>Dexs</v>
      </c>
      <c r="D5842" t="str">
        <v>TFLOKI</v>
      </c>
      <c r="E5842">
        <v>0</v>
      </c>
      <c r="F5842">
        <v>0</v>
      </c>
    </row>
    <row r="5843" spans="2:6" ht="15.75" customHeight="1" x14ac:dyDescent="0.25">
      <c r="B5843" t="str">
        <v>Terraswap</v>
      </c>
      <c r="C5843" t="str">
        <v>Dexs</v>
      </c>
      <c r="D5843" t="str">
        <v>-</v>
      </c>
      <c r="E5843">
        <v>436342.96476595133</v>
      </c>
      <c r="F5843">
        <v>0</v>
      </c>
    </row>
    <row r="5844" spans="2:6" ht="15.75" customHeight="1" x14ac:dyDescent="0.25">
      <c r="B5844" t="str">
        <v>Tessera V</v>
      </c>
      <c r="C5844" t="str">
        <v>Dexs</v>
      </c>
      <c r="D5844" t="str">
        <v>-</v>
      </c>
      <c r="E5844">
        <v>0</v>
      </c>
      <c r="F5844">
        <v>0</v>
      </c>
    </row>
    <row r="5845" spans="2:6" ht="15.75" customHeight="1" x14ac:dyDescent="0.25">
      <c r="B5845" t="str">
        <v>Tesseract</v>
      </c>
      <c r="C5845" t="str">
        <v>Yield</v>
      </c>
      <c r="D5845" t="str">
        <v>-</v>
      </c>
      <c r="E5845">
        <v>20512.148060604977</v>
      </c>
      <c r="F5845">
        <v>0</v>
      </c>
    </row>
    <row r="5846" spans="2:6" ht="15.75" customHeight="1" x14ac:dyDescent="0.25">
      <c r="B5846" t="str">
        <v>Tesseract World</v>
      </c>
      <c r="C5846" t="str">
        <v>Dexs</v>
      </c>
      <c r="D5846" t="str">
        <v>-</v>
      </c>
      <c r="E5846">
        <v>2.2730402124184312</v>
      </c>
      <c r="F5846">
        <v>0</v>
      </c>
    </row>
    <row r="5847" spans="2:6" ht="15.75" customHeight="1" x14ac:dyDescent="0.25">
      <c r="B5847" t="str">
        <v>Tether</v>
      </c>
      <c r="C5847" t="str">
        <v>Stablecoin Issuer</v>
      </c>
      <c r="D5847" t="str">
        <v>-</v>
      </c>
      <c r="E5847">
        <v>0</v>
      </c>
      <c r="F5847">
        <v>0</v>
      </c>
    </row>
    <row r="5848" spans="2:6" ht="15.75" customHeight="1" x14ac:dyDescent="0.25">
      <c r="B5848" t="str">
        <v>Tether Gold</v>
      </c>
      <c r="C5848" t="str">
        <v>RWA</v>
      </c>
      <c r="D5848" t="str">
        <v>XAUt</v>
      </c>
      <c r="E5848">
        <v>2331282146.5318408</v>
      </c>
      <c r="F5848">
        <v>2327064396.0948491</v>
      </c>
    </row>
    <row r="5849" spans="2:6" ht="15.75" customHeight="1" x14ac:dyDescent="0.25">
      <c r="B5849" t="str">
        <v>Tethys AMM</v>
      </c>
      <c r="C5849" t="str">
        <v>Dexs</v>
      </c>
      <c r="D5849" t="str">
        <v>TETHYS</v>
      </c>
      <c r="E5849">
        <v>220350.90926557855</v>
      </c>
      <c r="F5849">
        <v>0</v>
      </c>
    </row>
    <row r="5850" spans="2:6" ht="15.75" customHeight="1" x14ac:dyDescent="0.25">
      <c r="B5850" t="str">
        <v>Tethys Perpetual</v>
      </c>
      <c r="C5850" t="str">
        <v>Derivatives</v>
      </c>
      <c r="D5850" t="str">
        <v>TETHYS</v>
      </c>
      <c r="E5850">
        <v>67.746208608105945</v>
      </c>
      <c r="F5850">
        <v>0</v>
      </c>
    </row>
    <row r="5851" spans="2:6" ht="15.75" customHeight="1" x14ac:dyDescent="0.25">
      <c r="B5851" t="str">
        <v>Tetu Earn</v>
      </c>
      <c r="C5851" t="str">
        <v>Yield</v>
      </c>
      <c r="D5851" t="str">
        <v>TETU</v>
      </c>
      <c r="E5851">
        <v>1964663.7904228482</v>
      </c>
      <c r="F5851">
        <v>0</v>
      </c>
    </row>
    <row r="5852" spans="2:6" ht="15.75" customHeight="1" x14ac:dyDescent="0.25">
      <c r="B5852" t="str">
        <v>Tetu Pawnshop</v>
      </c>
      <c r="C5852" t="str">
        <v>NFT Lending</v>
      </c>
      <c r="D5852" t="str">
        <v>TETU</v>
      </c>
      <c r="E5852">
        <v>0.32722298325370625</v>
      </c>
      <c r="F5852">
        <v>0</v>
      </c>
    </row>
    <row r="5853" spans="2:6" ht="15.75" customHeight="1" x14ac:dyDescent="0.25">
      <c r="B5853" t="str">
        <v>Tetu Swap</v>
      </c>
      <c r="C5853" t="str">
        <v>Yield</v>
      </c>
      <c r="D5853" t="str">
        <v>TETU</v>
      </c>
      <c r="E5853">
        <v>52711.459472590228</v>
      </c>
      <c r="F5853">
        <v>0</v>
      </c>
    </row>
    <row r="5854" spans="2:6" ht="15.75" customHeight="1" x14ac:dyDescent="0.25">
      <c r="B5854" t="str">
        <v>TezFin</v>
      </c>
      <c r="C5854" t="str">
        <v>Lending</v>
      </c>
      <c r="D5854" t="str">
        <v>-</v>
      </c>
      <c r="E5854">
        <v>29290.380833339237</v>
      </c>
      <c r="F5854">
        <v>0</v>
      </c>
    </row>
    <row r="5855" spans="2:6" ht="15.75" customHeight="1" x14ac:dyDescent="0.25">
      <c r="B5855" t="str">
        <v>TFM</v>
      </c>
      <c r="C5855" t="str">
        <v>Dexs</v>
      </c>
      <c r="D5855" t="str">
        <v>-</v>
      </c>
      <c r="E5855">
        <v>1565.9576742197501</v>
      </c>
      <c r="F5855">
        <v>0</v>
      </c>
    </row>
    <row r="5856" spans="2:6" ht="15.75" customHeight="1" x14ac:dyDescent="0.25">
      <c r="B5856" t="str">
        <v>TG Casino</v>
      </c>
      <c r="C5856" t="str">
        <v>Luck Games</v>
      </c>
      <c r="D5856" t="str">
        <v>TGC</v>
      </c>
      <c r="E5856">
        <v>0</v>
      </c>
      <c r="F5856">
        <v>13265921.070889184</v>
      </c>
    </row>
    <row r="5857" spans="2:6" ht="15.75" customHeight="1" x14ac:dyDescent="0.25">
      <c r="B5857" t="str">
        <v>Thala CDP</v>
      </c>
      <c r="C5857" t="str">
        <v>CDP</v>
      </c>
      <c r="D5857" t="str">
        <v>THL</v>
      </c>
      <c r="E5857">
        <v>4481493.1341492059</v>
      </c>
      <c r="F5857">
        <v>0</v>
      </c>
    </row>
    <row r="5858" spans="2:6" ht="15.75" customHeight="1" x14ac:dyDescent="0.25">
      <c r="B5858" t="str">
        <v>Thala LSD</v>
      </c>
      <c r="C5858" t="str">
        <v>Liquid Staking</v>
      </c>
      <c r="D5858" t="str">
        <v>THL</v>
      </c>
      <c r="E5858">
        <v>23059487.81569007</v>
      </c>
      <c r="F5858">
        <v>0</v>
      </c>
    </row>
    <row r="5859" spans="2:6" ht="15.75" customHeight="1" x14ac:dyDescent="0.25">
      <c r="B5859" t="str">
        <v>Thala veTHL</v>
      </c>
      <c r="C5859" t="str">
        <v>Liquid Staking</v>
      </c>
      <c r="D5859" t="str">
        <v>THL</v>
      </c>
      <c r="E5859">
        <v>0</v>
      </c>
      <c r="F5859">
        <v>0</v>
      </c>
    </row>
    <row r="5860" spans="2:6" ht="15.75" customHeight="1" x14ac:dyDescent="0.25">
      <c r="B5860" t="str">
        <v>ThalaSwap</v>
      </c>
      <c r="C5860" t="str">
        <v>Dexs</v>
      </c>
      <c r="D5860" t="str">
        <v>THL</v>
      </c>
      <c r="E5860">
        <v>7935932.6546700085</v>
      </c>
      <c r="F5860">
        <v>1975675.7546578541</v>
      </c>
    </row>
    <row r="5861" spans="2:6" ht="15.75" customHeight="1" x14ac:dyDescent="0.25">
      <c r="B5861" t="str">
        <v>ThalaSwap V2</v>
      </c>
      <c r="C5861" t="str">
        <v>Dexs</v>
      </c>
      <c r="D5861" t="str">
        <v>THL</v>
      </c>
      <c r="E5861">
        <v>1193258.0890083914</v>
      </c>
      <c r="F5861">
        <v>0</v>
      </c>
    </row>
    <row r="5862" spans="2:6" ht="15.75" customHeight="1" x14ac:dyDescent="0.25">
      <c r="B5862" t="str">
        <v>ThalaSwap V3</v>
      </c>
      <c r="C5862" t="str">
        <v>Dexs</v>
      </c>
      <c r="D5862" t="str">
        <v>THL</v>
      </c>
      <c r="E5862">
        <v>17197.312602213624</v>
      </c>
      <c r="F5862">
        <v>0</v>
      </c>
    </row>
    <row r="5863" spans="2:6" ht="15.75" customHeight="1" x14ac:dyDescent="0.25">
      <c r="B5863" t="str">
        <v>The Don Finance</v>
      </c>
      <c r="C5863" t="str">
        <v>Farm</v>
      </c>
      <c r="D5863" t="str">
        <v>THEDON</v>
      </c>
      <c r="E5863">
        <v>7.1657517753807047</v>
      </c>
      <c r="F5863">
        <v>0</v>
      </c>
    </row>
    <row r="5864" spans="2:6" ht="15.75" customHeight="1" x14ac:dyDescent="0.25">
      <c r="B5864" t="str">
        <v>The Dragon's Lair</v>
      </c>
      <c r="C5864" t="str">
        <v>Yield</v>
      </c>
      <c r="D5864" t="str">
        <v>DREGG</v>
      </c>
      <c r="E5864">
        <v>119.81393368270859</v>
      </c>
      <c r="F5864">
        <v>0</v>
      </c>
    </row>
    <row r="5865" spans="2:6" ht="15.75" customHeight="1" x14ac:dyDescent="0.25">
      <c r="B5865" t="str">
        <v>The Ennead Farm</v>
      </c>
      <c r="C5865" t="str">
        <v>Yield</v>
      </c>
      <c r="D5865" t="str">
        <v>neadRAM</v>
      </c>
      <c r="E5865">
        <v>4966.6411271090192</v>
      </c>
      <c r="F5865">
        <v>0</v>
      </c>
    </row>
    <row r="5866" spans="2:6" ht="15.75" customHeight="1" x14ac:dyDescent="0.25">
      <c r="B5866" t="str">
        <v>The Grand Banks</v>
      </c>
      <c r="C5866" t="str">
        <v>Yield</v>
      </c>
      <c r="D5866" t="str">
        <v>GRAND</v>
      </c>
      <c r="E5866">
        <v>4161.1006540837316</v>
      </c>
      <c r="F5866">
        <v>0</v>
      </c>
    </row>
    <row r="5867" spans="2:6" ht="15.75" customHeight="1" x14ac:dyDescent="0.25">
      <c r="B5867" t="str">
        <v>The Graph</v>
      </c>
      <c r="C5867" t="str">
        <v>Developer Tools</v>
      </c>
      <c r="D5867" t="str">
        <v>GRT</v>
      </c>
      <c r="E5867">
        <v>0</v>
      </c>
      <c r="F5867">
        <v>427311733.80541801</v>
      </c>
    </row>
    <row r="5868" spans="2:6" ht="15.75" customHeight="1" x14ac:dyDescent="0.25">
      <c r="B5868" t="str">
        <v>The Idols</v>
      </c>
      <c r="C5868" t="str">
        <v>Reserve Currency</v>
      </c>
      <c r="D5868" t="str">
        <v>VIRTUE</v>
      </c>
      <c r="E5868">
        <v>8430375.5914767124</v>
      </c>
      <c r="F5868">
        <v>0</v>
      </c>
    </row>
    <row r="5869" spans="2:6" ht="15.75" customHeight="1" x14ac:dyDescent="0.25">
      <c r="B5869" t="str">
        <v>The Llamas</v>
      </c>
      <c r="C5869" t="str">
        <v>Services</v>
      </c>
      <c r="D5869" t="str">
        <v>-</v>
      </c>
      <c r="E5869">
        <v>0</v>
      </c>
      <c r="F5869">
        <v>0</v>
      </c>
    </row>
    <row r="5870" spans="2:6" ht="15.75" customHeight="1" x14ac:dyDescent="0.25">
      <c r="B5870" t="str">
        <v>The Open DAO SOS</v>
      </c>
      <c r="C5870" t="str">
        <v>Services</v>
      </c>
      <c r="D5870" t="str">
        <v>SOS</v>
      </c>
      <c r="E5870">
        <v>0</v>
      </c>
      <c r="F5870">
        <v>47973.6500246289</v>
      </c>
    </row>
    <row r="5871" spans="2:6" ht="15.75" customHeight="1" x14ac:dyDescent="0.25">
      <c r="B5871" t="str">
        <v>The Parallel</v>
      </c>
      <c r="C5871" t="str">
        <v>Gaming</v>
      </c>
      <c r="D5871" t="str">
        <v>PRL</v>
      </c>
      <c r="E5871">
        <v>0</v>
      </c>
      <c r="F5871">
        <v>46041.152277289126</v>
      </c>
    </row>
    <row r="5872" spans="2:6" ht="15.75" customHeight="1" x14ac:dyDescent="0.25">
      <c r="B5872" t="str">
        <v>The Rig</v>
      </c>
      <c r="C5872" t="str">
        <v>Liquid Staking</v>
      </c>
      <c r="D5872" t="str">
        <v>-</v>
      </c>
      <c r="E5872">
        <v>955480.17743041902</v>
      </c>
      <c r="F5872">
        <v>0</v>
      </c>
    </row>
    <row r="5873" spans="2:6" ht="15.75" customHeight="1" x14ac:dyDescent="0.25">
      <c r="B5873" t="str">
        <v>The Sandbox</v>
      </c>
      <c r="C5873" t="str">
        <v>Gaming</v>
      </c>
      <c r="D5873" t="str">
        <v>SAND</v>
      </c>
      <c r="E5873">
        <v>0</v>
      </c>
      <c r="F5873">
        <v>313845816.22437489</v>
      </c>
    </row>
    <row r="5874" spans="2:6" ht="15.75" customHeight="1" x14ac:dyDescent="0.25">
      <c r="B5874" t="str">
        <v>The Seed Farm</v>
      </c>
      <c r="C5874" t="str">
        <v>Yield</v>
      </c>
      <c r="D5874" t="str">
        <v>SEED</v>
      </c>
      <c r="E5874">
        <v>2825.16229926607</v>
      </c>
      <c r="F5874">
        <v>0</v>
      </c>
    </row>
    <row r="5875" spans="2:6" ht="15.75" customHeight="1" x14ac:dyDescent="0.25">
      <c r="B5875" t="str">
        <v>The Standard</v>
      </c>
      <c r="C5875" t="str">
        <v>CDP</v>
      </c>
      <c r="D5875" t="str">
        <v>TST</v>
      </c>
      <c r="E5875">
        <v>15383.389620558441</v>
      </c>
      <c r="F5875">
        <v>18018.322682321752</v>
      </c>
    </row>
    <row r="5876" spans="2:6" ht="15.75" customHeight="1" x14ac:dyDescent="0.25">
      <c r="B5876" t="str">
        <v>The Story of Draco</v>
      </c>
      <c r="C5876" t="str">
        <v>Farm</v>
      </c>
      <c r="D5876" t="str">
        <v>DRACO</v>
      </c>
      <c r="E5876">
        <v>17.744721613273114</v>
      </c>
      <c r="F5876">
        <v>0</v>
      </c>
    </row>
    <row r="5877" spans="2:6" ht="15.75" customHeight="1" x14ac:dyDescent="0.25">
      <c r="B5877" t="str">
        <v>The Tokenized Bitcoin</v>
      </c>
      <c r="C5877" t="str">
        <v>Bridge</v>
      </c>
      <c r="D5877" t="str">
        <v>-</v>
      </c>
      <c r="E5877">
        <v>416147.6551648688</v>
      </c>
      <c r="F5877">
        <v>0</v>
      </c>
    </row>
    <row r="5878" spans="2:6" ht="15.75" customHeight="1" x14ac:dyDescent="0.25">
      <c r="B5878" t="str">
        <v>The Vault Liquid Staking</v>
      </c>
      <c r="C5878" t="str">
        <v>Liquid Staking</v>
      </c>
      <c r="D5878" t="str">
        <v>-</v>
      </c>
      <c r="E5878">
        <v>217055175.53829223</v>
      </c>
      <c r="F5878">
        <v>0</v>
      </c>
    </row>
    <row r="5879" spans="2:6" ht="15.75" customHeight="1" x14ac:dyDescent="0.25">
      <c r="B5879" t="str">
        <v>The Vault Unstake Pool</v>
      </c>
      <c r="C5879" t="str">
        <v>Yield</v>
      </c>
      <c r="D5879" t="str">
        <v>-</v>
      </c>
      <c r="E5879">
        <v>287781.86987535446</v>
      </c>
      <c r="F5879">
        <v>0</v>
      </c>
    </row>
    <row r="5880" spans="2:6" ht="15.75" customHeight="1" x14ac:dyDescent="0.25">
      <c r="B5880" t="str">
        <v>TheDeep</v>
      </c>
      <c r="C5880" t="str">
        <v>Liquidity manager</v>
      </c>
      <c r="D5880" t="str">
        <v>-</v>
      </c>
      <c r="E5880">
        <v>7639790.8028336838</v>
      </c>
      <c r="F5880">
        <v>0</v>
      </c>
    </row>
    <row r="5881" spans="2:6" ht="15.75" customHeight="1" x14ac:dyDescent="0.25">
      <c r="B5881" t="str">
        <v>theGoblins</v>
      </c>
      <c r="C5881" t="str">
        <v>Yield</v>
      </c>
      <c r="D5881" t="str">
        <v>-</v>
      </c>
      <c r="E5881">
        <v>161.09509049792419</v>
      </c>
      <c r="F5881">
        <v>0</v>
      </c>
    </row>
    <row r="5882" spans="2:6" ht="15.75" customHeight="1" x14ac:dyDescent="0.25">
      <c r="B5882" t="str">
        <v>Themis DEX</v>
      </c>
      <c r="C5882" t="str">
        <v>Dexs</v>
      </c>
      <c r="D5882" t="str">
        <v>THS</v>
      </c>
      <c r="E5882">
        <v>113558.4882357968</v>
      </c>
      <c r="F5882">
        <v>0</v>
      </c>
    </row>
    <row r="5883" spans="2:6" ht="15.75" customHeight="1" x14ac:dyDescent="0.25">
      <c r="B5883" t="str">
        <v>Themis Protocol</v>
      </c>
      <c r="C5883" t="str">
        <v>Lending</v>
      </c>
      <c r="D5883" t="str">
        <v>TMS</v>
      </c>
      <c r="E5883">
        <v>2.274302565209382</v>
      </c>
      <c r="F5883">
        <v>0</v>
      </c>
    </row>
    <row r="5884" spans="2:6" ht="15.75" customHeight="1" x14ac:dyDescent="0.25">
      <c r="B5884" t="str">
        <v>Themis Staking</v>
      </c>
      <c r="C5884" t="str">
        <v>Reserve Currency</v>
      </c>
      <c r="D5884" t="str">
        <v>THS</v>
      </c>
      <c r="E5884">
        <v>0</v>
      </c>
      <c r="F5884">
        <v>0</v>
      </c>
    </row>
    <row r="5885" spans="2:6" ht="15.75" customHeight="1" x14ac:dyDescent="0.25">
      <c r="B5885" t="str">
        <v>Themis-lsdFil</v>
      </c>
      <c r="C5885" t="str">
        <v>Liquid Staking</v>
      </c>
      <c r="D5885" t="str">
        <v>-</v>
      </c>
      <c r="E5885">
        <v>301.08034777134014</v>
      </c>
      <c r="F5885">
        <v>0</v>
      </c>
    </row>
    <row r="5886" spans="2:6" ht="15.75" customHeight="1" x14ac:dyDescent="0.25">
      <c r="B5886" t="str">
        <v>THENA FUSION</v>
      </c>
      <c r="C5886" t="str">
        <v>Dexs</v>
      </c>
      <c r="D5886" t="str">
        <v>THE</v>
      </c>
      <c r="E5886">
        <v>1762920.470969046</v>
      </c>
      <c r="F5886">
        <v>0</v>
      </c>
    </row>
    <row r="5887" spans="2:6" ht="15.75" customHeight="1" x14ac:dyDescent="0.25">
      <c r="B5887" t="str">
        <v>THENA INTEGRAL</v>
      </c>
      <c r="C5887" t="str">
        <v>Dexs</v>
      </c>
      <c r="D5887" t="str">
        <v>THE</v>
      </c>
      <c r="E5887">
        <v>5633550.3811324369</v>
      </c>
      <c r="F5887">
        <v>0</v>
      </c>
    </row>
    <row r="5888" spans="2:6" ht="15.75" customHeight="1" x14ac:dyDescent="0.25">
      <c r="B5888" t="str">
        <v>THENA PERPS</v>
      </c>
      <c r="C5888" t="str">
        <v>Derivatives</v>
      </c>
      <c r="D5888" t="str">
        <v>THE</v>
      </c>
      <c r="E5888">
        <v>0</v>
      </c>
      <c r="F5888">
        <v>0</v>
      </c>
    </row>
    <row r="5889" spans="2:6" ht="15.75" customHeight="1" x14ac:dyDescent="0.25">
      <c r="B5889" t="str">
        <v>THENA V1</v>
      </c>
      <c r="C5889" t="str">
        <v>Dexs</v>
      </c>
      <c r="D5889" t="str">
        <v>THE</v>
      </c>
      <c r="E5889">
        <v>4574621.3803865369</v>
      </c>
      <c r="F5889">
        <v>26808874.037494522</v>
      </c>
    </row>
    <row r="5890" spans="2:6" ht="15.75" customHeight="1" x14ac:dyDescent="0.25">
      <c r="B5890" t="str">
        <v>Theo Network thBill</v>
      </c>
      <c r="C5890" t="str">
        <v>RWA</v>
      </c>
      <c r="D5890" t="str">
        <v>-</v>
      </c>
      <c r="E5890">
        <v>121131106.83512869</v>
      </c>
      <c r="F5890">
        <v>0</v>
      </c>
    </row>
    <row r="5891" spans="2:6" ht="15.75" customHeight="1" x14ac:dyDescent="0.25">
      <c r="B5891" t="str">
        <v>Theo Straddle Vaults</v>
      </c>
      <c r="C5891" t="str">
        <v>Basis Trading</v>
      </c>
      <c r="D5891" t="str">
        <v>-</v>
      </c>
      <c r="E5891">
        <v>5948182.6053600591</v>
      </c>
      <c r="F5891">
        <v>0</v>
      </c>
    </row>
    <row r="5892" spans="2:6" ht="15.75" customHeight="1" x14ac:dyDescent="0.25">
      <c r="B5892" t="str">
        <v>Thesauros</v>
      </c>
      <c r="C5892" t="str">
        <v>Yield</v>
      </c>
      <c r="D5892" t="str">
        <v>-</v>
      </c>
      <c r="E5892">
        <v>57056.223320488141</v>
      </c>
      <c r="F5892">
        <v>0</v>
      </c>
    </row>
    <row r="5893" spans="2:6" ht="15.75" customHeight="1" x14ac:dyDescent="0.25">
      <c r="B5893" t="str">
        <v>ThetaCash</v>
      </c>
      <c r="C5893" t="str">
        <v>Synthetics</v>
      </c>
      <c r="D5893" t="str">
        <v>TBILL</v>
      </c>
      <c r="E5893">
        <v>208878.27616979205</v>
      </c>
      <c r="F5893">
        <v>0</v>
      </c>
    </row>
    <row r="5894" spans="2:6" ht="15.75" customHeight="1" x14ac:dyDescent="0.25">
      <c r="B5894" t="str">
        <v>Thetanuts Finance</v>
      </c>
      <c r="C5894" t="str">
        <v>Yield</v>
      </c>
      <c r="D5894" t="str">
        <v>NUTS</v>
      </c>
      <c r="E5894">
        <v>1499683.0870715096</v>
      </c>
      <c r="F5894">
        <v>3671415.3408171101</v>
      </c>
    </row>
    <row r="5895" spans="2:6" ht="15.75" customHeight="1" x14ac:dyDescent="0.25">
      <c r="B5895" t="str">
        <v>ThetaSwap</v>
      </c>
      <c r="C5895" t="str">
        <v>Dexs</v>
      </c>
      <c r="D5895" t="str">
        <v>-</v>
      </c>
      <c r="E5895">
        <v>240095.63508105132</v>
      </c>
      <c r="F5895">
        <v>0</v>
      </c>
    </row>
    <row r="5896" spans="2:6" ht="15.75" customHeight="1" x14ac:dyDescent="0.25">
      <c r="B5896" t="str">
        <v>Thetis Aggregator</v>
      </c>
      <c r="C5896" t="str">
        <v>DEX Aggregator</v>
      </c>
      <c r="D5896" t="str">
        <v>-</v>
      </c>
      <c r="E5896">
        <v>0</v>
      </c>
      <c r="F5896">
        <v>0</v>
      </c>
    </row>
    <row r="5897" spans="2:6" ht="15.75" customHeight="1" x14ac:dyDescent="0.25">
      <c r="B5897" t="str">
        <v>Thetis Perps</v>
      </c>
      <c r="C5897" t="str">
        <v>Derivatives</v>
      </c>
      <c r="D5897" t="str">
        <v>-</v>
      </c>
      <c r="E5897">
        <v>1308.2383504308941</v>
      </c>
      <c r="F5897">
        <v>0</v>
      </c>
    </row>
    <row r="5898" spans="2:6" ht="15.75" customHeight="1" x14ac:dyDescent="0.25">
      <c r="B5898" t="str">
        <v>Thick</v>
      </c>
      <c r="C5898" t="str">
        <v>Dexs</v>
      </c>
      <c r="D5898" t="str">
        <v>ELITE</v>
      </c>
      <c r="E5898">
        <v>32064.79624330888</v>
      </c>
      <c r="F5898">
        <v>0</v>
      </c>
    </row>
    <row r="5899" spans="2:6" ht="15.75" customHeight="1" x14ac:dyDescent="0.25">
      <c r="B5899" t="str">
        <v>Thirdfy</v>
      </c>
      <c r="C5899" t="str">
        <v>Dexs</v>
      </c>
      <c r="D5899" t="str">
        <v>TFY</v>
      </c>
      <c r="E5899">
        <v>542807.12183334841</v>
      </c>
      <c r="F5899">
        <v>0</v>
      </c>
    </row>
    <row r="5900" spans="2:6" ht="15.75" customHeight="1" x14ac:dyDescent="0.25">
      <c r="B5900" t="str">
        <v>Tholgar Rings Auto Voter</v>
      </c>
      <c r="C5900" t="str">
        <v>Yield</v>
      </c>
      <c r="D5900" t="str">
        <v>-</v>
      </c>
      <c r="E5900">
        <v>112904.05219261169</v>
      </c>
      <c r="F5900">
        <v>0</v>
      </c>
    </row>
    <row r="5901" spans="2:6" ht="15.75" customHeight="1" x14ac:dyDescent="0.25">
      <c r="B5901" t="str">
        <v>Tholgar Yield</v>
      </c>
      <c r="C5901" t="str">
        <v>Yield</v>
      </c>
      <c r="D5901" t="str">
        <v>thWAR</v>
      </c>
      <c r="E5901">
        <v>0</v>
      </c>
      <c r="F5901">
        <v>0</v>
      </c>
    </row>
    <row r="5902" spans="2:6" ht="15.75" customHeight="1" x14ac:dyDescent="0.25">
      <c r="B5902" t="str">
        <v>Thor Financial</v>
      </c>
      <c r="C5902" t="str">
        <v>Yield</v>
      </c>
      <c r="D5902" t="str">
        <v>THOR</v>
      </c>
      <c r="E5902">
        <v>0</v>
      </c>
      <c r="F5902">
        <v>0</v>
      </c>
    </row>
    <row r="5903" spans="2:6" ht="15.75" customHeight="1" x14ac:dyDescent="0.25">
      <c r="B5903" t="str">
        <v>Thorchain DEX</v>
      </c>
      <c r="C5903" t="str">
        <v>Dexs</v>
      </c>
      <c r="D5903" t="str">
        <v>RUNE</v>
      </c>
      <c r="E5903">
        <v>89417826.395019442</v>
      </c>
      <c r="F5903">
        <v>204059490.9126302</v>
      </c>
    </row>
    <row r="5904" spans="2:6" ht="15.75" customHeight="1" x14ac:dyDescent="0.25">
      <c r="B5904" t="str">
        <v>Thorchain Lending</v>
      </c>
      <c r="C5904" t="str">
        <v>CDP</v>
      </c>
      <c r="D5904" t="str">
        <v>-</v>
      </c>
      <c r="E5904">
        <v>0</v>
      </c>
      <c r="F5904">
        <v>0</v>
      </c>
    </row>
    <row r="5905" spans="2:6" ht="15.75" customHeight="1" x14ac:dyDescent="0.25">
      <c r="B5905" t="str">
        <v>Thoreum Finance</v>
      </c>
      <c r="C5905" t="str">
        <v>Yield</v>
      </c>
      <c r="D5905" t="str">
        <v>THOREUM</v>
      </c>
      <c r="E5905">
        <v>48538.491194867791</v>
      </c>
      <c r="F5905">
        <v>788111.04702731117</v>
      </c>
    </row>
    <row r="5906" spans="2:6" ht="15.75" customHeight="1" x14ac:dyDescent="0.25">
      <c r="B5906" t="str">
        <v>Thorn Protocol</v>
      </c>
      <c r="C5906" t="str">
        <v>Dexs</v>
      </c>
      <c r="D5906" t="str">
        <v>-</v>
      </c>
      <c r="E5906">
        <v>95813.899944955498</v>
      </c>
      <c r="F5906">
        <v>0</v>
      </c>
    </row>
    <row r="5907" spans="2:6" ht="15.75" customHeight="1" x14ac:dyDescent="0.25">
      <c r="B5907" t="str">
        <v>Thorstarter</v>
      </c>
      <c r="C5907" t="str">
        <v>Launchpad</v>
      </c>
      <c r="D5907" t="str">
        <v>XRUNE</v>
      </c>
      <c r="E5907">
        <v>0</v>
      </c>
      <c r="F5907">
        <v>114124.27798702316</v>
      </c>
    </row>
    <row r="5908" spans="2:6" ht="15.75" customHeight="1" x14ac:dyDescent="0.25">
      <c r="B5908" t="str">
        <v>THORSwap</v>
      </c>
      <c r="C5908" t="str">
        <v>DEX Aggregator</v>
      </c>
      <c r="D5908" t="str">
        <v>THOR</v>
      </c>
      <c r="E5908">
        <v>0</v>
      </c>
      <c r="F5908">
        <v>11449596.094201041</v>
      </c>
    </row>
    <row r="5909" spans="2:6" ht="15.75" customHeight="1" x14ac:dyDescent="0.25">
      <c r="B5909" t="str">
        <v>ThorusFi</v>
      </c>
      <c r="C5909" t="str">
        <v>Dexs</v>
      </c>
      <c r="D5909" t="str">
        <v>THO</v>
      </c>
      <c r="E5909">
        <v>13753.660332111571</v>
      </c>
      <c r="F5909">
        <v>0</v>
      </c>
    </row>
    <row r="5910" spans="2:6" ht="15.75" customHeight="1" x14ac:dyDescent="0.25">
      <c r="B5910" t="str">
        <v>THORWallet DEX</v>
      </c>
      <c r="C5910" t="str">
        <v>Cross Chain Bridge</v>
      </c>
      <c r="D5910" t="str">
        <v>TGT</v>
      </c>
      <c r="E5910">
        <v>0</v>
      </c>
      <c r="F5910">
        <v>14235805.677891182</v>
      </c>
    </row>
    <row r="5911" spans="2:6" ht="15.75" customHeight="1" x14ac:dyDescent="0.25">
      <c r="B5911" t="str">
        <v>Threshold thUSD</v>
      </c>
      <c r="C5911" t="str">
        <v>CDP</v>
      </c>
      <c r="D5911" t="str">
        <v>T</v>
      </c>
      <c r="E5911">
        <v>2754035.4360201401</v>
      </c>
      <c r="F5911">
        <v>0</v>
      </c>
    </row>
    <row r="5912" spans="2:6" ht="15.75" customHeight="1" x14ac:dyDescent="0.25">
      <c r="B5912" t="str">
        <v>Thrive On Mars</v>
      </c>
      <c r="C5912" t="str">
        <v>Gaming</v>
      </c>
      <c r="D5912" t="str">
        <v>-</v>
      </c>
      <c r="E5912">
        <v>91.201060857293882</v>
      </c>
      <c r="F5912">
        <v>0</v>
      </c>
    </row>
    <row r="5913" spans="2:6" ht="15.75" customHeight="1" x14ac:dyDescent="0.25">
      <c r="B5913" t="str">
        <v>Throne V2</v>
      </c>
      <c r="C5913" t="str">
        <v>Dexs</v>
      </c>
      <c r="D5913" t="str">
        <v>OATH</v>
      </c>
      <c r="E5913">
        <v>196.62668257163091</v>
      </c>
      <c r="F5913">
        <v>0</v>
      </c>
    </row>
    <row r="5914" spans="2:6" ht="15.75" customHeight="1" x14ac:dyDescent="0.25">
      <c r="B5914" t="str">
        <v>Throne V3</v>
      </c>
      <c r="C5914" t="str">
        <v>Dexs</v>
      </c>
      <c r="D5914" t="str">
        <v>OATH</v>
      </c>
      <c r="E5914">
        <v>49593.115482869718</v>
      </c>
      <c r="F5914">
        <v>0</v>
      </c>
    </row>
    <row r="5915" spans="2:6" ht="15.75" customHeight="1" x14ac:dyDescent="0.25">
      <c r="B5915" t="str">
        <v>Thruster V2</v>
      </c>
      <c r="C5915" t="str">
        <v>Dexs</v>
      </c>
      <c r="D5915" t="str">
        <v>-</v>
      </c>
      <c r="E5915">
        <v>3102316.804589957</v>
      </c>
      <c r="F5915">
        <v>0</v>
      </c>
    </row>
    <row r="5916" spans="2:6" ht="15.75" customHeight="1" x14ac:dyDescent="0.25">
      <c r="B5916" t="str">
        <v>Thruster V3</v>
      </c>
      <c r="C5916" t="str">
        <v>Dexs</v>
      </c>
      <c r="D5916" t="str">
        <v>-</v>
      </c>
      <c r="E5916">
        <v>9130232.9757293891</v>
      </c>
      <c r="F5916">
        <v>0</v>
      </c>
    </row>
    <row r="5917" spans="2:6" ht="15.75" customHeight="1" x14ac:dyDescent="0.25">
      <c r="B5917" t="str">
        <v>ThunderCore Staking</v>
      </c>
      <c r="C5917" t="str">
        <v>Staking Pool</v>
      </c>
      <c r="D5917" t="str">
        <v>TT</v>
      </c>
      <c r="E5917">
        <v>796271.91845964664</v>
      </c>
      <c r="F5917">
        <v>16734466.611779878</v>
      </c>
    </row>
    <row r="5918" spans="2:6" ht="15.75" customHeight="1" x14ac:dyDescent="0.25">
      <c r="B5918" t="str">
        <v>ThunderPOKT</v>
      </c>
      <c r="C5918" t="str">
        <v>Liquid Staking</v>
      </c>
      <c r="D5918" t="str">
        <v>-</v>
      </c>
      <c r="E5918">
        <v>25186.292377608894</v>
      </c>
      <c r="F5918">
        <v>0</v>
      </c>
    </row>
    <row r="5919" spans="2:6" ht="15.75" customHeight="1" x14ac:dyDescent="0.25">
      <c r="B5919" t="str">
        <v>Tidal Finance</v>
      </c>
      <c r="C5919" t="str">
        <v>Insurance</v>
      </c>
      <c r="D5919" t="str">
        <v>TIDAL</v>
      </c>
      <c r="E5919">
        <v>24738.043572032042</v>
      </c>
      <c r="F5919">
        <v>59731.24197920593</v>
      </c>
    </row>
    <row r="5920" spans="2:6" ht="15.75" customHeight="1" x14ac:dyDescent="0.25">
      <c r="B5920" t="str">
        <v>TidalDex</v>
      </c>
      <c r="C5920" t="str">
        <v>Dexs</v>
      </c>
      <c r="D5920" t="str">
        <v>CZB</v>
      </c>
      <c r="E5920">
        <v>245184.76605119635</v>
      </c>
      <c r="F5920">
        <v>0</v>
      </c>
    </row>
    <row r="5921" spans="2:6" ht="15.75" customHeight="1" x14ac:dyDescent="0.25">
      <c r="B5921" t="str">
        <v>TiFi</v>
      </c>
      <c r="C5921" t="str">
        <v>Dexs</v>
      </c>
      <c r="D5921" t="str">
        <v>TIFI</v>
      </c>
      <c r="E5921">
        <v>10427.200263891304</v>
      </c>
      <c r="F5921">
        <v>138388.33034386171</v>
      </c>
    </row>
    <row r="5922" spans="2:6" ht="15.75" customHeight="1" x14ac:dyDescent="0.25">
      <c r="B5922" t="str">
        <v>Tigris</v>
      </c>
      <c r="C5922" t="str">
        <v>Derivatives</v>
      </c>
      <c r="D5922" t="str">
        <v>TIG</v>
      </c>
      <c r="E5922">
        <v>9414.657244078724</v>
      </c>
      <c r="F5922">
        <v>0</v>
      </c>
    </row>
    <row r="5923" spans="2:6" ht="15.75" customHeight="1" x14ac:dyDescent="0.25">
      <c r="B5923" t="str">
        <v>Tigris Mezo</v>
      </c>
      <c r="C5923" t="str">
        <v>Dexs</v>
      </c>
      <c r="D5923" t="str">
        <v>-</v>
      </c>
      <c r="E5923">
        <v>3654728.1349814469</v>
      </c>
      <c r="F5923">
        <v>0</v>
      </c>
    </row>
    <row r="5924" spans="2:6" ht="15.75" customHeight="1" x14ac:dyDescent="0.25">
      <c r="B5924" t="str">
        <v>time.fun</v>
      </c>
      <c r="C5924" t="str">
        <v>SoFi</v>
      </c>
      <c r="D5924" t="str">
        <v>-</v>
      </c>
      <c r="E5924">
        <v>56828.171990787996</v>
      </c>
      <c r="F5924">
        <v>0</v>
      </c>
    </row>
    <row r="5925" spans="2:6" ht="15.75" customHeight="1" x14ac:dyDescent="0.25">
      <c r="B5925" t="str">
        <v>Timeless Finance</v>
      </c>
      <c r="C5925" t="str">
        <v>Yield</v>
      </c>
      <c r="D5925" t="str">
        <v>LIT</v>
      </c>
      <c r="E5925">
        <v>24959.321618956805</v>
      </c>
      <c r="F5925">
        <v>993093.67840999621</v>
      </c>
    </row>
    <row r="5926" spans="2:6" ht="15.75" customHeight="1" x14ac:dyDescent="0.25">
      <c r="B5926" t="str">
        <v>Timeswap V1</v>
      </c>
      <c r="C5926" t="str">
        <v>Lending</v>
      </c>
      <c r="D5926" t="str">
        <v>TIME</v>
      </c>
      <c r="E5926">
        <v>44466.412368813522</v>
      </c>
      <c r="F5926">
        <v>0</v>
      </c>
    </row>
    <row r="5927" spans="2:6" ht="15.75" customHeight="1" x14ac:dyDescent="0.25">
      <c r="B5927" t="str">
        <v>Timeswap V2</v>
      </c>
      <c r="C5927" t="str">
        <v>Lending</v>
      </c>
      <c r="D5927" t="str">
        <v>TIME</v>
      </c>
      <c r="E5927">
        <v>377266.99296221457</v>
      </c>
      <c r="F5927">
        <v>0</v>
      </c>
    </row>
    <row r="5928" spans="2:6" ht="15.75" customHeight="1" x14ac:dyDescent="0.25">
      <c r="B5928" t="str">
        <v>Timewarp</v>
      </c>
      <c r="C5928" t="str">
        <v>Yield</v>
      </c>
      <c r="D5928" t="str">
        <v>TIME</v>
      </c>
      <c r="E5928">
        <v>0</v>
      </c>
      <c r="F5928">
        <v>2991290.0640676604</v>
      </c>
    </row>
    <row r="5929" spans="2:6" ht="15.75" customHeight="1" x14ac:dyDescent="0.25">
      <c r="B5929" t="str">
        <v>Tinlake</v>
      </c>
      <c r="C5929" t="str">
        <v>RWA Lending</v>
      </c>
      <c r="D5929" t="str">
        <v>CFG</v>
      </c>
      <c r="E5929">
        <v>61212.778962301287</v>
      </c>
      <c r="F5929">
        <v>0</v>
      </c>
    </row>
    <row r="5930" spans="2:6" ht="15.75" customHeight="1" x14ac:dyDescent="0.25">
      <c r="B5930" t="str">
        <v>Tinyman</v>
      </c>
      <c r="C5930" t="str">
        <v>Dexs</v>
      </c>
      <c r="D5930" t="str">
        <v>TINY</v>
      </c>
      <c r="E5930">
        <v>8087017.9376982134</v>
      </c>
      <c r="F5930">
        <v>0</v>
      </c>
    </row>
    <row r="5931" spans="2:6" ht="15.75" customHeight="1" x14ac:dyDescent="0.25">
      <c r="B5931" t="str">
        <v>TiPiDao</v>
      </c>
      <c r="C5931" t="str">
        <v>Reserve Currency</v>
      </c>
      <c r="D5931" t="str">
        <v>TPD</v>
      </c>
      <c r="E5931">
        <v>0</v>
      </c>
      <c r="F5931">
        <v>0</v>
      </c>
    </row>
    <row r="5932" spans="2:6" ht="15.75" customHeight="1" x14ac:dyDescent="0.25">
      <c r="B5932" t="str">
        <v>Titan Aggregator</v>
      </c>
      <c r="C5932" t="str">
        <v>DEX Aggregator</v>
      </c>
      <c r="D5932" t="str">
        <v>-</v>
      </c>
      <c r="E5932">
        <v>22916.027187303764</v>
      </c>
      <c r="F5932">
        <v>0</v>
      </c>
    </row>
    <row r="5933" spans="2:6" ht="15.75" customHeight="1" x14ac:dyDescent="0.25">
      <c r="B5933" t="str">
        <v>Titan Dex</v>
      </c>
      <c r="C5933" t="str">
        <v>Dexs</v>
      </c>
      <c r="D5933" t="str">
        <v>-</v>
      </c>
      <c r="E5933">
        <v>19732.933087923491</v>
      </c>
      <c r="F5933">
        <v>0</v>
      </c>
    </row>
    <row r="5934" spans="2:6" ht="15.75" customHeight="1" x14ac:dyDescent="0.25">
      <c r="B5934" t="str">
        <v>Titan Exchange</v>
      </c>
      <c r="C5934" t="str">
        <v>DEX Aggregator</v>
      </c>
      <c r="D5934" t="str">
        <v>-</v>
      </c>
      <c r="E5934">
        <v>0</v>
      </c>
      <c r="F5934">
        <v>0</v>
      </c>
    </row>
    <row r="5935" spans="2:6" ht="15.75" customHeight="1" x14ac:dyDescent="0.25">
      <c r="B5935" t="str">
        <v>Titano Swych</v>
      </c>
      <c r="C5935" t="str">
        <v>Dexs</v>
      </c>
      <c r="D5935" t="str">
        <v>TITANO</v>
      </c>
      <c r="E5935">
        <v>725291.48966310406</v>
      </c>
      <c r="F5935">
        <v>0</v>
      </c>
    </row>
    <row r="5936" spans="2:6" ht="15.75" customHeight="1" x14ac:dyDescent="0.25">
      <c r="B5936" t="str">
        <v>TiTi Protocol</v>
      </c>
      <c r="C5936" t="str">
        <v>Algo-Stables</v>
      </c>
      <c r="D5936" t="str">
        <v>TITI</v>
      </c>
      <c r="E5936">
        <v>25846.843423117727</v>
      </c>
      <c r="F5936">
        <v>0</v>
      </c>
    </row>
    <row r="5937" spans="2:6" ht="15.75" customHeight="1" x14ac:dyDescent="0.25">
      <c r="B5937" t="str">
        <v>Tivel Finance</v>
      </c>
      <c r="C5937" t="str">
        <v>Options Vault</v>
      </c>
      <c r="D5937" t="str">
        <v>-</v>
      </c>
      <c r="E5937">
        <v>0.71258485904847635</v>
      </c>
      <c r="F5937">
        <v>0</v>
      </c>
    </row>
    <row r="5938" spans="2:6" ht="15.75" customHeight="1" x14ac:dyDescent="0.25">
      <c r="B5938" t="str">
        <v>Tkoswap</v>
      </c>
      <c r="C5938" t="str">
        <v>Dexs</v>
      </c>
      <c r="D5938" t="str">
        <v>-</v>
      </c>
      <c r="E5938">
        <v>23286.561376830578</v>
      </c>
      <c r="F5938">
        <v>0</v>
      </c>
    </row>
    <row r="5939" spans="2:6" ht="15.75" customHeight="1" x14ac:dyDescent="0.25">
      <c r="B5939" t="str">
        <v>TLX Finance</v>
      </c>
      <c r="C5939" t="str">
        <v>Derivatives</v>
      </c>
      <c r="D5939" t="str">
        <v>TLX</v>
      </c>
      <c r="E5939">
        <v>0</v>
      </c>
      <c r="F5939">
        <v>1775783.7886571852</v>
      </c>
    </row>
    <row r="5940" spans="2:6" ht="15.75" customHeight="1" x14ac:dyDescent="0.25">
      <c r="B5940" t="str">
        <v>TNA Protocol</v>
      </c>
      <c r="C5940" t="str">
        <v>Domains</v>
      </c>
      <c r="D5940" t="str">
        <v>BN</v>
      </c>
      <c r="E5940">
        <v>0</v>
      </c>
      <c r="F5940">
        <v>0</v>
      </c>
    </row>
    <row r="5941" spans="2:6" ht="15.75" customHeight="1" x14ac:dyDescent="0.25">
      <c r="B5941" t="str">
        <v>Tokan Exchange</v>
      </c>
      <c r="C5941" t="str">
        <v>Dexs</v>
      </c>
      <c r="D5941" t="str">
        <v>TKN</v>
      </c>
      <c r="E5941">
        <v>18619.836578621285</v>
      </c>
      <c r="F5941">
        <v>0</v>
      </c>
    </row>
    <row r="5942" spans="2:6" ht="15.75" customHeight="1" x14ac:dyDescent="0.25">
      <c r="B5942" t="str">
        <v>Token Mill</v>
      </c>
      <c r="C5942" t="str">
        <v>Launchpad</v>
      </c>
      <c r="D5942" t="str">
        <v>-</v>
      </c>
      <c r="E5942">
        <v>112515.9466894004</v>
      </c>
      <c r="F5942">
        <v>0</v>
      </c>
    </row>
    <row r="5943" spans="2:6" ht="15.75" customHeight="1" x14ac:dyDescent="0.25">
      <c r="B5943" t="str">
        <v>TokenFi</v>
      </c>
      <c r="C5943" t="str">
        <v>Farm</v>
      </c>
      <c r="D5943" t="str">
        <v>TOKEN</v>
      </c>
      <c r="E5943">
        <v>0</v>
      </c>
      <c r="F5943">
        <v>17125875.282968361</v>
      </c>
    </row>
    <row r="5944" spans="2:6" ht="15.75" customHeight="1" x14ac:dyDescent="0.25">
      <c r="B5944" t="str">
        <v>Tokeniza</v>
      </c>
      <c r="C5944" t="str">
        <v>RWA</v>
      </c>
      <c r="D5944" t="str">
        <v>-</v>
      </c>
      <c r="E5944">
        <v>17947.436139985868</v>
      </c>
      <c r="F5944">
        <v>0</v>
      </c>
    </row>
    <row r="5945" spans="2:6" ht="15.75" customHeight="1" x14ac:dyDescent="0.25">
      <c r="B5945" t="str">
        <v>Tokenlon Agg</v>
      </c>
      <c r="C5945" t="str">
        <v>DEX Aggregator</v>
      </c>
      <c r="D5945" t="str">
        <v>LON</v>
      </c>
      <c r="E5945">
        <v>0</v>
      </c>
      <c r="F5945">
        <v>0</v>
      </c>
    </row>
    <row r="5946" spans="2:6" ht="15.75" customHeight="1" x14ac:dyDescent="0.25">
      <c r="B5946" t="str">
        <v>Tokenlon AMM</v>
      </c>
      <c r="C5946" t="str">
        <v>Dexs</v>
      </c>
      <c r="D5946" t="str">
        <v>LON</v>
      </c>
      <c r="E5946">
        <v>1226968.5703416662</v>
      </c>
      <c r="F5946">
        <v>0</v>
      </c>
    </row>
    <row r="5947" spans="2:6" ht="15.75" customHeight="1" x14ac:dyDescent="0.25">
      <c r="B5947" t="str">
        <v>TokenPocket</v>
      </c>
      <c r="C5947" t="str">
        <v>Staking Pool</v>
      </c>
      <c r="D5947" t="str">
        <v>TPT</v>
      </c>
      <c r="E5947">
        <v>309873.01065369911</v>
      </c>
      <c r="F5947">
        <v>34100919.667129613</v>
      </c>
    </row>
    <row r="5948" spans="2:6" ht="15.75" customHeight="1" x14ac:dyDescent="0.25">
      <c r="B5948" t="str">
        <v>TokensFarm</v>
      </c>
      <c r="C5948" t="str">
        <v>Yield</v>
      </c>
      <c r="D5948" t="str">
        <v>-</v>
      </c>
      <c r="E5948">
        <v>0</v>
      </c>
      <c r="F5948">
        <v>0</v>
      </c>
    </row>
    <row r="5949" spans="2:6" ht="15.75" customHeight="1" x14ac:dyDescent="0.25">
      <c r="B5949" t="str">
        <v>TokenStore</v>
      </c>
      <c r="C5949" t="str">
        <v>Dexs</v>
      </c>
      <c r="D5949" t="str">
        <v>-</v>
      </c>
      <c r="E5949">
        <v>1970904.5920767114</v>
      </c>
      <c r="F5949">
        <v>0</v>
      </c>
    </row>
    <row r="5950" spans="2:6" ht="15.75" customHeight="1" x14ac:dyDescent="0.25">
      <c r="B5950" t="str">
        <v>TokenWorks</v>
      </c>
      <c r="C5950" t="str">
        <v>NFT Automated Strategies</v>
      </c>
      <c r="D5950" t="str">
        <v>-</v>
      </c>
      <c r="E5950">
        <v>3709719.9594252445</v>
      </c>
      <c r="F5950">
        <v>0</v>
      </c>
    </row>
    <row r="5951" spans="2:6" ht="15.75" customHeight="1" x14ac:dyDescent="0.25">
      <c r="B5951" t="str">
        <v>Tokos</v>
      </c>
      <c r="C5951" t="str">
        <v>Lending</v>
      </c>
      <c r="D5951" t="str">
        <v>-</v>
      </c>
      <c r="E5951">
        <v>731208.18624853808</v>
      </c>
      <c r="F5951">
        <v>0</v>
      </c>
    </row>
    <row r="5952" spans="2:6" ht="15.75" customHeight="1" x14ac:dyDescent="0.25">
      <c r="B5952" t="str">
        <v>Tomb</v>
      </c>
      <c r="C5952" t="str">
        <v>Algo-Stables</v>
      </c>
      <c r="D5952" t="str">
        <v>TOMB</v>
      </c>
      <c r="E5952">
        <v>8.4719999999999999E-4</v>
      </c>
      <c r="F5952">
        <v>0</v>
      </c>
    </row>
    <row r="5953" spans="2:6" ht="15.75" customHeight="1" x14ac:dyDescent="0.25">
      <c r="B5953" t="str">
        <v>Tomb Swap</v>
      </c>
      <c r="C5953" t="str">
        <v>Dexs</v>
      </c>
      <c r="D5953" t="str">
        <v>TOMB</v>
      </c>
      <c r="E5953">
        <v>105413.19717253407</v>
      </c>
      <c r="F5953">
        <v>0</v>
      </c>
    </row>
    <row r="5954" spans="2:6" ht="15.75" customHeight="1" x14ac:dyDescent="0.25">
      <c r="B5954" t="str">
        <v>Tomo</v>
      </c>
      <c r="C5954" t="str">
        <v>SoFi</v>
      </c>
      <c r="D5954" t="str">
        <v>-</v>
      </c>
      <c r="E5954">
        <v>501849.8208461671</v>
      </c>
      <c r="F5954">
        <v>0</v>
      </c>
    </row>
    <row r="5955" spans="2:6" ht="15.75" customHeight="1" x14ac:dyDescent="0.25">
      <c r="B5955" t="str">
        <v>TomoFinance</v>
      </c>
      <c r="C5955" t="str">
        <v>CDP</v>
      </c>
      <c r="D5955" t="str">
        <v>TFI</v>
      </c>
      <c r="E5955">
        <v>0</v>
      </c>
      <c r="F5955">
        <v>0</v>
      </c>
    </row>
    <row r="5956" spans="2:6" ht="15.75" customHeight="1" x14ac:dyDescent="0.25">
      <c r="B5956" t="str">
        <v>TON Diamonds</v>
      </c>
      <c r="C5956" t="str">
        <v>DEX Aggregator</v>
      </c>
      <c r="D5956" t="str">
        <v>GLINT</v>
      </c>
      <c r="E5956">
        <v>0</v>
      </c>
      <c r="F5956">
        <v>0</v>
      </c>
    </row>
    <row r="5957" spans="2:6" ht="15.75" customHeight="1" x14ac:dyDescent="0.25">
      <c r="B5957" t="str">
        <v>TON Hedge</v>
      </c>
      <c r="C5957" t="str">
        <v>Options</v>
      </c>
      <c r="D5957" t="str">
        <v>-</v>
      </c>
      <c r="E5957">
        <v>25185.72875045125</v>
      </c>
      <c r="F5957">
        <v>0</v>
      </c>
    </row>
    <row r="5958" spans="2:6" ht="15.75" customHeight="1" x14ac:dyDescent="0.25">
      <c r="B5958" t="str">
        <v>TON Pump</v>
      </c>
      <c r="C5958" t="str">
        <v>Telegram Bot</v>
      </c>
      <c r="D5958" t="str">
        <v>-</v>
      </c>
      <c r="E5958">
        <v>2658.5517340920878</v>
      </c>
      <c r="F5958">
        <v>0</v>
      </c>
    </row>
    <row r="5959" spans="2:6" ht="15.75" customHeight="1" x14ac:dyDescent="0.25">
      <c r="B5959" t="str">
        <v>TONCO</v>
      </c>
      <c r="C5959" t="str">
        <v>Dexs</v>
      </c>
      <c r="D5959" t="str">
        <v>-</v>
      </c>
      <c r="E5959">
        <v>197054.22910487658</v>
      </c>
      <c r="F5959">
        <v>0</v>
      </c>
    </row>
    <row r="5960" spans="2:6" ht="15.75" customHeight="1" x14ac:dyDescent="0.25">
      <c r="B5960" t="str">
        <v>Tonic</v>
      </c>
      <c r="C5960" t="str">
        <v>Dexs</v>
      </c>
      <c r="D5960" t="str">
        <v>-</v>
      </c>
      <c r="E5960">
        <v>23944.284143179757</v>
      </c>
      <c r="F5960">
        <v>0</v>
      </c>
    </row>
    <row r="5961" spans="2:6" ht="15.75" customHeight="1" x14ac:dyDescent="0.25">
      <c r="B5961" t="str">
        <v>Tonic Cash</v>
      </c>
      <c r="C5961" t="str">
        <v>Privacy</v>
      </c>
      <c r="D5961" t="str">
        <v>-</v>
      </c>
      <c r="E5961">
        <v>1340.2553823009205</v>
      </c>
      <c r="F5961">
        <v>0</v>
      </c>
    </row>
    <row r="5962" spans="2:6" ht="15.75" customHeight="1" x14ac:dyDescent="0.25">
      <c r="B5962" t="str">
        <v>Tonnel Network</v>
      </c>
      <c r="C5962" t="str">
        <v>Privacy</v>
      </c>
      <c r="D5962" t="str">
        <v>TONNEL</v>
      </c>
      <c r="E5962">
        <v>11184.169890001853</v>
      </c>
      <c r="F5962">
        <v>0</v>
      </c>
    </row>
    <row r="5963" spans="2:6" ht="15.75" customHeight="1" x14ac:dyDescent="0.25">
      <c r="B5963" t="str">
        <v>TonPools</v>
      </c>
      <c r="C5963" t="str">
        <v>Staking Pool</v>
      </c>
      <c r="D5963" t="str">
        <v>-</v>
      </c>
      <c r="E5963">
        <v>15876.167234908542</v>
      </c>
      <c r="F5963">
        <v>0</v>
      </c>
    </row>
    <row r="5964" spans="2:6" ht="15.75" customHeight="1" x14ac:dyDescent="0.25">
      <c r="B5964" t="str">
        <v>Tonpound</v>
      </c>
      <c r="C5964" t="str">
        <v>Lending</v>
      </c>
      <c r="D5964" t="str">
        <v>TPI</v>
      </c>
      <c r="E5964">
        <v>26907.718161432658</v>
      </c>
      <c r="F5964">
        <v>0</v>
      </c>
    </row>
    <row r="5965" spans="2:6" ht="15.75" customHeight="1" x14ac:dyDescent="0.25">
      <c r="B5965" t="str">
        <v>TonsOfFriends</v>
      </c>
      <c r="C5965" t="str">
        <v>SoFi</v>
      </c>
      <c r="D5965" t="str">
        <v>-</v>
      </c>
      <c r="E5965">
        <v>661.76735349583373</v>
      </c>
      <c r="F5965">
        <v>0</v>
      </c>
    </row>
    <row r="5966" spans="2:6" ht="15.75" customHeight="1" x14ac:dyDescent="0.25">
      <c r="B5966" t="str">
        <v>TonStable</v>
      </c>
      <c r="C5966" t="str">
        <v>CDP</v>
      </c>
      <c r="D5966" t="str">
        <v>-</v>
      </c>
      <c r="E5966">
        <v>2187.6991357740135</v>
      </c>
      <c r="F5966">
        <v>0</v>
      </c>
    </row>
    <row r="5967" spans="2:6" ht="15.75" customHeight="1" x14ac:dyDescent="0.25">
      <c r="B5967" t="str">
        <v>Tonstakers LSD</v>
      </c>
      <c r="C5967" t="str">
        <v>Liquid Staking</v>
      </c>
      <c r="D5967" t="str">
        <v>-</v>
      </c>
      <c r="E5967">
        <v>86617390.576969311</v>
      </c>
      <c r="F5967">
        <v>0</v>
      </c>
    </row>
    <row r="5968" spans="2:6" ht="15.75" customHeight="1" x14ac:dyDescent="0.25">
      <c r="B5968" t="str">
        <v>Tonstakers Token Staking</v>
      </c>
      <c r="C5968" t="str">
        <v>Farm</v>
      </c>
      <c r="D5968" t="str">
        <v>-</v>
      </c>
      <c r="E5968">
        <v>0</v>
      </c>
      <c r="F5968">
        <v>0</v>
      </c>
    </row>
    <row r="5969" spans="2:6" ht="15.75" customHeight="1" x14ac:dyDescent="0.25">
      <c r="B5969" t="str">
        <v>Tonyielding</v>
      </c>
      <c r="C5969" t="str">
        <v>Yield</v>
      </c>
      <c r="D5969" t="str">
        <v>-</v>
      </c>
      <c r="E5969">
        <v>100.57962432318695</v>
      </c>
      <c r="F5969">
        <v>0</v>
      </c>
    </row>
    <row r="5970" spans="2:6" ht="15.75" customHeight="1" x14ac:dyDescent="0.25">
      <c r="B5970" t="str">
        <v>TopCut Finance</v>
      </c>
      <c r="C5970" t="str">
        <v>Prediction Market</v>
      </c>
      <c r="D5970" t="str">
        <v>-</v>
      </c>
      <c r="E5970">
        <v>112.10737719266933</v>
      </c>
      <c r="F5970">
        <v>0</v>
      </c>
    </row>
    <row r="5971" spans="2:6" ht="15.75" customHeight="1" x14ac:dyDescent="0.25">
      <c r="B5971" t="str">
        <v>TopShelf</v>
      </c>
      <c r="C5971" t="str">
        <v>CDP</v>
      </c>
      <c r="D5971" t="str">
        <v>LIQR</v>
      </c>
      <c r="E5971">
        <v>34415.091311396121</v>
      </c>
      <c r="F5971">
        <v>0</v>
      </c>
    </row>
    <row r="5972" spans="2:6" ht="15.75" customHeight="1" x14ac:dyDescent="0.25">
      <c r="B5972" t="str">
        <v>Torch Dexs</v>
      </c>
      <c r="C5972" t="str">
        <v>Dexs</v>
      </c>
      <c r="D5972" t="str">
        <v>-</v>
      </c>
      <c r="E5972">
        <v>524421.67951046512</v>
      </c>
      <c r="F5972">
        <v>0</v>
      </c>
    </row>
    <row r="5973" spans="2:6" ht="15.75" customHeight="1" x14ac:dyDescent="0.25">
      <c r="B5973" t="str">
        <v>Torches</v>
      </c>
      <c r="C5973" t="str">
        <v>Lending</v>
      </c>
      <c r="D5973" t="str">
        <v>-</v>
      </c>
      <c r="E5973">
        <v>26309.999194079308</v>
      </c>
      <c r="F5973">
        <v>0</v>
      </c>
    </row>
    <row r="5974" spans="2:6" ht="15.75" customHeight="1" x14ac:dyDescent="0.25">
      <c r="B5974" t="str">
        <v>Toreus</v>
      </c>
      <c r="C5974" t="str">
        <v>Lending</v>
      </c>
      <c r="D5974" t="str">
        <v>TORE</v>
      </c>
      <c r="E5974">
        <v>1.106220609E-15</v>
      </c>
      <c r="F5974">
        <v>0</v>
      </c>
    </row>
    <row r="5975" spans="2:6" ht="15.75" customHeight="1" x14ac:dyDescent="0.25">
      <c r="B5975" t="str">
        <v>Tornadao</v>
      </c>
      <c r="C5975" t="str">
        <v>Reserve Currency</v>
      </c>
      <c r="D5975" t="str">
        <v>NADO</v>
      </c>
      <c r="E5975">
        <v>10.286289363410289</v>
      </c>
      <c r="F5975">
        <v>0</v>
      </c>
    </row>
    <row r="5976" spans="2:6" ht="15.75" customHeight="1" x14ac:dyDescent="0.25">
      <c r="B5976" t="str">
        <v>Tornado Cash</v>
      </c>
      <c r="C5976" t="str">
        <v>Privacy</v>
      </c>
      <c r="D5976" t="str">
        <v>TORN</v>
      </c>
      <c r="E5976">
        <v>702637081.17218542</v>
      </c>
      <c r="F5976">
        <v>44270156.253895335</v>
      </c>
    </row>
    <row r="5977" spans="2:6" ht="15.75" customHeight="1" x14ac:dyDescent="0.25">
      <c r="B5977" t="str">
        <v>Tornado Finance</v>
      </c>
      <c r="C5977" t="str">
        <v>Yield</v>
      </c>
      <c r="D5977" t="str">
        <v>TCORE</v>
      </c>
      <c r="E5977">
        <v>0</v>
      </c>
      <c r="F5977">
        <v>305832.47594896372</v>
      </c>
    </row>
    <row r="5978" spans="2:6" ht="15.75" customHeight="1" x14ac:dyDescent="0.25">
      <c r="B5978" t="str">
        <v>ToroDex</v>
      </c>
      <c r="C5978" t="str">
        <v>Interface</v>
      </c>
      <c r="D5978" t="str">
        <v>-</v>
      </c>
      <c r="E5978">
        <v>0</v>
      </c>
      <c r="F5978">
        <v>0</v>
      </c>
    </row>
    <row r="5979" spans="2:6" ht="15.75" customHeight="1" x14ac:dyDescent="0.25">
      <c r="B5979" t="str">
        <v>Toros</v>
      </c>
      <c r="C5979" t="str">
        <v>Derivatives</v>
      </c>
      <c r="D5979" t="str">
        <v>-</v>
      </c>
      <c r="E5979">
        <v>15714693.795823267</v>
      </c>
      <c r="F5979">
        <v>0</v>
      </c>
    </row>
    <row r="5980" spans="2:6" ht="15.75" customHeight="1" x14ac:dyDescent="0.25">
      <c r="B5980" t="str">
        <v>Tortuga</v>
      </c>
      <c r="C5980" t="str">
        <v>Liquid Staking</v>
      </c>
      <c r="D5980" t="str">
        <v>-</v>
      </c>
      <c r="E5980">
        <v>31979.054965114916</v>
      </c>
      <c r="F5980">
        <v>0</v>
      </c>
    </row>
    <row r="5981" spans="2:6" ht="15.75" customHeight="1" x14ac:dyDescent="0.25">
      <c r="B5981" t="str">
        <v>Torus</v>
      </c>
      <c r="C5981" t="str">
        <v>Dexs</v>
      </c>
      <c r="D5981" t="str">
        <v>TORUS</v>
      </c>
      <c r="E5981">
        <v>39.412415999080842</v>
      </c>
      <c r="F5981">
        <v>0</v>
      </c>
    </row>
    <row r="5982" spans="2:6" ht="15.75" customHeight="1" x14ac:dyDescent="0.25">
      <c r="B5982" t="str">
        <v>TotemFi</v>
      </c>
      <c r="C5982" t="str">
        <v>Prediction Market</v>
      </c>
      <c r="D5982" t="str">
        <v>TOTM</v>
      </c>
      <c r="E5982">
        <v>0</v>
      </c>
      <c r="F5982">
        <v>9280.9948555432256</v>
      </c>
    </row>
    <row r="5983" spans="2:6" ht="15.75" customHeight="1" x14ac:dyDescent="0.25">
      <c r="B5983" t="str">
        <v>Toucan Protocol</v>
      </c>
      <c r="C5983" t="str">
        <v>RWA</v>
      </c>
      <c r="D5983" t="str">
        <v>-</v>
      </c>
      <c r="E5983">
        <v>616808.25377251604</v>
      </c>
      <c r="F5983">
        <v>0</v>
      </c>
    </row>
    <row r="5984" spans="2:6" ht="15.75" customHeight="1" x14ac:dyDescent="0.25">
      <c r="B5984" t="str">
        <v>Touch.fan</v>
      </c>
      <c r="C5984" t="str">
        <v>SoFi</v>
      </c>
      <c r="D5984" t="str">
        <v>-</v>
      </c>
      <c r="E5984">
        <v>5479.9639959505002</v>
      </c>
      <c r="F5984">
        <v>0</v>
      </c>
    </row>
    <row r="5985" spans="2:6" ht="15.75" customHeight="1" x14ac:dyDescent="0.25">
      <c r="B5985" t="str">
        <v>toupee.tech</v>
      </c>
      <c r="C5985" t="str">
        <v>Yield</v>
      </c>
      <c r="D5985" t="str">
        <v>WIG</v>
      </c>
      <c r="E5985">
        <v>13717.709848854318</v>
      </c>
      <c r="F5985">
        <v>0</v>
      </c>
    </row>
    <row r="5986" spans="2:6" ht="15.75" customHeight="1" x14ac:dyDescent="0.25">
      <c r="B5986" t="str">
        <v>Tower DEX</v>
      </c>
      <c r="C5986" t="str">
        <v>Dexs</v>
      </c>
      <c r="D5986" t="str">
        <v>-</v>
      </c>
      <c r="E5986">
        <v>6886.2567024517839</v>
      </c>
      <c r="F5986">
        <v>0</v>
      </c>
    </row>
    <row r="5987" spans="2:6" ht="15.75" customHeight="1" x14ac:dyDescent="0.25">
      <c r="B5987" t="str">
        <v>TownSquare</v>
      </c>
      <c r="C5987" t="str">
        <v>Lending</v>
      </c>
      <c r="D5987" t="str">
        <v>-</v>
      </c>
      <c r="E5987">
        <v>3939564.8270413596</v>
      </c>
      <c r="F5987">
        <v>0</v>
      </c>
    </row>
    <row r="5988" spans="2:6" ht="15.75" customHeight="1" x14ac:dyDescent="0.25">
      <c r="B5988" t="str">
        <v>ToxicDeer Finance</v>
      </c>
      <c r="C5988" t="str">
        <v>Algo-Stables</v>
      </c>
      <c r="D5988" t="str">
        <v>DEER</v>
      </c>
      <c r="E5988">
        <v>0</v>
      </c>
      <c r="F5988">
        <v>0</v>
      </c>
    </row>
    <row r="5989" spans="2:6" ht="15.75" customHeight="1" x14ac:dyDescent="0.25">
      <c r="B5989" t="str">
        <v>TProtocol V1</v>
      </c>
      <c r="C5989" t="str">
        <v>RWA</v>
      </c>
      <c r="D5989" t="str">
        <v>TPS</v>
      </c>
      <c r="E5989">
        <v>71274.621794338891</v>
      </c>
      <c r="F5989">
        <v>0</v>
      </c>
    </row>
    <row r="5990" spans="2:6" ht="15.75" customHeight="1" x14ac:dyDescent="0.25">
      <c r="B5990" t="str">
        <v>TProtocol V2</v>
      </c>
      <c r="C5990" t="str">
        <v>RWA</v>
      </c>
      <c r="D5990" t="str">
        <v>TPS</v>
      </c>
      <c r="E5990">
        <v>48743.953345774731</v>
      </c>
      <c r="F5990">
        <v>0</v>
      </c>
    </row>
    <row r="5991" spans="2:6" ht="15.75" customHeight="1" x14ac:dyDescent="0.25">
      <c r="B5991" t="str">
        <v>TR ENERGY</v>
      </c>
      <c r="C5991" t="str">
        <v>Services</v>
      </c>
      <c r="D5991" t="str">
        <v>-</v>
      </c>
      <c r="E5991">
        <v>0</v>
      </c>
      <c r="F5991">
        <v>0</v>
      </c>
    </row>
    <row r="5992" spans="2:6" ht="15.75" customHeight="1" x14ac:dyDescent="0.25">
      <c r="B5992" t="str">
        <v>Traddify Arbitrage</v>
      </c>
      <c r="C5992" t="str">
        <v>Yield Aggregator</v>
      </c>
      <c r="D5992" t="str">
        <v>-</v>
      </c>
      <c r="E5992">
        <v>9.2349565838063601</v>
      </c>
      <c r="F5992">
        <v>0</v>
      </c>
    </row>
    <row r="5993" spans="2:6" ht="15.75" customHeight="1" x14ac:dyDescent="0.25">
      <c r="B5993" t="str">
        <v>TradeGPT</v>
      </c>
      <c r="C5993" t="str">
        <v>Dexs</v>
      </c>
      <c r="D5993" t="str">
        <v>-</v>
      </c>
      <c r="E5993">
        <v>896596.21943423827</v>
      </c>
      <c r="F5993">
        <v>0</v>
      </c>
    </row>
    <row r="5994" spans="2:6" ht="15.75" customHeight="1" x14ac:dyDescent="0.25">
      <c r="B5994" t="str">
        <v>TradeWiz</v>
      </c>
      <c r="C5994" t="str">
        <v>Telegram Bot</v>
      </c>
      <c r="D5994" t="str">
        <v>-</v>
      </c>
      <c r="E5994">
        <v>0</v>
      </c>
      <c r="F5994">
        <v>0</v>
      </c>
    </row>
    <row r="5995" spans="2:6" ht="15.75" customHeight="1" x14ac:dyDescent="0.25">
      <c r="B5995" t="str">
        <v>tradeXYZ</v>
      </c>
      <c r="C5995" t="str">
        <v>Interface</v>
      </c>
      <c r="D5995" t="str">
        <v>-</v>
      </c>
      <c r="E5995">
        <v>0</v>
      </c>
      <c r="F5995">
        <v>0</v>
      </c>
    </row>
    <row r="5996" spans="2:6" ht="15.75" customHeight="1" x14ac:dyDescent="0.25">
      <c r="B5996" t="str">
        <v>TradingStrategy</v>
      </c>
      <c r="C5996" t="str">
        <v>Onchain Capital Allocator</v>
      </c>
      <c r="D5996" t="str">
        <v>-</v>
      </c>
      <c r="E5996">
        <v>70207.144629127579</v>
      </c>
      <c r="F5996">
        <v>0</v>
      </c>
    </row>
    <row r="5997" spans="2:6" ht="15.75" customHeight="1" x14ac:dyDescent="0.25">
      <c r="B5997" t="str">
        <v>Trado Perpetual</v>
      </c>
      <c r="C5997" t="str">
        <v>Derivatives</v>
      </c>
      <c r="D5997" t="str">
        <v>-</v>
      </c>
      <c r="E5997">
        <v>284445.29008340067</v>
      </c>
      <c r="F5997">
        <v>0</v>
      </c>
    </row>
    <row r="5998" spans="2:6" ht="15.75" customHeight="1" x14ac:dyDescent="0.25">
      <c r="B5998" t="str">
        <v>Trado Spot</v>
      </c>
      <c r="C5998" t="str">
        <v>Dexs</v>
      </c>
      <c r="D5998" t="str">
        <v>-</v>
      </c>
      <c r="E5998">
        <v>937553.8721356513</v>
      </c>
      <c r="F5998">
        <v>0</v>
      </c>
    </row>
    <row r="5999" spans="2:6" ht="15.75" customHeight="1" x14ac:dyDescent="0.25">
      <c r="B5999" t="str">
        <v>Tradoor</v>
      </c>
      <c r="C5999" t="str">
        <v>Derivatives</v>
      </c>
      <c r="D5999" t="str">
        <v>TRADOOR</v>
      </c>
      <c r="E5999">
        <v>812832.70965327311</v>
      </c>
      <c r="F5999">
        <v>29178186.547066264</v>
      </c>
    </row>
    <row r="6000" spans="2:6" ht="15.75" customHeight="1" x14ac:dyDescent="0.25">
      <c r="B6000" t="str">
        <v>TrainSwap</v>
      </c>
      <c r="C6000" t="str">
        <v>Dexs</v>
      </c>
      <c r="D6000" t="str">
        <v>TRAIN</v>
      </c>
      <c r="E6000">
        <v>1247.1412779872308</v>
      </c>
      <c r="F6000">
        <v>0</v>
      </c>
    </row>
    <row r="6001" spans="2:6" ht="15.75" customHeight="1" x14ac:dyDescent="0.25">
      <c r="B6001" t="str">
        <v>Tranche Finance</v>
      </c>
      <c r="C6001" t="str">
        <v>Yield</v>
      </c>
      <c r="D6001" t="str">
        <v>SLICE</v>
      </c>
      <c r="E6001">
        <v>44400.016724635818</v>
      </c>
      <c r="F6001">
        <v>227823.84390739229</v>
      </c>
    </row>
    <row r="6002" spans="2:6" ht="15.75" customHeight="1" x14ac:dyDescent="0.25">
      <c r="B6002" t="str">
        <v>Tranchess Ether</v>
      </c>
      <c r="C6002" t="str">
        <v>Liquid Staking</v>
      </c>
      <c r="D6002" t="str">
        <v>CHESS</v>
      </c>
      <c r="E6002">
        <v>18088.140061591184</v>
      </c>
      <c r="F6002">
        <v>0</v>
      </c>
    </row>
    <row r="6003" spans="2:6" ht="15.75" customHeight="1" x14ac:dyDescent="0.25">
      <c r="B6003" t="str">
        <v>Tranchess Yield</v>
      </c>
      <c r="C6003" t="str">
        <v>Yield</v>
      </c>
      <c r="D6003" t="str">
        <v>CHESS</v>
      </c>
      <c r="E6003">
        <v>8057323.9366932726</v>
      </c>
      <c r="F6003">
        <v>6229574.1969893174</v>
      </c>
    </row>
    <row r="6004" spans="2:6" ht="15.75" customHeight="1" x14ac:dyDescent="0.25">
      <c r="B6004" t="str">
        <v>Tranquil Finance</v>
      </c>
      <c r="C6004" t="str">
        <v>Lending</v>
      </c>
      <c r="D6004" t="str">
        <v>TRANQ</v>
      </c>
      <c r="E6004">
        <v>96430.833191182726</v>
      </c>
      <c r="F6004">
        <v>0</v>
      </c>
    </row>
    <row r="6005" spans="2:6" ht="15.75" customHeight="1" x14ac:dyDescent="0.25">
      <c r="B6005" t="str">
        <v>Trapeza Protocol</v>
      </c>
      <c r="C6005" t="str">
        <v>Reserve Currency</v>
      </c>
      <c r="D6005" t="str">
        <v>FIDL</v>
      </c>
      <c r="E6005">
        <v>0</v>
      </c>
      <c r="F6005">
        <v>0</v>
      </c>
    </row>
    <row r="6006" spans="2:6" ht="15.75" customHeight="1" x14ac:dyDescent="0.25">
      <c r="B6006" t="str">
        <v>Trava Finance</v>
      </c>
      <c r="C6006" t="str">
        <v>Lending</v>
      </c>
      <c r="D6006" t="str">
        <v>TRAVA</v>
      </c>
      <c r="E6006">
        <v>82896.257107811471</v>
      </c>
      <c r="F6006">
        <v>2.8856147851337246E-2</v>
      </c>
    </row>
    <row r="6007" spans="2:6" ht="15.75" customHeight="1" x14ac:dyDescent="0.25">
      <c r="B6007" t="str">
        <v>Treasure</v>
      </c>
      <c r="C6007" t="str">
        <v>Gaming</v>
      </c>
      <c r="D6007" t="str">
        <v>MAGIC</v>
      </c>
      <c r="E6007">
        <v>0</v>
      </c>
      <c r="F6007">
        <v>34391779.885632135</v>
      </c>
    </row>
    <row r="6008" spans="2:6" ht="15.75" customHeight="1" x14ac:dyDescent="0.25">
      <c r="B6008" t="str">
        <v>Treasure Bridge</v>
      </c>
      <c r="C6008" t="str">
        <v>Canonical Bridge</v>
      </c>
      <c r="D6008" t="str">
        <v>-</v>
      </c>
      <c r="E6008">
        <v>162057.0486196831</v>
      </c>
      <c r="F6008">
        <v>0</v>
      </c>
    </row>
    <row r="6009" spans="2:6" ht="15.75" customHeight="1" x14ac:dyDescent="0.25">
      <c r="B6009" t="str">
        <v>Treble Perps</v>
      </c>
      <c r="C6009" t="str">
        <v>Interface</v>
      </c>
      <c r="D6009" t="str">
        <v>TREB</v>
      </c>
      <c r="E6009">
        <v>0</v>
      </c>
      <c r="F6009">
        <v>0</v>
      </c>
    </row>
    <row r="6010" spans="2:6" ht="15.75" customHeight="1" x14ac:dyDescent="0.25">
      <c r="B6010" t="str">
        <v>Treble Spot</v>
      </c>
      <c r="C6010" t="str">
        <v>Dexs</v>
      </c>
      <c r="D6010" t="str">
        <v>TREB</v>
      </c>
      <c r="E6010">
        <v>696057.72358172154</v>
      </c>
      <c r="F6010">
        <v>0</v>
      </c>
    </row>
    <row r="6011" spans="2:6" ht="15.75" customHeight="1" x14ac:dyDescent="0.25">
      <c r="B6011" t="str">
        <v>Tree News</v>
      </c>
      <c r="C6011" t="str">
        <v>SoFi</v>
      </c>
      <c r="D6011" t="str">
        <v>TREE</v>
      </c>
      <c r="E6011">
        <v>0</v>
      </c>
      <c r="F6011">
        <v>28401407.753491897</v>
      </c>
    </row>
    <row r="6012" spans="2:6" ht="15.75" customHeight="1" x14ac:dyDescent="0.25">
      <c r="B6012" t="str">
        <v>TreeDefi</v>
      </c>
      <c r="C6012" t="str">
        <v>Yield</v>
      </c>
      <c r="D6012" t="str">
        <v>SEED</v>
      </c>
      <c r="E6012">
        <v>79181.725029561523</v>
      </c>
      <c r="F6012">
        <v>0</v>
      </c>
    </row>
    <row r="6013" spans="2:6" ht="15.75" customHeight="1" x14ac:dyDescent="0.25">
      <c r="B6013" t="str">
        <v>TreeHouse Finance</v>
      </c>
      <c r="C6013" t="str">
        <v>Yield</v>
      </c>
      <c r="D6013" t="str">
        <v>LEAF</v>
      </c>
      <c r="E6013">
        <v>29.062039423037731</v>
      </c>
      <c r="F6013">
        <v>0</v>
      </c>
    </row>
    <row r="6014" spans="2:6" ht="15.75" customHeight="1" x14ac:dyDescent="0.25">
      <c r="B6014" t="str">
        <v>Treehouse Protocol</v>
      </c>
      <c r="C6014" t="str">
        <v>DOR</v>
      </c>
      <c r="D6014" t="str">
        <v>TREE</v>
      </c>
      <c r="E6014">
        <v>261466246.44911098</v>
      </c>
      <c r="F6014">
        <v>17280055.497939181</v>
      </c>
    </row>
    <row r="6015" spans="2:6" ht="15.75" customHeight="1" x14ac:dyDescent="0.25">
      <c r="B6015" t="str">
        <v>Tren Finance</v>
      </c>
      <c r="C6015" t="str">
        <v>CDP</v>
      </c>
      <c r="D6015" t="str">
        <v>TREN</v>
      </c>
      <c r="E6015">
        <v>25.641930757561234</v>
      </c>
      <c r="F6015">
        <v>9016.5613735463139</v>
      </c>
    </row>
    <row r="6016" spans="2:6" ht="15.75" customHeight="1" x14ac:dyDescent="0.25">
      <c r="B6016" t="str">
        <v>Trends fun</v>
      </c>
      <c r="C6016" t="str">
        <v>Launchpad</v>
      </c>
      <c r="D6016" t="str">
        <v>-</v>
      </c>
      <c r="E6016">
        <v>0</v>
      </c>
      <c r="F6016">
        <v>0</v>
      </c>
    </row>
    <row r="6017" spans="2:6" ht="15.75" customHeight="1" x14ac:dyDescent="0.25">
      <c r="B6017" t="str">
        <v>Trevee Earn</v>
      </c>
      <c r="C6017" t="str">
        <v>Yield Aggregator</v>
      </c>
      <c r="D6017" t="str">
        <v>-</v>
      </c>
      <c r="E6017">
        <v>7593634.0613468885</v>
      </c>
      <c r="F6017">
        <v>0</v>
      </c>
    </row>
    <row r="6018" spans="2:6" ht="15.75" customHeight="1" x14ac:dyDescent="0.25">
      <c r="B6018" t="str">
        <v>Tribe.run</v>
      </c>
      <c r="C6018" t="str">
        <v>SoFi</v>
      </c>
      <c r="D6018" t="str">
        <v>-</v>
      </c>
      <c r="E6018">
        <v>319658.96655585174</v>
      </c>
      <c r="F6018">
        <v>0</v>
      </c>
    </row>
    <row r="6019" spans="2:6" ht="15.75" customHeight="1" x14ac:dyDescent="0.25">
      <c r="B6019" t="str">
        <v>Tribe3</v>
      </c>
      <c r="C6019" t="str">
        <v>Derivatives</v>
      </c>
      <c r="D6019" t="str">
        <v>-</v>
      </c>
      <c r="E6019">
        <v>0</v>
      </c>
      <c r="F6019">
        <v>0</v>
      </c>
    </row>
    <row r="6020" spans="2:6" ht="15.75" customHeight="1" x14ac:dyDescent="0.25">
      <c r="B6020" t="str">
        <v>Trick or Treat Farm</v>
      </c>
      <c r="C6020" t="str">
        <v>Farm</v>
      </c>
      <c r="D6020" t="str">
        <v>TRICK</v>
      </c>
      <c r="E6020">
        <v>1041.1850929546126</v>
      </c>
      <c r="F6020">
        <v>0</v>
      </c>
    </row>
    <row r="6021" spans="2:6" ht="15.75" customHeight="1" x14ac:dyDescent="0.25">
      <c r="B6021" t="str">
        <v>Trisolaris</v>
      </c>
      <c r="C6021" t="str">
        <v>Dexs</v>
      </c>
      <c r="D6021" t="str">
        <v>TRI</v>
      </c>
      <c r="E6021">
        <v>1365330.3955331999</v>
      </c>
      <c r="F6021">
        <v>23090.888782714432</v>
      </c>
    </row>
    <row r="6022" spans="2:6" ht="15.75" customHeight="1" x14ac:dyDescent="0.25">
      <c r="B6022" t="str">
        <v>Tristero</v>
      </c>
      <c r="C6022" t="str">
        <v>Dexs</v>
      </c>
      <c r="D6022" t="str">
        <v>-</v>
      </c>
      <c r="E6022">
        <v>0</v>
      </c>
      <c r="F6022">
        <v>0</v>
      </c>
    </row>
    <row r="6023" spans="2:6" ht="15.75" customHeight="1" x14ac:dyDescent="0.25">
      <c r="B6023" t="str">
        <v>Trojan</v>
      </c>
      <c r="C6023" t="str">
        <v>Telegram Bot</v>
      </c>
      <c r="D6023" t="str">
        <v>-</v>
      </c>
      <c r="E6023">
        <v>0</v>
      </c>
      <c r="F6023">
        <v>0</v>
      </c>
    </row>
    <row r="6024" spans="2:6" ht="15.75" customHeight="1" x14ac:dyDescent="0.25">
      <c r="B6024" t="str">
        <v>TronNRG</v>
      </c>
      <c r="C6024" t="str">
        <v>Staking Pool</v>
      </c>
      <c r="D6024" t="str">
        <v>NRG</v>
      </c>
      <c r="E6024">
        <v>17431.115331150086</v>
      </c>
      <c r="F6024">
        <v>0</v>
      </c>
    </row>
    <row r="6025" spans="2:6" ht="15.75" customHeight="1" x14ac:dyDescent="0.25">
      <c r="B6025" t="str">
        <v>TRONSAVE</v>
      </c>
      <c r="C6025" t="str">
        <v>Services</v>
      </c>
      <c r="D6025" t="str">
        <v>-</v>
      </c>
      <c r="E6025">
        <v>0</v>
      </c>
      <c r="F6025">
        <v>0</v>
      </c>
    </row>
    <row r="6026" spans="2:6" ht="15.75" customHeight="1" x14ac:dyDescent="0.25">
      <c r="B6026" t="str">
        <v>Tropical Finance</v>
      </c>
      <c r="C6026" t="str">
        <v>Dexs</v>
      </c>
      <c r="D6026" t="str">
        <v>DAIQUIRI</v>
      </c>
      <c r="E6026">
        <v>598.40914775034605</v>
      </c>
      <c r="F6026">
        <v>0</v>
      </c>
    </row>
    <row r="6027" spans="2:6" ht="15.75" customHeight="1" x14ac:dyDescent="0.25">
      <c r="B6027" t="str">
        <v>TropicalSwap</v>
      </c>
      <c r="C6027" t="str">
        <v>Dexs</v>
      </c>
      <c r="D6027" t="str">
        <v>-</v>
      </c>
      <c r="E6027">
        <v>4052.8323754283938</v>
      </c>
      <c r="F6027">
        <v>0</v>
      </c>
    </row>
    <row r="6028" spans="2:6" ht="15.75" customHeight="1" x14ac:dyDescent="0.25">
      <c r="B6028" t="str">
        <v>Tropykus RSK</v>
      </c>
      <c r="C6028" t="str">
        <v>Lending</v>
      </c>
      <c r="D6028" t="str">
        <v>-</v>
      </c>
      <c r="E6028">
        <v>12178920.524900518</v>
      </c>
      <c r="F6028">
        <v>0</v>
      </c>
    </row>
    <row r="6029" spans="2:6" ht="15.75" customHeight="1" x14ac:dyDescent="0.25">
      <c r="B6029" t="str">
        <v>Tropykus zkEVM</v>
      </c>
      <c r="C6029" t="str">
        <v>Lending</v>
      </c>
      <c r="D6029" t="str">
        <v>-</v>
      </c>
      <c r="E6029">
        <v>2895.1964041709912</v>
      </c>
      <c r="F6029">
        <v>0</v>
      </c>
    </row>
    <row r="6030" spans="2:6" ht="15.75" customHeight="1" x14ac:dyDescent="0.25">
      <c r="B6030" t="str">
        <v>Troves</v>
      </c>
      <c r="C6030" t="str">
        <v>Yield</v>
      </c>
      <c r="D6030" t="str">
        <v>-</v>
      </c>
      <c r="E6030">
        <v>15170126.47301686</v>
      </c>
      <c r="F6030">
        <v>0</v>
      </c>
    </row>
    <row r="6031" spans="2:6" ht="15.75" customHeight="1" x14ac:dyDescent="0.25">
      <c r="B6031" t="str">
        <v>TroyDefi</v>
      </c>
      <c r="C6031" t="str">
        <v>Farm</v>
      </c>
      <c r="D6031" t="str">
        <v>TROY</v>
      </c>
      <c r="E6031">
        <v>461.30491850128305</v>
      </c>
      <c r="F6031">
        <v>0</v>
      </c>
    </row>
    <row r="6032" spans="2:6" ht="15.75" customHeight="1" x14ac:dyDescent="0.25">
      <c r="B6032" t="str">
        <v>TrueFeedBack</v>
      </c>
      <c r="C6032" t="str">
        <v>Gaming</v>
      </c>
      <c r="D6032" t="str">
        <v>TFBX</v>
      </c>
      <c r="E6032">
        <v>0</v>
      </c>
      <c r="F6032">
        <v>0</v>
      </c>
    </row>
    <row r="6033" spans="2:6" ht="15.75" customHeight="1" x14ac:dyDescent="0.25">
      <c r="B6033" t="str">
        <v>TrueFi</v>
      </c>
      <c r="C6033" t="str">
        <v>Uncollateralized Lending</v>
      </c>
      <c r="D6033" t="str">
        <v>TRU</v>
      </c>
      <c r="E6033">
        <v>26393.946637826451</v>
      </c>
      <c r="F6033">
        <v>14155186.079993574</v>
      </c>
    </row>
    <row r="6034" spans="2:6" ht="15.75" customHeight="1" x14ac:dyDescent="0.25">
      <c r="B6034" t="str">
        <v>Truemarkets</v>
      </c>
      <c r="C6034" t="str">
        <v>Prediction Market</v>
      </c>
      <c r="D6034" t="str">
        <v>TRUE</v>
      </c>
      <c r="E6034">
        <v>2434055.1701947865</v>
      </c>
      <c r="F6034">
        <v>3790600.9982527085</v>
      </c>
    </row>
    <row r="6035" spans="2:6" ht="15.75" customHeight="1" x14ac:dyDescent="0.25">
      <c r="B6035" t="str">
        <v>TruFin Legacy Vaults</v>
      </c>
      <c r="C6035" t="str">
        <v>Liquid Staking</v>
      </c>
      <c r="D6035" t="str">
        <v>-</v>
      </c>
      <c r="E6035">
        <v>12.712273575680982</v>
      </c>
      <c r="F6035">
        <v>0</v>
      </c>
    </row>
    <row r="6036" spans="2:6" ht="15.75" customHeight="1" x14ac:dyDescent="0.25">
      <c r="B6036" t="str">
        <v>Trust Wallet</v>
      </c>
      <c r="C6036" t="str">
        <v>Wallets</v>
      </c>
      <c r="D6036" t="str">
        <v>TWT</v>
      </c>
      <c r="E6036">
        <v>0</v>
      </c>
      <c r="F6036">
        <v>376757996.51003337</v>
      </c>
    </row>
    <row r="6037" spans="2:6" ht="15.75" customHeight="1" x14ac:dyDescent="0.25">
      <c r="B6037" t="str">
        <v>TruStake</v>
      </c>
      <c r="C6037" t="str">
        <v>Liquid Staking</v>
      </c>
      <c r="D6037" t="str">
        <v>-</v>
      </c>
      <c r="E6037">
        <v>55403308.556301147</v>
      </c>
      <c r="F6037">
        <v>0</v>
      </c>
    </row>
    <row r="6038" spans="2:6" ht="15.75" customHeight="1" x14ac:dyDescent="0.25">
      <c r="B6038" t="str">
        <v>Trusted Node</v>
      </c>
      <c r="C6038" t="str">
        <v>Liquid Staking</v>
      </c>
      <c r="D6038" t="str">
        <v>TNODE</v>
      </c>
      <c r="E6038">
        <v>0</v>
      </c>
      <c r="F6038">
        <v>0</v>
      </c>
    </row>
    <row r="6039" spans="2:6" ht="15.75" customHeight="1" x14ac:dyDescent="0.25">
      <c r="B6039" t="str">
        <v>Trustin Finance</v>
      </c>
      <c r="C6039" t="str">
        <v>Lending</v>
      </c>
      <c r="D6039" t="str">
        <v>-</v>
      </c>
      <c r="E6039">
        <v>1167.2902835891609</v>
      </c>
      <c r="F6039">
        <v>0</v>
      </c>
    </row>
    <row r="6040" spans="2:6" ht="15.75" customHeight="1" x14ac:dyDescent="0.25">
      <c r="B6040" t="str">
        <v>TrustSwap</v>
      </c>
      <c r="C6040" t="str">
        <v>Token Locker</v>
      </c>
      <c r="D6040" t="str">
        <v>SWAP</v>
      </c>
      <c r="E6040">
        <v>1723.0532322543497</v>
      </c>
      <c r="F6040">
        <v>0</v>
      </c>
    </row>
    <row r="6041" spans="2:6" ht="15.75" customHeight="1" x14ac:dyDescent="0.25">
      <c r="B6041" t="str">
        <v>TsunamiX</v>
      </c>
      <c r="C6041" t="str">
        <v>Derivatives</v>
      </c>
      <c r="D6041" t="str">
        <v>-</v>
      </c>
      <c r="E6041">
        <v>25498.913089236019</v>
      </c>
      <c r="F6041">
        <v>0</v>
      </c>
    </row>
    <row r="6042" spans="2:6" ht="15.75" customHeight="1" x14ac:dyDescent="0.25">
      <c r="B6042" t="str">
        <v>TTswap</v>
      </c>
      <c r="C6042" t="str">
        <v>Dexs</v>
      </c>
      <c r="D6042" t="str">
        <v>-</v>
      </c>
      <c r="E6042">
        <v>19322.681940403385</v>
      </c>
      <c r="F6042">
        <v>0</v>
      </c>
    </row>
    <row r="6043" spans="2:6" ht="15.75" customHeight="1" x14ac:dyDescent="0.25">
      <c r="B6043" t="str">
        <v>Tulip</v>
      </c>
      <c r="C6043" t="str">
        <v>Algo-Stables</v>
      </c>
      <c r="D6043" t="str">
        <v>TULIP</v>
      </c>
      <c r="E6043">
        <v>13497.574868550728</v>
      </c>
      <c r="F6043">
        <v>0</v>
      </c>
    </row>
    <row r="6044" spans="2:6" ht="15.75" customHeight="1" x14ac:dyDescent="0.25">
      <c r="B6044" t="str">
        <v>Tulip Protocol</v>
      </c>
      <c r="C6044" t="str">
        <v>Yield</v>
      </c>
      <c r="D6044" t="str">
        <v>TULIP</v>
      </c>
      <c r="E6044">
        <v>5682.4339032179887</v>
      </c>
      <c r="F6044">
        <v>39092.889483659106</v>
      </c>
    </row>
    <row r="6045" spans="2:6" ht="15.75" customHeight="1" x14ac:dyDescent="0.25">
      <c r="B6045" t="str">
        <v>Tulipa Capital</v>
      </c>
      <c r="C6045" t="str">
        <v>Risk Curators</v>
      </c>
      <c r="D6045" t="str">
        <v>-</v>
      </c>
      <c r="E6045">
        <v>86238396.492031306</v>
      </c>
      <c r="F6045">
        <v>0</v>
      </c>
    </row>
    <row r="6046" spans="2:6" ht="15.75" customHeight="1" x14ac:dyDescent="0.25">
      <c r="B6046" t="str">
        <v>TurboFlow</v>
      </c>
      <c r="C6046" t="str">
        <v>Derivatives</v>
      </c>
      <c r="D6046" t="str">
        <v>-</v>
      </c>
      <c r="E6046">
        <v>459295.42841972446</v>
      </c>
      <c r="F6046">
        <v>0</v>
      </c>
    </row>
    <row r="6047" spans="2:6" ht="15.75" customHeight="1" x14ac:dyDescent="0.25">
      <c r="B6047" t="str">
        <v>Turbos</v>
      </c>
      <c r="C6047" t="str">
        <v>Dexs</v>
      </c>
      <c r="D6047" t="str">
        <v>TURBOS</v>
      </c>
      <c r="E6047">
        <v>7886800.1030958714</v>
      </c>
      <c r="F6047">
        <v>1115623.8026060478</v>
      </c>
    </row>
    <row r="6048" spans="2:6" ht="15.75" customHeight="1" x14ac:dyDescent="0.25">
      <c r="B6048" t="str">
        <v>TURNUP</v>
      </c>
      <c r="C6048" t="str">
        <v>SoFi</v>
      </c>
      <c r="D6048" t="str">
        <v>-</v>
      </c>
      <c r="E6048">
        <v>0</v>
      </c>
      <c r="F6048">
        <v>0</v>
      </c>
    </row>
    <row r="6049" spans="2:6" ht="15.75" customHeight="1" x14ac:dyDescent="0.25">
      <c r="B6049" t="str">
        <v>Turtle Club</v>
      </c>
      <c r="C6049" t="str">
        <v>Onchain Capital Allocator</v>
      </c>
      <c r="D6049" t="str">
        <v>-</v>
      </c>
      <c r="E6049">
        <v>42168748.686536156</v>
      </c>
      <c r="F6049">
        <v>0</v>
      </c>
    </row>
    <row r="6050" spans="2:6" ht="15.75" customHeight="1" x14ac:dyDescent="0.25">
      <c r="B6050" t="str">
        <v>Turtle Cronos</v>
      </c>
      <c r="C6050" t="str">
        <v>Meme</v>
      </c>
      <c r="D6050" t="str">
        <v>TURTLE</v>
      </c>
      <c r="E6050">
        <v>0</v>
      </c>
      <c r="F6050">
        <v>125694.0692043493</v>
      </c>
    </row>
    <row r="6051" spans="2:6" ht="15.75" customHeight="1" x14ac:dyDescent="0.25">
      <c r="B6051" t="str">
        <v>TurtleSwap</v>
      </c>
      <c r="C6051" t="str">
        <v>Dexs</v>
      </c>
      <c r="D6051" t="str">
        <v>-</v>
      </c>
      <c r="E6051">
        <v>49769.320256786603</v>
      </c>
      <c r="F6051">
        <v>0</v>
      </c>
    </row>
    <row r="6052" spans="2:6" ht="15.75" customHeight="1" x14ac:dyDescent="0.25">
      <c r="B6052" t="str">
        <v>Tutellus</v>
      </c>
      <c r="C6052" t="str">
        <v>Services</v>
      </c>
      <c r="D6052" t="str">
        <v>TUT</v>
      </c>
      <c r="E6052">
        <v>0</v>
      </c>
      <c r="F6052">
        <v>43740.224345299561</v>
      </c>
    </row>
    <row r="6053" spans="2:6" ht="15.75" customHeight="1" x14ac:dyDescent="0.25">
      <c r="B6053" t="str">
        <v>Twin Finance</v>
      </c>
      <c r="C6053" t="str">
        <v>Yield</v>
      </c>
      <c r="D6053" t="str">
        <v>-</v>
      </c>
      <c r="E6053">
        <v>6684.0441531958568</v>
      </c>
      <c r="F6053">
        <v>0</v>
      </c>
    </row>
    <row r="6054" spans="2:6" ht="15.75" customHeight="1" x14ac:dyDescent="0.25">
      <c r="B6054" t="str">
        <v>Twindex</v>
      </c>
      <c r="C6054" t="str">
        <v>Options</v>
      </c>
      <c r="D6054" t="str">
        <v>TWX</v>
      </c>
      <c r="E6054">
        <v>148578.40367750532</v>
      </c>
      <c r="F6054">
        <v>1907.0404738746506</v>
      </c>
    </row>
    <row r="6055" spans="2:6" ht="15.75" customHeight="1" x14ac:dyDescent="0.25">
      <c r="B6055" t="str">
        <v>TWTStake</v>
      </c>
      <c r="C6055" t="str">
        <v>Yield</v>
      </c>
      <c r="D6055" t="str">
        <v>-</v>
      </c>
      <c r="E6055">
        <v>0</v>
      </c>
      <c r="F6055">
        <v>0</v>
      </c>
    </row>
    <row r="6056" spans="2:6" ht="15.75" customHeight="1" x14ac:dyDescent="0.25">
      <c r="B6056" t="str">
        <v>TydeShift</v>
      </c>
      <c r="C6056" t="str">
        <v>Dexs</v>
      </c>
      <c r="D6056" t="str">
        <v>TYDE</v>
      </c>
      <c r="E6056">
        <v>32053.318850899195</v>
      </c>
      <c r="F6056">
        <v>0</v>
      </c>
    </row>
    <row r="6057" spans="2:6" ht="15.75" customHeight="1" x14ac:dyDescent="0.25">
      <c r="B6057" t="str">
        <v>Tydro</v>
      </c>
      <c r="C6057" t="str">
        <v>Lending</v>
      </c>
      <c r="D6057" t="str">
        <v>-</v>
      </c>
      <c r="E6057">
        <v>470511643.94501418</v>
      </c>
      <c r="F6057">
        <v>0</v>
      </c>
    </row>
    <row r="6058" spans="2:6" ht="15.75" customHeight="1" x14ac:dyDescent="0.25">
      <c r="B6058" t="str">
        <v>TYMIO</v>
      </c>
      <c r="C6058" t="str">
        <v>Options</v>
      </c>
      <c r="D6058" t="str">
        <v>-</v>
      </c>
      <c r="E6058">
        <v>581774.82941923488</v>
      </c>
      <c r="F6058">
        <v>0</v>
      </c>
    </row>
    <row r="6059" spans="2:6" ht="15.75" customHeight="1" x14ac:dyDescent="0.25">
      <c r="B6059" t="str">
        <v>Typhoon Cash</v>
      </c>
      <c r="C6059" t="str">
        <v>Privacy</v>
      </c>
      <c r="D6059" t="str">
        <v>PHOON</v>
      </c>
      <c r="E6059">
        <v>53038.229468276113</v>
      </c>
      <c r="F6059">
        <v>0</v>
      </c>
    </row>
    <row r="6060" spans="2:6" ht="15.75" customHeight="1" x14ac:dyDescent="0.25">
      <c r="B6060" t="str">
        <v>Typus DOV</v>
      </c>
      <c r="C6060" t="str">
        <v>Options Vault</v>
      </c>
      <c r="D6060" t="str">
        <v>-</v>
      </c>
      <c r="E6060">
        <v>5307667.1113846703</v>
      </c>
      <c r="F6060">
        <v>0</v>
      </c>
    </row>
    <row r="6061" spans="2:6" ht="15.75" customHeight="1" x14ac:dyDescent="0.25">
      <c r="B6061" t="str">
        <v>Typus Perp</v>
      </c>
      <c r="C6061" t="str">
        <v>Derivatives</v>
      </c>
      <c r="D6061" t="str">
        <v>-</v>
      </c>
      <c r="E6061">
        <v>157979.3534872327</v>
      </c>
      <c r="F6061">
        <v>0</v>
      </c>
    </row>
    <row r="6062" spans="2:6" ht="15.75" customHeight="1" x14ac:dyDescent="0.25">
      <c r="B6062" t="str">
        <v>Typus Safu</v>
      </c>
      <c r="C6062" t="str">
        <v>Yield</v>
      </c>
      <c r="D6062" t="str">
        <v>-</v>
      </c>
      <c r="E6062">
        <v>720714.83468420187</v>
      </c>
      <c r="F6062">
        <v>0</v>
      </c>
    </row>
    <row r="6063" spans="2:6" ht="15.75" customHeight="1" x14ac:dyDescent="0.25">
      <c r="B6063" t="str">
        <v>tzBTC</v>
      </c>
      <c r="C6063" t="str">
        <v>Bridge</v>
      </c>
      <c r="D6063" t="str">
        <v>-</v>
      </c>
      <c r="E6063">
        <v>66850855.099425487</v>
      </c>
      <c r="F6063">
        <v>0</v>
      </c>
    </row>
    <row r="6064" spans="2:6" ht="15.75" customHeight="1" x14ac:dyDescent="0.25">
      <c r="B6064" t="str">
        <v>U235</v>
      </c>
      <c r="C6064" t="str">
        <v>Lending</v>
      </c>
      <c r="D6064" t="str">
        <v>-</v>
      </c>
      <c r="E6064">
        <v>3057.2805833207317</v>
      </c>
      <c r="F6064">
        <v>0</v>
      </c>
    </row>
    <row r="6065" spans="2:6" ht="15.75" customHeight="1" x14ac:dyDescent="0.25">
      <c r="B6065" t="str">
        <v>Ubeswap V2</v>
      </c>
      <c r="C6065" t="str">
        <v>Dexs</v>
      </c>
      <c r="D6065" t="str">
        <v>UBE</v>
      </c>
      <c r="E6065">
        <v>915110.91365328734</v>
      </c>
      <c r="F6065">
        <v>0</v>
      </c>
    </row>
    <row r="6066" spans="2:6" ht="15.75" customHeight="1" x14ac:dyDescent="0.25">
      <c r="B6066" t="str">
        <v>Ubeswap V3</v>
      </c>
      <c r="C6066" t="str">
        <v>Dexs</v>
      </c>
      <c r="D6066" t="str">
        <v>UBE</v>
      </c>
      <c r="E6066">
        <v>104496.59555257394</v>
      </c>
      <c r="F6066">
        <v>0</v>
      </c>
    </row>
    <row r="6067" spans="2:6" ht="15.75" customHeight="1" x14ac:dyDescent="0.25">
      <c r="B6067" t="str">
        <v>Ubiquity DAO</v>
      </c>
      <c r="C6067" t="str">
        <v>Services</v>
      </c>
      <c r="D6067" t="str">
        <v>UBQ</v>
      </c>
      <c r="E6067">
        <v>797.87371479446904</v>
      </c>
      <c r="F6067">
        <v>0</v>
      </c>
    </row>
    <row r="6068" spans="2:6" ht="15.75" customHeight="1" x14ac:dyDescent="0.25">
      <c r="B6068" t="str">
        <v>UCS Finance</v>
      </c>
      <c r="C6068" t="str">
        <v>Dexs</v>
      </c>
      <c r="D6068" t="str">
        <v>-</v>
      </c>
      <c r="E6068">
        <v>20107.096387335834</v>
      </c>
      <c r="F6068">
        <v>0</v>
      </c>
    </row>
    <row r="6069" spans="2:6" ht="15.75" customHeight="1" x14ac:dyDescent="0.25">
      <c r="B6069" t="str">
        <v>uDEX</v>
      </c>
      <c r="C6069" t="str">
        <v>DEX Aggregator</v>
      </c>
      <c r="D6069" t="str">
        <v>-</v>
      </c>
      <c r="E6069">
        <v>0</v>
      </c>
      <c r="F6069">
        <v>0</v>
      </c>
    </row>
    <row r="6070" spans="2:6" ht="15.75" customHeight="1" x14ac:dyDescent="0.25">
      <c r="B6070" t="str">
        <v>Udon Staking</v>
      </c>
      <c r="C6070" t="str">
        <v>Liquid Staking</v>
      </c>
      <c r="D6070" t="str">
        <v>-</v>
      </c>
      <c r="E6070">
        <v>25788.606892652595</v>
      </c>
      <c r="F6070">
        <v>0</v>
      </c>
    </row>
    <row r="6071" spans="2:6" ht="15.75" customHeight="1" x14ac:dyDescent="0.25">
      <c r="B6071" t="str">
        <v>UdonFi Lending</v>
      </c>
      <c r="C6071" t="str">
        <v>Lending</v>
      </c>
      <c r="D6071" t="str">
        <v>-</v>
      </c>
      <c r="E6071">
        <v>173025.34121876562</v>
      </c>
      <c r="F6071">
        <v>0</v>
      </c>
    </row>
    <row r="6072" spans="2:6" ht="15.75" customHeight="1" x14ac:dyDescent="0.25">
      <c r="B6072" t="str">
        <v>UdonSwap</v>
      </c>
      <c r="C6072" t="str">
        <v>Dexs</v>
      </c>
      <c r="D6072" t="str">
        <v>-</v>
      </c>
      <c r="E6072">
        <v>2015873.6280627456</v>
      </c>
      <c r="F6072">
        <v>0</v>
      </c>
    </row>
    <row r="6073" spans="2:6" ht="15.75" customHeight="1" x14ac:dyDescent="0.25">
      <c r="B6073" t="str">
        <v>UFarm Digital</v>
      </c>
      <c r="C6073" t="str">
        <v>Yield Aggregator</v>
      </c>
      <c r="D6073" t="str">
        <v>-</v>
      </c>
      <c r="E6073">
        <v>133625.81207808276</v>
      </c>
      <c r="F6073">
        <v>0</v>
      </c>
    </row>
    <row r="6074" spans="2:6" ht="15.75" customHeight="1" x14ac:dyDescent="0.25">
      <c r="B6074" t="str">
        <v>Ultra Protocol</v>
      </c>
      <c r="C6074" t="str">
        <v>Services</v>
      </c>
      <c r="D6074" t="str">
        <v>ULTRA</v>
      </c>
      <c r="E6074">
        <v>0</v>
      </c>
      <c r="F6074">
        <v>0</v>
      </c>
    </row>
    <row r="6075" spans="2:6" ht="15.75" customHeight="1" x14ac:dyDescent="0.25">
      <c r="B6075" t="str">
        <v>Ultrasolid V2</v>
      </c>
      <c r="C6075" t="str">
        <v>Dexs</v>
      </c>
      <c r="D6075" t="str">
        <v>US</v>
      </c>
      <c r="E6075">
        <v>49.282488733246005</v>
      </c>
      <c r="F6075">
        <v>0</v>
      </c>
    </row>
    <row r="6076" spans="2:6" ht="15.75" customHeight="1" x14ac:dyDescent="0.25">
      <c r="B6076" t="str">
        <v>Ultrasolid V3</v>
      </c>
      <c r="C6076" t="str">
        <v>Dexs</v>
      </c>
      <c r="D6076" t="str">
        <v>US</v>
      </c>
      <c r="E6076">
        <v>1652384.8288908747</v>
      </c>
      <c r="F6076">
        <v>0</v>
      </c>
    </row>
    <row r="6077" spans="2:6" ht="15.75" customHeight="1" x14ac:dyDescent="0.25">
      <c r="B6077" t="str">
        <v>Ultraswap</v>
      </c>
      <c r="C6077" t="str">
        <v>Lending</v>
      </c>
      <c r="D6077" t="str">
        <v>-</v>
      </c>
      <c r="E6077">
        <v>23948.178245320581</v>
      </c>
      <c r="F6077">
        <v>0</v>
      </c>
    </row>
    <row r="6078" spans="2:6" ht="15.75" customHeight="1" x14ac:dyDescent="0.25">
      <c r="B6078" t="str">
        <v>UltraYield by Edge</v>
      </c>
      <c r="C6078" t="str">
        <v>Risk Curators</v>
      </c>
      <c r="D6078" t="str">
        <v>-</v>
      </c>
      <c r="E6078">
        <v>190209630.09740382</v>
      </c>
      <c r="F6078">
        <v>0</v>
      </c>
    </row>
    <row r="6079" spans="2:6" ht="15.75" customHeight="1" x14ac:dyDescent="0.25">
      <c r="B6079" t="str">
        <v>UltraYield Vaults</v>
      </c>
      <c r="C6079" t="str">
        <v>Onchain Capital Allocator</v>
      </c>
      <c r="D6079" t="str">
        <v>-</v>
      </c>
      <c r="E6079">
        <v>6356686.6953731123</v>
      </c>
      <c r="F6079">
        <v>0</v>
      </c>
    </row>
    <row r="6080" spans="2:6" ht="15.75" customHeight="1" x14ac:dyDescent="0.25">
      <c r="B6080" t="str">
        <v>Ultron Staking Hub NFT</v>
      </c>
      <c r="C6080" t="str">
        <v>Staking Pool</v>
      </c>
      <c r="D6080" t="str">
        <v>ULX</v>
      </c>
      <c r="E6080">
        <v>0</v>
      </c>
      <c r="F6080">
        <v>0</v>
      </c>
    </row>
    <row r="6081" spans="2:6" ht="15.75" customHeight="1" x14ac:dyDescent="0.25">
      <c r="B6081" t="str">
        <v>UltronSwap</v>
      </c>
      <c r="C6081" t="str">
        <v>Dexs</v>
      </c>
      <c r="D6081" t="str">
        <v>ULX</v>
      </c>
      <c r="E6081">
        <v>238306.73084810917</v>
      </c>
      <c r="F6081">
        <v>0</v>
      </c>
    </row>
    <row r="6082" spans="2:6" ht="15.75" customHeight="1" x14ac:dyDescent="0.25">
      <c r="B6082" t="str">
        <v>Ulysses</v>
      </c>
      <c r="C6082" t="str">
        <v>Bridge</v>
      </c>
      <c r="D6082" t="str">
        <v>-</v>
      </c>
      <c r="E6082">
        <v>51465.383521141244</v>
      </c>
      <c r="F6082">
        <v>0</v>
      </c>
    </row>
    <row r="6083" spans="2:6" ht="15.75" customHeight="1" x14ac:dyDescent="0.25">
      <c r="B6083" t="str">
        <v>Umami Finance</v>
      </c>
      <c r="C6083" t="str">
        <v>Yield</v>
      </c>
      <c r="D6083" t="str">
        <v>UMAMI</v>
      </c>
      <c r="E6083">
        <v>1146977.5925917435</v>
      </c>
      <c r="F6083">
        <v>0</v>
      </c>
    </row>
    <row r="6084" spans="2:6" ht="15.75" customHeight="1" x14ac:dyDescent="0.25">
      <c r="B6084" t="str">
        <v>Umbra</v>
      </c>
      <c r="C6084" t="str">
        <v>Dexs</v>
      </c>
      <c r="D6084" t="str">
        <v>-</v>
      </c>
      <c r="E6084">
        <v>258361.19000873819</v>
      </c>
      <c r="F6084">
        <v>0</v>
      </c>
    </row>
    <row r="6085" spans="2:6" ht="15.75" customHeight="1" x14ac:dyDescent="0.25">
      <c r="B6085" t="str">
        <v>Umbrella Network</v>
      </c>
      <c r="C6085" t="str">
        <v>Oracle</v>
      </c>
      <c r="D6085" t="str">
        <v>UMB</v>
      </c>
      <c r="E6085">
        <v>0</v>
      </c>
      <c r="F6085">
        <v>52081.081631356406</v>
      </c>
    </row>
    <row r="6086" spans="2:6" ht="15.75" customHeight="1" x14ac:dyDescent="0.25">
      <c r="B6086" t="str">
        <v>Umbria Network</v>
      </c>
      <c r="C6086" t="str">
        <v>Cross Chain Bridge</v>
      </c>
      <c r="D6086" t="str">
        <v>UMBR</v>
      </c>
      <c r="E6086">
        <v>0</v>
      </c>
      <c r="F6086">
        <v>0</v>
      </c>
    </row>
    <row r="6087" spans="2:6" ht="15.75" customHeight="1" x14ac:dyDescent="0.25">
      <c r="B6087" t="str">
        <v>Umee</v>
      </c>
      <c r="C6087" t="str">
        <v>Lending</v>
      </c>
      <c r="D6087" t="str">
        <v>UMEE</v>
      </c>
      <c r="E6087">
        <v>958356.59272773867</v>
      </c>
      <c r="F6087">
        <v>469813.93533651624</v>
      </c>
    </row>
    <row r="6088" spans="2:6" ht="15.75" customHeight="1" x14ac:dyDescent="0.25">
      <c r="B6088" t="str">
        <v>Umoja Synths</v>
      </c>
      <c r="C6088" t="str">
        <v>Synthetics</v>
      </c>
      <c r="D6088" t="str">
        <v>UMJA</v>
      </c>
      <c r="E6088">
        <v>0</v>
      </c>
      <c r="F6088">
        <v>0</v>
      </c>
    </row>
    <row r="6089" spans="2:6" ht="15.75" customHeight="1" x14ac:dyDescent="0.25">
      <c r="B6089" t="str">
        <v>Umoja yBTC</v>
      </c>
      <c r="C6089" t="str">
        <v>Basis Trading</v>
      </c>
      <c r="D6089" t="str">
        <v>UMJA</v>
      </c>
      <c r="E6089">
        <v>83201.932344705914</v>
      </c>
      <c r="F6089">
        <v>0</v>
      </c>
    </row>
    <row r="6090" spans="2:6" ht="15.75" customHeight="1" x14ac:dyDescent="0.25">
      <c r="B6090" t="str">
        <v>Unagii</v>
      </c>
      <c r="C6090" t="str">
        <v>Yield</v>
      </c>
      <c r="D6090" t="str">
        <v>-</v>
      </c>
      <c r="E6090">
        <v>128660.28556263425</v>
      </c>
      <c r="F6090">
        <v>0</v>
      </c>
    </row>
    <row r="6091" spans="2:6" ht="15.75" customHeight="1" x14ac:dyDescent="0.25">
      <c r="B6091" t="str">
        <v>unagiswap</v>
      </c>
      <c r="C6091" t="str">
        <v>Dexs</v>
      </c>
      <c r="D6091" t="str">
        <v>-</v>
      </c>
      <c r="E6091">
        <v>312.19214610486011</v>
      </c>
      <c r="F6091">
        <v>0</v>
      </c>
    </row>
    <row r="6092" spans="2:6" ht="15.75" customHeight="1" x14ac:dyDescent="0.25">
      <c r="B6092" t="str">
        <v>Unamano</v>
      </c>
      <c r="C6092" t="str">
        <v>Yield</v>
      </c>
      <c r="D6092" t="str">
        <v>WHYPAD</v>
      </c>
      <c r="E6092">
        <v>3065.9708759341456</v>
      </c>
      <c r="F6092">
        <v>0</v>
      </c>
    </row>
    <row r="6093" spans="2:6" ht="15.75" customHeight="1" x14ac:dyDescent="0.25">
      <c r="B6093" t="str">
        <v>Unbanked</v>
      </c>
      <c r="C6093" t="str">
        <v>Yield Aggregator</v>
      </c>
      <c r="D6093" t="str">
        <v>UNBNK</v>
      </c>
      <c r="E6093">
        <v>553.0855659178784</v>
      </c>
      <c r="F6093">
        <v>0</v>
      </c>
    </row>
    <row r="6094" spans="2:6" ht="15.75" customHeight="1" x14ac:dyDescent="0.25">
      <c r="B6094" t="str">
        <v>Unbound</v>
      </c>
      <c r="C6094" t="str">
        <v>Derivatives</v>
      </c>
      <c r="D6094" t="str">
        <v>UNB</v>
      </c>
      <c r="E6094">
        <v>51351.334669644886</v>
      </c>
      <c r="F6094">
        <v>0</v>
      </c>
    </row>
    <row r="6095" spans="2:6" ht="15.75" customHeight="1" x14ac:dyDescent="0.25">
      <c r="B6095" t="str">
        <v>Uncap Finance</v>
      </c>
      <c r="C6095" t="str">
        <v>CDP</v>
      </c>
      <c r="D6095" t="str">
        <v>-</v>
      </c>
      <c r="E6095">
        <v>1000887.7827705757</v>
      </c>
      <c r="F6095">
        <v>0</v>
      </c>
    </row>
    <row r="6096" spans="2:6" ht="15.75" customHeight="1" x14ac:dyDescent="0.25">
      <c r="B6096" t="str">
        <v>Unchain X</v>
      </c>
      <c r="C6096" t="str">
        <v>Dexs</v>
      </c>
      <c r="D6096" t="str">
        <v>UNX</v>
      </c>
      <c r="E6096">
        <v>1807835.9246083186</v>
      </c>
      <c r="F6096">
        <v>2370265.9374220627</v>
      </c>
    </row>
    <row r="6097" spans="2:6" ht="15.75" customHeight="1" x14ac:dyDescent="0.25">
      <c r="B6097" t="str">
        <v>UncleSam Protocol</v>
      </c>
      <c r="C6097" t="str">
        <v>Lending</v>
      </c>
      <c r="D6097" t="str">
        <v>SAM</v>
      </c>
      <c r="E6097">
        <v>7.0157095648792104E-3</v>
      </c>
      <c r="F6097">
        <v>0</v>
      </c>
    </row>
    <row r="6098" spans="2:6" ht="15.75" customHeight="1" x14ac:dyDescent="0.25">
      <c r="B6098" t="str">
        <v>UNCX Network V2</v>
      </c>
      <c r="C6098" t="str">
        <v>Token Locker</v>
      </c>
      <c r="D6098" t="str">
        <v>UNCX</v>
      </c>
      <c r="E6098">
        <v>198676747.94816756</v>
      </c>
      <c r="F6098">
        <v>0</v>
      </c>
    </row>
    <row r="6099" spans="2:6" ht="15.75" customHeight="1" x14ac:dyDescent="0.25">
      <c r="B6099" t="str">
        <v>UNCX Network V3</v>
      </c>
      <c r="C6099" t="str">
        <v>Token Locker</v>
      </c>
      <c r="D6099" t="str">
        <v>UNCX</v>
      </c>
      <c r="E6099">
        <v>35645555.790311821</v>
      </c>
      <c r="F6099">
        <v>0</v>
      </c>
    </row>
    <row r="6100" spans="2:6" ht="15.75" customHeight="1" x14ac:dyDescent="0.25">
      <c r="B6100" t="str">
        <v>Undead Finance</v>
      </c>
      <c r="C6100" t="str">
        <v>Yield</v>
      </c>
      <c r="D6100" t="str">
        <v>UNDEAD</v>
      </c>
      <c r="E6100">
        <v>0.4085279619673608</v>
      </c>
      <c r="F6100">
        <v>0</v>
      </c>
    </row>
    <row r="6101" spans="2:6" ht="15.75" customHeight="1" x14ac:dyDescent="0.25">
      <c r="B6101" t="str">
        <v>unFederalReserve</v>
      </c>
      <c r="C6101" t="str">
        <v>Lending</v>
      </c>
      <c r="D6101" t="str">
        <v>eRSDL</v>
      </c>
      <c r="E6101">
        <v>947.82042207742859</v>
      </c>
      <c r="F6101">
        <v>4922.8442931126847</v>
      </c>
    </row>
    <row r="6102" spans="2:6" ht="15.75" customHeight="1" x14ac:dyDescent="0.25">
      <c r="B6102" t="str">
        <v>Unibot</v>
      </c>
      <c r="C6102" t="str">
        <v>Telegram Bot</v>
      </c>
      <c r="D6102" t="str">
        <v>UNIBOT</v>
      </c>
      <c r="E6102">
        <v>0</v>
      </c>
      <c r="F6102">
        <v>1578767.1732029789</v>
      </c>
    </row>
    <row r="6103" spans="2:6" ht="15.75" customHeight="1" x14ac:dyDescent="0.25">
      <c r="B6103" t="str">
        <v>Unichain Bridge</v>
      </c>
      <c r="C6103" t="str">
        <v>Canonical Bridge</v>
      </c>
      <c r="D6103" t="str">
        <v>-</v>
      </c>
      <c r="E6103">
        <v>5525281.1364266323</v>
      </c>
      <c r="F6103">
        <v>0</v>
      </c>
    </row>
    <row r="6104" spans="2:6" ht="15.75" customHeight="1" x14ac:dyDescent="0.25">
      <c r="B6104" t="str">
        <v>Unicly</v>
      </c>
      <c r="C6104" t="str">
        <v>Dexs</v>
      </c>
      <c r="D6104" t="str">
        <v>UNIC</v>
      </c>
      <c r="E6104">
        <v>997664.62019708543</v>
      </c>
      <c r="F6104">
        <v>398730.3538602562</v>
      </c>
    </row>
    <row r="6105" spans="2:6" ht="15.75" customHeight="1" x14ac:dyDescent="0.25">
      <c r="B6105" t="str">
        <v>UnicornX</v>
      </c>
      <c r="C6105" t="str">
        <v>Trading App</v>
      </c>
      <c r="D6105" t="str">
        <v>-</v>
      </c>
      <c r="E6105">
        <v>0</v>
      </c>
      <c r="F6105">
        <v>0</v>
      </c>
    </row>
    <row r="6106" spans="2:6" ht="15.75" customHeight="1" x14ac:dyDescent="0.25">
      <c r="B6106" t="str">
        <v>UniDerp</v>
      </c>
      <c r="C6106" t="str">
        <v>Launchpad</v>
      </c>
      <c r="D6106" t="str">
        <v>-</v>
      </c>
      <c r="E6106">
        <v>15204.772306629289</v>
      </c>
      <c r="F6106">
        <v>0</v>
      </c>
    </row>
    <row r="6107" spans="2:6" ht="15.75" customHeight="1" x14ac:dyDescent="0.25">
      <c r="B6107" t="str">
        <v>Unidex Agg Perp</v>
      </c>
      <c r="C6107" t="str">
        <v>Derivatives</v>
      </c>
      <c r="D6107" t="str">
        <v>UNIDX</v>
      </c>
      <c r="E6107">
        <v>0</v>
      </c>
      <c r="F6107">
        <v>0</v>
      </c>
    </row>
    <row r="6108" spans="2:6" ht="15.75" customHeight="1" x14ac:dyDescent="0.25">
      <c r="B6108" t="str">
        <v>UniDex Perp</v>
      </c>
      <c r="C6108" t="str">
        <v>Derivatives</v>
      </c>
      <c r="D6108" t="str">
        <v>UNIDX</v>
      </c>
      <c r="E6108">
        <v>37840.710945423321</v>
      </c>
      <c r="F6108">
        <v>0</v>
      </c>
    </row>
    <row r="6109" spans="2:6" ht="15.75" customHeight="1" x14ac:dyDescent="0.25">
      <c r="B6109" t="str">
        <v>UniFarm</v>
      </c>
      <c r="C6109" t="str">
        <v>Yield</v>
      </c>
      <c r="D6109" t="str">
        <v>UFARM</v>
      </c>
      <c r="E6109">
        <v>302668.45813563868</v>
      </c>
      <c r="F6109">
        <v>0</v>
      </c>
    </row>
    <row r="6110" spans="2:6" ht="15.75" customHeight="1" x14ac:dyDescent="0.25">
      <c r="B6110" t="str">
        <v>UniFi</v>
      </c>
      <c r="C6110" t="str">
        <v>Dexs</v>
      </c>
      <c r="D6110" t="str">
        <v>UNFI</v>
      </c>
      <c r="E6110">
        <v>5203.6770421780993</v>
      </c>
      <c r="F6110">
        <v>855469.29783806996</v>
      </c>
    </row>
    <row r="6111" spans="2:6" ht="15.75" customHeight="1" x14ac:dyDescent="0.25">
      <c r="B6111" t="str">
        <v>UniFi Staking</v>
      </c>
      <c r="C6111" t="str">
        <v>Staking Pool</v>
      </c>
      <c r="D6111" t="str">
        <v>UNFI</v>
      </c>
      <c r="E6111">
        <v>0</v>
      </c>
      <c r="F6111">
        <v>0</v>
      </c>
    </row>
    <row r="6112" spans="2:6" ht="15.75" customHeight="1" x14ac:dyDescent="0.25">
      <c r="B6112" t="str">
        <v>Unihedge</v>
      </c>
      <c r="C6112" t="str">
        <v>Prediction Market</v>
      </c>
      <c r="D6112" t="str">
        <v>-</v>
      </c>
      <c r="E6112">
        <v>29.066091988655511</v>
      </c>
      <c r="F6112">
        <v>0</v>
      </c>
    </row>
    <row r="6113" spans="2:6" ht="15.75" customHeight="1" x14ac:dyDescent="0.25">
      <c r="B6113" t="str">
        <v>Unilend Protocol</v>
      </c>
      <c r="C6113" t="str">
        <v>Lending</v>
      </c>
      <c r="D6113" t="str">
        <v>-</v>
      </c>
      <c r="E6113">
        <v>371158.49498971237</v>
      </c>
      <c r="F6113">
        <v>0</v>
      </c>
    </row>
    <row r="6114" spans="2:6" ht="15.75" customHeight="1" x14ac:dyDescent="0.25">
      <c r="B6114" t="str">
        <v>Unilend V1</v>
      </c>
      <c r="C6114" t="str">
        <v>Lending</v>
      </c>
      <c r="D6114" t="str">
        <v>UFT</v>
      </c>
      <c r="E6114">
        <v>7175.330581923552</v>
      </c>
      <c r="F6114">
        <v>0</v>
      </c>
    </row>
    <row r="6115" spans="2:6" ht="15.75" customHeight="1" x14ac:dyDescent="0.25">
      <c r="B6115" t="str">
        <v>Unilend V2</v>
      </c>
      <c r="C6115" t="str">
        <v>Lending</v>
      </c>
      <c r="D6115" t="str">
        <v>UFT</v>
      </c>
      <c r="E6115">
        <v>3.5728572358638475</v>
      </c>
      <c r="F6115">
        <v>0</v>
      </c>
    </row>
    <row r="6116" spans="2:6" ht="15.75" customHeight="1" x14ac:dyDescent="0.25">
      <c r="B6116" t="str">
        <v>Union Protocol</v>
      </c>
      <c r="C6116" t="str">
        <v>Uncollateralized Lending</v>
      </c>
      <c r="D6116" t="str">
        <v>UNION</v>
      </c>
      <c r="E6116">
        <v>269847.32948771643</v>
      </c>
      <c r="F6116">
        <v>0</v>
      </c>
    </row>
    <row r="6117" spans="2:6" ht="15.75" customHeight="1" x14ac:dyDescent="0.25">
      <c r="B6117" t="str">
        <v>UniPower</v>
      </c>
      <c r="C6117" t="str">
        <v>Yield</v>
      </c>
      <c r="D6117" t="str">
        <v>POWER</v>
      </c>
      <c r="E6117">
        <v>330977.60787188937</v>
      </c>
      <c r="F6117">
        <v>182313.53004127191</v>
      </c>
    </row>
    <row r="6118" spans="2:6" ht="15.75" customHeight="1" x14ac:dyDescent="0.25">
      <c r="B6118" t="str">
        <v>Unirex Finance</v>
      </c>
      <c r="C6118" t="str">
        <v>Farm</v>
      </c>
      <c r="D6118" t="str">
        <v>UNIREX</v>
      </c>
      <c r="E6118">
        <v>15.672420543345019</v>
      </c>
      <c r="F6118">
        <v>0</v>
      </c>
    </row>
    <row r="6119" spans="2:6" ht="15.75" customHeight="1" x14ac:dyDescent="0.25">
      <c r="B6119" t="str">
        <v>UniRouter</v>
      </c>
      <c r="C6119" t="str">
        <v>Bridge</v>
      </c>
      <c r="D6119" t="str">
        <v>URO</v>
      </c>
      <c r="E6119">
        <v>345758537.08131492</v>
      </c>
      <c r="F6119">
        <v>49760.500137030816</v>
      </c>
    </row>
    <row r="6120" spans="2:6" ht="15.75" customHeight="1" x14ac:dyDescent="0.25">
      <c r="B6120" t="str">
        <v>Uniswap Labs</v>
      </c>
      <c r="C6120" t="str">
        <v>Developer Tools</v>
      </c>
      <c r="D6120" t="str">
        <v>-</v>
      </c>
      <c r="E6120">
        <v>0</v>
      </c>
      <c r="F6120">
        <v>0</v>
      </c>
    </row>
    <row r="6121" spans="2:6" ht="15.75" customHeight="1" x14ac:dyDescent="0.25">
      <c r="B6121" t="str">
        <v>Uniswap V1</v>
      </c>
      <c r="C6121" t="str">
        <v>Dexs</v>
      </c>
      <c r="D6121" t="str">
        <v>UNI</v>
      </c>
      <c r="E6121">
        <v>7299155.3273396567</v>
      </c>
      <c r="F6121">
        <v>0</v>
      </c>
    </row>
    <row r="6122" spans="2:6" ht="15.75" customHeight="1" x14ac:dyDescent="0.25">
      <c r="B6122" t="str">
        <v>Uniswap V2</v>
      </c>
      <c r="C6122" t="str">
        <v>Dexs</v>
      </c>
      <c r="D6122" t="str">
        <v>UNI</v>
      </c>
      <c r="E6122">
        <v>1309512474.3926351</v>
      </c>
      <c r="F6122">
        <v>0</v>
      </c>
    </row>
    <row r="6123" spans="2:6" ht="15.75" customHeight="1" x14ac:dyDescent="0.25">
      <c r="B6123" t="str">
        <v>Uniswap V3</v>
      </c>
      <c r="C6123" t="str">
        <v>Dexs</v>
      </c>
      <c r="D6123" t="str">
        <v>UNI</v>
      </c>
      <c r="E6123">
        <v>2200406416.1447525</v>
      </c>
      <c r="F6123">
        <v>0</v>
      </c>
    </row>
    <row r="6124" spans="2:6" ht="15.75" customHeight="1" x14ac:dyDescent="0.25">
      <c r="B6124" t="str">
        <v>Uniswap V4</v>
      </c>
      <c r="C6124" t="str">
        <v>Dexs</v>
      </c>
      <c r="D6124" t="str">
        <v>UNI</v>
      </c>
      <c r="E6124">
        <v>683116647.1659869</v>
      </c>
      <c r="F6124">
        <v>0</v>
      </c>
    </row>
    <row r="6125" spans="2:6" ht="15.75" customHeight="1" x14ac:dyDescent="0.25">
      <c r="B6125" t="str">
        <v>Unit</v>
      </c>
      <c r="C6125" t="str">
        <v>Bridge</v>
      </c>
      <c r="D6125" t="str">
        <v>-</v>
      </c>
      <c r="E6125">
        <v>554927890.073493</v>
      </c>
      <c r="F6125">
        <v>0</v>
      </c>
    </row>
    <row r="6126" spans="2:6" ht="15.75" customHeight="1" x14ac:dyDescent="0.25">
      <c r="B6126" t="str">
        <v>Unit Protocol</v>
      </c>
      <c r="C6126" t="str">
        <v>CDP</v>
      </c>
      <c r="D6126" t="str">
        <v>DUCK</v>
      </c>
      <c r="E6126">
        <v>332158.64198945812</v>
      </c>
      <c r="F6126">
        <v>0</v>
      </c>
    </row>
    <row r="6127" spans="2:6" ht="15.75" customHeight="1" x14ac:dyDescent="0.25">
      <c r="B6127" t="str">
        <v>Unitas</v>
      </c>
      <c r="C6127" t="str">
        <v>Basis Trading</v>
      </c>
      <c r="D6127" t="str">
        <v>-</v>
      </c>
      <c r="E6127">
        <v>27246708.381297961</v>
      </c>
      <c r="F6127">
        <v>0</v>
      </c>
    </row>
    <row r="6128" spans="2:6" ht="15.75" customHeight="1" x14ac:dyDescent="0.25">
      <c r="B6128" t="str">
        <v>Unite Finance</v>
      </c>
      <c r="C6128" t="str">
        <v>Algo-Stables</v>
      </c>
      <c r="D6128" t="str">
        <v>UNITE</v>
      </c>
      <c r="E6128">
        <v>0</v>
      </c>
      <c r="F6128">
        <v>0</v>
      </c>
    </row>
    <row r="6129" spans="2:6" ht="15.75" customHeight="1" x14ac:dyDescent="0.25">
      <c r="B6129" t="str">
        <v>Unitus</v>
      </c>
      <c r="C6129" t="str">
        <v>Lending</v>
      </c>
      <c r="D6129" t="str">
        <v>UTS</v>
      </c>
      <c r="E6129">
        <v>6571456.0270317849</v>
      </c>
      <c r="F6129">
        <v>0</v>
      </c>
    </row>
    <row r="6130" spans="2:6" ht="15.75" customHeight="1" x14ac:dyDescent="0.25">
      <c r="B6130" t="str">
        <v>Universal Bridge</v>
      </c>
      <c r="C6130" t="str">
        <v>Bridge</v>
      </c>
      <c r="D6130" t="str">
        <v>-</v>
      </c>
      <c r="E6130">
        <v>16762032.769999996</v>
      </c>
      <c r="F6130">
        <v>0</v>
      </c>
    </row>
    <row r="6131" spans="2:6" ht="15.75" customHeight="1" x14ac:dyDescent="0.25">
      <c r="B6131" t="str">
        <v>Universal Page</v>
      </c>
      <c r="C6131" t="str">
        <v>Staking Pool</v>
      </c>
      <c r="D6131" t="str">
        <v>-</v>
      </c>
      <c r="E6131">
        <v>666856.70686011389</v>
      </c>
      <c r="F6131">
        <v>0</v>
      </c>
    </row>
    <row r="6132" spans="2:6" ht="15.75" customHeight="1" x14ac:dyDescent="0.25">
      <c r="B6132" t="str">
        <v>Universal Swaps</v>
      </c>
      <c r="C6132" t="str">
        <v>Dexs</v>
      </c>
      <c r="D6132" t="str">
        <v>-</v>
      </c>
      <c r="E6132">
        <v>31920.736272927054</v>
      </c>
      <c r="F6132">
        <v>0</v>
      </c>
    </row>
    <row r="6133" spans="2:6" ht="15.75" customHeight="1" x14ac:dyDescent="0.25">
      <c r="B6133" t="str">
        <v>Universe Finance</v>
      </c>
      <c r="C6133" t="str">
        <v>Liquidity manager</v>
      </c>
      <c r="D6133" t="str">
        <v>UNT</v>
      </c>
      <c r="E6133">
        <v>31181.35060164077</v>
      </c>
      <c r="F6133">
        <v>0</v>
      </c>
    </row>
    <row r="6134" spans="2:6" ht="15.75" customHeight="1" x14ac:dyDescent="0.25">
      <c r="B6134" t="str">
        <v>Universe XYZ</v>
      </c>
      <c r="C6134" t="str">
        <v>Yield</v>
      </c>
      <c r="D6134" t="str">
        <v>XYZ</v>
      </c>
      <c r="E6134">
        <v>3054515.0432079122</v>
      </c>
      <c r="F6134">
        <v>107168.85363481203</v>
      </c>
    </row>
    <row r="6135" spans="2:6" ht="15.75" customHeight="1" x14ac:dyDescent="0.25">
      <c r="B6135" t="str">
        <v>UniverseFTM</v>
      </c>
      <c r="C6135" t="str">
        <v>Yield</v>
      </c>
      <c r="D6135" t="str">
        <v>UNIVERSE</v>
      </c>
      <c r="E6135">
        <v>44.388019746078143</v>
      </c>
      <c r="F6135">
        <v>0</v>
      </c>
    </row>
    <row r="6136" spans="2:6" ht="15.75" customHeight="1" x14ac:dyDescent="0.25">
      <c r="B6136" t="str">
        <v>UniVoucher</v>
      </c>
      <c r="C6136" t="str">
        <v>Payments</v>
      </c>
      <c r="D6136" t="str">
        <v>-</v>
      </c>
      <c r="E6136">
        <v>3287.171476483079</v>
      </c>
      <c r="F6136">
        <v>0</v>
      </c>
    </row>
    <row r="6137" spans="2:6" ht="15.75" customHeight="1" x14ac:dyDescent="0.25">
      <c r="B6137" t="str">
        <v>Uniwhale</v>
      </c>
      <c r="C6137" t="str">
        <v>Derivatives</v>
      </c>
      <c r="D6137" t="str">
        <v>UNW</v>
      </c>
      <c r="E6137">
        <v>221500.56617606737</v>
      </c>
      <c r="F6137">
        <v>9891.7335580629569</v>
      </c>
    </row>
    <row r="6138" spans="2:6" ht="15.75" customHeight="1" x14ac:dyDescent="0.25">
      <c r="B6138" t="str">
        <v>UniWswap AMM</v>
      </c>
      <c r="C6138" t="str">
        <v>Dexs</v>
      </c>
      <c r="D6138" t="str">
        <v>UNIW</v>
      </c>
      <c r="E6138">
        <v>4.0721447719446111</v>
      </c>
      <c r="F6138">
        <v>0</v>
      </c>
    </row>
    <row r="6139" spans="2:6" ht="15.75" customHeight="1" x14ac:dyDescent="0.25">
      <c r="B6139" t="str">
        <v>UniWswap UNIA Farms</v>
      </c>
      <c r="C6139" t="str">
        <v>Farm</v>
      </c>
      <c r="D6139" t="str">
        <v>UNIW</v>
      </c>
      <c r="E6139">
        <v>1071.138630320713</v>
      </c>
      <c r="F6139">
        <v>0</v>
      </c>
    </row>
    <row r="6140" spans="2:6" ht="15.75" customHeight="1" x14ac:dyDescent="0.25">
      <c r="B6140" t="str">
        <v>Unizen</v>
      </c>
      <c r="C6140" t="str">
        <v>DEX Aggregator</v>
      </c>
      <c r="D6140" t="str">
        <v>ZCX</v>
      </c>
      <c r="E6140">
        <v>0</v>
      </c>
      <c r="F6140">
        <v>2406590.6101053935</v>
      </c>
    </row>
    <row r="6141" spans="2:6" ht="15.75" customHeight="1" x14ac:dyDescent="0.25">
      <c r="B6141" t="str">
        <v>Unknown</v>
      </c>
      <c r="C6141" t="str">
        <v>Yield</v>
      </c>
      <c r="D6141" t="str">
        <v>UNKWN</v>
      </c>
      <c r="E6141">
        <v>2322.6282210368445</v>
      </c>
      <c r="F6141">
        <v>0</v>
      </c>
    </row>
    <row r="6142" spans="2:6" ht="15.75" customHeight="1" x14ac:dyDescent="0.25">
      <c r="B6142" t="str">
        <v>Unleash Protocol</v>
      </c>
      <c r="C6142" t="str">
        <v>Lending</v>
      </c>
      <c r="D6142" t="str">
        <v>-</v>
      </c>
      <c r="E6142">
        <v>0</v>
      </c>
      <c r="F6142">
        <v>0</v>
      </c>
    </row>
    <row r="6143" spans="2:6" ht="15.75" customHeight="1" x14ac:dyDescent="0.25">
      <c r="B6143" t="str">
        <v>Unlimited Network</v>
      </c>
      <c r="C6143" t="str">
        <v>Derivatives</v>
      </c>
      <c r="D6143" t="str">
        <v>UWU</v>
      </c>
      <c r="E6143">
        <v>772.57862901812018</v>
      </c>
      <c r="F6143">
        <v>0</v>
      </c>
    </row>
    <row r="6144" spans="2:6" ht="15.75" customHeight="1" x14ac:dyDescent="0.25">
      <c r="B6144" t="str">
        <v>Unlock Protocol</v>
      </c>
      <c r="C6144" t="str">
        <v>Payments</v>
      </c>
      <c r="D6144" t="str">
        <v>UP</v>
      </c>
      <c r="E6144">
        <v>0</v>
      </c>
      <c r="F6144">
        <v>628069.01702158118</v>
      </c>
    </row>
    <row r="6145" spans="2:6" ht="15.75" customHeight="1" x14ac:dyDescent="0.25">
      <c r="B6145" t="str">
        <v>Unlockd V1</v>
      </c>
      <c r="C6145" t="str">
        <v>Lending</v>
      </c>
      <c r="D6145" t="str">
        <v>-</v>
      </c>
      <c r="E6145">
        <v>11619.369197016309</v>
      </c>
      <c r="F6145">
        <v>0</v>
      </c>
    </row>
    <row r="6146" spans="2:6" ht="15.75" customHeight="1" x14ac:dyDescent="0.25">
      <c r="B6146" t="str">
        <v>Unlockd V2</v>
      </c>
      <c r="C6146" t="str">
        <v>Lending</v>
      </c>
      <c r="D6146" t="str">
        <v>-</v>
      </c>
      <c r="E6146">
        <v>1566.2916703581602</v>
      </c>
      <c r="F6146">
        <v>0</v>
      </c>
    </row>
    <row r="6147" spans="2:6" ht="15.75" customHeight="1" x14ac:dyDescent="0.25">
      <c r="B6147" t="str">
        <v>UNO farm</v>
      </c>
      <c r="C6147" t="str">
        <v>Yield Aggregator</v>
      </c>
      <c r="D6147" t="str">
        <v>-</v>
      </c>
      <c r="E6147">
        <v>7184.758635377766</v>
      </c>
      <c r="F6147">
        <v>0</v>
      </c>
    </row>
    <row r="6148" spans="2:6" ht="15.75" customHeight="1" x14ac:dyDescent="0.25">
      <c r="B6148" t="str">
        <v>unshETH</v>
      </c>
      <c r="C6148" t="str">
        <v>Indexes</v>
      </c>
      <c r="D6148" t="str">
        <v>USH</v>
      </c>
      <c r="E6148">
        <v>252553.43359841566</v>
      </c>
      <c r="F6148">
        <v>17850.377424686147</v>
      </c>
    </row>
    <row r="6149" spans="2:6" ht="15.75" customHeight="1" x14ac:dyDescent="0.25">
      <c r="B6149" t="str">
        <v>Unslashed</v>
      </c>
      <c r="C6149" t="str">
        <v>Insurance</v>
      </c>
      <c r="D6149" t="str">
        <v>USF</v>
      </c>
      <c r="E6149">
        <v>4522139.6479544584</v>
      </c>
      <c r="F6149">
        <v>396856.814092068</v>
      </c>
    </row>
    <row r="6150" spans="2:6" ht="15.75" customHeight="1" x14ac:dyDescent="0.25">
      <c r="B6150" t="str">
        <v>Untangled RWA</v>
      </c>
      <c r="C6150" t="str">
        <v>RWA</v>
      </c>
      <c r="D6150" t="str">
        <v>-</v>
      </c>
      <c r="E6150">
        <v>12.017196057988</v>
      </c>
      <c r="F6150">
        <v>0</v>
      </c>
    </row>
    <row r="6151" spans="2:6" ht="15.75" customHeight="1" x14ac:dyDescent="0.25">
      <c r="B6151" t="str">
        <v>Untangled Vault</v>
      </c>
      <c r="C6151" t="str">
        <v>Onchain Capital Allocator</v>
      </c>
      <c r="D6151" t="str">
        <v>-</v>
      </c>
      <c r="E6151">
        <v>149519.62911949694</v>
      </c>
      <c r="F6151">
        <v>0</v>
      </c>
    </row>
    <row r="6152" spans="2:6" ht="15.75" customHeight="1" x14ac:dyDescent="0.25">
      <c r="B6152" t="str">
        <v>UntitledBank</v>
      </c>
      <c r="C6152" t="str">
        <v>Lending</v>
      </c>
      <c r="D6152" t="str">
        <v>-</v>
      </c>
      <c r="E6152">
        <v>746311.95332330302</v>
      </c>
      <c r="F6152">
        <v>0</v>
      </c>
    </row>
    <row r="6153" spans="2:6" ht="15.75" customHeight="1" x14ac:dyDescent="0.25">
      <c r="B6153" t="str">
        <v>UnusDao</v>
      </c>
      <c r="C6153" t="str">
        <v>Reserve Currency</v>
      </c>
      <c r="D6153" t="str">
        <v>UDO</v>
      </c>
      <c r="E6153">
        <v>0</v>
      </c>
      <c r="F6153">
        <v>0</v>
      </c>
    </row>
    <row r="6154" spans="2:6" ht="15.75" customHeight="1" x14ac:dyDescent="0.25">
      <c r="B6154" t="str">
        <v>Upheaval Spot AMM</v>
      </c>
      <c r="C6154" t="str">
        <v>Dexs</v>
      </c>
      <c r="D6154" t="str">
        <v>UPHL</v>
      </c>
      <c r="E6154">
        <v>0</v>
      </c>
      <c r="F6154">
        <v>0</v>
      </c>
    </row>
    <row r="6155" spans="2:6" ht="15.75" customHeight="1" x14ac:dyDescent="0.25">
      <c r="B6155" t="str">
        <v>Upheaval V2</v>
      </c>
      <c r="C6155" t="str">
        <v>Dexs</v>
      </c>
      <c r="D6155" t="str">
        <v>UPHL</v>
      </c>
      <c r="E6155">
        <v>66.431900633914154</v>
      </c>
      <c r="F6155">
        <v>0</v>
      </c>
    </row>
    <row r="6156" spans="2:6" ht="15.75" customHeight="1" x14ac:dyDescent="0.25">
      <c r="B6156" t="str">
        <v>Upheaval V3</v>
      </c>
      <c r="C6156" t="str">
        <v>Dexs</v>
      </c>
      <c r="D6156" t="str">
        <v>UPHL</v>
      </c>
      <c r="E6156">
        <v>851157.10161193216</v>
      </c>
      <c r="F6156">
        <v>0</v>
      </c>
    </row>
    <row r="6157" spans="2:6" ht="15.75" customHeight="1" x14ac:dyDescent="0.25">
      <c r="B6157" t="str">
        <v>Uplift DAO</v>
      </c>
      <c r="C6157" t="str">
        <v>Launchpad</v>
      </c>
      <c r="D6157" t="str">
        <v>LIFT</v>
      </c>
      <c r="E6157">
        <v>0</v>
      </c>
      <c r="F6157">
        <v>0</v>
      </c>
    </row>
    <row r="6158" spans="2:6" ht="15.75" customHeight="1" x14ac:dyDescent="0.25">
      <c r="B6158" t="str">
        <v>Upscale</v>
      </c>
      <c r="C6158" t="str">
        <v>Derivatives</v>
      </c>
      <c r="D6158" t="str">
        <v>-</v>
      </c>
      <c r="E6158">
        <v>0</v>
      </c>
      <c r="F6158">
        <v>0</v>
      </c>
    </row>
    <row r="6159" spans="2:6" ht="15.75" customHeight="1" x14ac:dyDescent="0.25">
      <c r="B6159" t="str">
        <v>Upshift</v>
      </c>
      <c r="C6159" t="str">
        <v>Onchain Capital Allocator</v>
      </c>
      <c r="D6159" t="str">
        <v>-</v>
      </c>
      <c r="E6159">
        <v>433122560.46717912</v>
      </c>
      <c r="F6159">
        <v>0</v>
      </c>
    </row>
    <row r="6160" spans="2:6" ht="15.75" customHeight="1" x14ac:dyDescent="0.25">
      <c r="B6160" t="str">
        <v>Ura Dex</v>
      </c>
      <c r="C6160" t="str">
        <v>Dexs</v>
      </c>
      <c r="D6160" t="str">
        <v>-</v>
      </c>
      <c r="E6160">
        <v>4598.1620063088685</v>
      </c>
      <c r="F6160">
        <v>0</v>
      </c>
    </row>
    <row r="6161" spans="2:6" ht="15.75" customHeight="1" x14ac:dyDescent="0.25">
      <c r="B6161" t="str">
        <v>Uranium.io</v>
      </c>
      <c r="C6161" t="str">
        <v>RWA</v>
      </c>
      <c r="D6161" t="str">
        <v>XU3O8</v>
      </c>
      <c r="E6161">
        <v>7238554.813929107</v>
      </c>
      <c r="F6161">
        <v>0</v>
      </c>
    </row>
    <row r="6162" spans="2:6" ht="15.75" customHeight="1" x14ac:dyDescent="0.25">
      <c r="B6162" t="str">
        <v>UrDEX Finance</v>
      </c>
      <c r="C6162" t="str">
        <v>Derivatives</v>
      </c>
      <c r="D6162" t="str">
        <v>URD</v>
      </c>
      <c r="E6162">
        <v>0</v>
      </c>
      <c r="F6162">
        <v>0</v>
      </c>
    </row>
    <row r="6163" spans="2:6" ht="15.75" customHeight="1" x14ac:dyDescent="0.25">
      <c r="B6163" t="str">
        <v>USD AI</v>
      </c>
      <c r="C6163" t="str">
        <v>RWA Lending</v>
      </c>
      <c r="D6163" t="str">
        <v>-</v>
      </c>
      <c r="E6163">
        <v>685309871.94828725</v>
      </c>
      <c r="F6163">
        <v>0</v>
      </c>
    </row>
    <row r="6164" spans="2:6" ht="15.75" customHeight="1" x14ac:dyDescent="0.25">
      <c r="B6164" t="str">
        <v>USDD</v>
      </c>
      <c r="C6164" t="str">
        <v>CDP</v>
      </c>
      <c r="D6164" t="str">
        <v>-</v>
      </c>
      <c r="E6164">
        <v>377727933.30238849</v>
      </c>
      <c r="F6164">
        <v>0</v>
      </c>
    </row>
    <row r="6165" spans="2:6" ht="15.75" customHeight="1" x14ac:dyDescent="0.25">
      <c r="B6165" t="str">
        <v>USDFC</v>
      </c>
      <c r="C6165" t="str">
        <v>CDP</v>
      </c>
      <c r="D6165" t="str">
        <v>-</v>
      </c>
      <c r="E6165">
        <v>458686.82235512923</v>
      </c>
      <c r="F6165">
        <v>0</v>
      </c>
    </row>
    <row r="6166" spans="2:6" ht="15.75" customHeight="1" x14ac:dyDescent="0.25">
      <c r="B6166" t="str">
        <v>USDFI Lending</v>
      </c>
      <c r="C6166" t="str">
        <v>Lending</v>
      </c>
      <c r="D6166" t="str">
        <v>STABLE</v>
      </c>
      <c r="E6166">
        <v>162342.59824777266</v>
      </c>
      <c r="F6166">
        <v>0</v>
      </c>
    </row>
    <row r="6167" spans="2:6" ht="15.75" customHeight="1" x14ac:dyDescent="0.25">
      <c r="B6167" t="str">
        <v>USDO</v>
      </c>
      <c r="C6167" t="str">
        <v>CDP</v>
      </c>
      <c r="D6167" t="str">
        <v>-</v>
      </c>
      <c r="E6167">
        <v>284643.48214353074</v>
      </c>
      <c r="F6167">
        <v>0</v>
      </c>
    </row>
    <row r="6168" spans="2:6" ht="15.75" customHeight="1" x14ac:dyDescent="0.25">
      <c r="B6168" t="str">
        <v>USDT0</v>
      </c>
      <c r="C6168" t="str">
        <v>Bridge</v>
      </c>
      <c r="D6168" t="str">
        <v>-</v>
      </c>
      <c r="E6168">
        <v>4570537801.4987144</v>
      </c>
      <c r="F6168">
        <v>0</v>
      </c>
    </row>
    <row r="6169" spans="2:6" ht="15.75" customHeight="1" x14ac:dyDescent="0.25">
      <c r="B6169" t="str">
        <v>USK</v>
      </c>
      <c r="C6169" t="str">
        <v>CDP</v>
      </c>
      <c r="D6169" t="str">
        <v>-</v>
      </c>
      <c r="E6169">
        <v>355517.34360828676</v>
      </c>
      <c r="F6169">
        <v>0</v>
      </c>
    </row>
    <row r="6170" spans="2:6" ht="15.75" customHeight="1" x14ac:dyDescent="0.25">
      <c r="B6170" t="str">
        <v>Usual</v>
      </c>
      <c r="C6170" t="str">
        <v>RWA</v>
      </c>
      <c r="D6170" t="str">
        <v>USUAL</v>
      </c>
      <c r="E6170">
        <v>146785470.23343623</v>
      </c>
      <c r="F6170">
        <v>43214200.526414074</v>
      </c>
    </row>
    <row r="6171" spans="2:6" ht="15.75" customHeight="1" x14ac:dyDescent="0.25">
      <c r="B6171" t="str">
        <v>Usury Finance</v>
      </c>
      <c r="C6171" t="str">
        <v>Lending</v>
      </c>
      <c r="D6171" t="str">
        <v>-</v>
      </c>
      <c r="E6171">
        <v>1.0030249371409692</v>
      </c>
      <c r="F6171">
        <v>0</v>
      </c>
    </row>
    <row r="6172" spans="2:6" ht="15.75" customHeight="1" x14ac:dyDescent="0.25">
      <c r="B6172" t="str">
        <v>Uswap</v>
      </c>
      <c r="C6172" t="str">
        <v>Dexs</v>
      </c>
      <c r="D6172" t="str">
        <v>-</v>
      </c>
      <c r="E6172">
        <v>593267.16150758404</v>
      </c>
      <c r="F6172">
        <v>0</v>
      </c>
    </row>
    <row r="6173" spans="2:6" ht="15.75" customHeight="1" x14ac:dyDescent="0.25">
      <c r="B6173" t="str">
        <v>USX.Capital</v>
      </c>
      <c r="C6173" t="str">
        <v>Stablecoin</v>
      </c>
      <c r="D6173" t="str">
        <v>-</v>
      </c>
      <c r="E6173">
        <v>3982215.6224010712</v>
      </c>
      <c r="F6173">
        <v>0</v>
      </c>
    </row>
    <row r="6174" spans="2:6" ht="15.75" customHeight="1" x14ac:dyDescent="0.25">
      <c r="B6174" t="str">
        <v>UTONIC</v>
      </c>
      <c r="C6174" t="str">
        <v>Liquid Staking</v>
      </c>
      <c r="D6174" t="str">
        <v>-</v>
      </c>
      <c r="E6174">
        <v>5736734.8436026582</v>
      </c>
      <c r="F6174">
        <v>0</v>
      </c>
    </row>
    <row r="6175" spans="2:6" ht="15.75" customHeight="1" x14ac:dyDescent="0.25">
      <c r="B6175" t="str">
        <v>Utopia</v>
      </c>
      <c r="C6175" t="str">
        <v>Ponzi</v>
      </c>
      <c r="D6175" t="str">
        <v>UTOPIA</v>
      </c>
      <c r="E6175">
        <v>15261.360068658987</v>
      </c>
      <c r="F6175">
        <v>171506.33802752325</v>
      </c>
    </row>
    <row r="6176" spans="2:6" ht="15.75" customHeight="1" x14ac:dyDescent="0.25">
      <c r="B6176" t="str">
        <v>UtyabSwap</v>
      </c>
      <c r="C6176" t="str">
        <v>Dexs</v>
      </c>
      <c r="D6176" t="str">
        <v>UTYAB</v>
      </c>
      <c r="E6176">
        <v>10.42099305095363</v>
      </c>
      <c r="F6176">
        <v>31668.642614406112</v>
      </c>
    </row>
    <row r="6177" spans="2:6" ht="15.75" customHeight="1" x14ac:dyDescent="0.25">
      <c r="B6177" t="str">
        <v>UwU Lend</v>
      </c>
      <c r="C6177" t="str">
        <v>Lending</v>
      </c>
      <c r="D6177" t="str">
        <v>UWU</v>
      </c>
      <c r="E6177">
        <v>299315.46399876534</v>
      </c>
      <c r="F6177">
        <v>0</v>
      </c>
    </row>
    <row r="6178" spans="2:6" ht="15.75" customHeight="1" x14ac:dyDescent="0.25">
      <c r="B6178" t="str">
        <v>UWU Protocol</v>
      </c>
      <c r="C6178" t="str">
        <v>CDP</v>
      </c>
      <c r="D6178" t="str">
        <v>-</v>
      </c>
      <c r="E6178">
        <v>3813.914522127091</v>
      </c>
      <c r="F6178">
        <v>0</v>
      </c>
    </row>
    <row r="6179" spans="2:6" ht="15.75" customHeight="1" x14ac:dyDescent="0.25">
      <c r="B6179" t="str">
        <v>UXD</v>
      </c>
      <c r="C6179" t="str">
        <v>Partially Algorithmic Stablecoin</v>
      </c>
      <c r="D6179" t="str">
        <v>UXP</v>
      </c>
      <c r="E6179">
        <v>307964.15829159255</v>
      </c>
      <c r="F6179">
        <v>0</v>
      </c>
    </row>
    <row r="6180" spans="2:6" ht="15.75" customHeight="1" x14ac:dyDescent="0.25">
      <c r="B6180" t="str">
        <v>UXLINK</v>
      </c>
      <c r="C6180" t="str">
        <v>SoFi</v>
      </c>
      <c r="D6180" t="str">
        <v>UXLINK</v>
      </c>
      <c r="E6180">
        <v>0</v>
      </c>
      <c r="F6180">
        <v>9887816.7831180897</v>
      </c>
    </row>
    <row r="6181" spans="2:6" ht="15.75" customHeight="1" x14ac:dyDescent="0.25">
      <c r="B6181" t="str">
        <v>V12</v>
      </c>
      <c r="C6181" t="str">
        <v>Dexs</v>
      </c>
      <c r="D6181" t="str">
        <v>-</v>
      </c>
      <c r="E6181">
        <v>13227.715542132466</v>
      </c>
      <c r="F6181">
        <v>0</v>
      </c>
    </row>
    <row r="6182" spans="2:6" ht="15.75" customHeight="1" x14ac:dyDescent="0.25">
      <c r="B6182" t="str">
        <v>v2swap</v>
      </c>
      <c r="C6182" t="str">
        <v>Dexs</v>
      </c>
      <c r="D6182" t="str">
        <v>-</v>
      </c>
      <c r="E6182">
        <v>43.830071216735966</v>
      </c>
      <c r="F6182">
        <v>0</v>
      </c>
    </row>
    <row r="6183" spans="2:6" ht="15.75" customHeight="1" x14ac:dyDescent="0.25">
      <c r="B6183" t="str">
        <v>V3S Finance</v>
      </c>
      <c r="C6183" t="str">
        <v>Algo-Stables</v>
      </c>
      <c r="D6183" t="str">
        <v>V3S</v>
      </c>
      <c r="E6183">
        <v>14.255013015542826</v>
      </c>
      <c r="F6183">
        <v>0</v>
      </c>
    </row>
    <row r="6184" spans="2:6" ht="15.75" customHeight="1" x14ac:dyDescent="0.25">
      <c r="B6184" t="str">
        <v>v60</v>
      </c>
      <c r="C6184" t="str">
        <v>Dexs</v>
      </c>
      <c r="D6184" t="str">
        <v>-</v>
      </c>
      <c r="E6184">
        <v>485339.00665634556</v>
      </c>
      <c r="F6184">
        <v>0</v>
      </c>
    </row>
    <row r="6185" spans="2:6" ht="15.75" customHeight="1" x14ac:dyDescent="0.25">
      <c r="B6185" t="str">
        <v>Vacus Finance</v>
      </c>
      <c r="C6185" t="str">
        <v>Yield Aggregator</v>
      </c>
      <c r="D6185" t="str">
        <v>VCS</v>
      </c>
      <c r="E6185">
        <v>0.81789864290137637</v>
      </c>
      <c r="F6185">
        <v>0</v>
      </c>
    </row>
    <row r="6186" spans="2:6" ht="15.75" customHeight="1" x14ac:dyDescent="0.25">
      <c r="B6186" t="str">
        <v>Vader AI</v>
      </c>
      <c r="C6186" t="str">
        <v>AI Agents</v>
      </c>
      <c r="D6186" t="str">
        <v>VADER</v>
      </c>
      <c r="E6186">
        <v>0</v>
      </c>
      <c r="F6186">
        <v>4035565.4989949786</v>
      </c>
    </row>
    <row r="6187" spans="2:6" ht="15.75" customHeight="1" x14ac:dyDescent="0.25">
      <c r="B6187" t="str">
        <v>Valantis STEX</v>
      </c>
      <c r="C6187" t="str">
        <v>Dexs</v>
      </c>
      <c r="D6187" t="str">
        <v>-</v>
      </c>
      <c r="E6187">
        <v>18721930.713822097</v>
      </c>
      <c r="F6187">
        <v>0</v>
      </c>
    </row>
    <row r="6188" spans="2:6" ht="15.75" customHeight="1" x14ac:dyDescent="0.25">
      <c r="B6188" t="str">
        <v>Valas Finance</v>
      </c>
      <c r="C6188" t="str">
        <v>Lending</v>
      </c>
      <c r="D6188" t="str">
        <v>VALAS</v>
      </c>
      <c r="E6188">
        <v>584127.16579867748</v>
      </c>
      <c r="F6188">
        <v>354835.73524315056</v>
      </c>
    </row>
    <row r="6189" spans="2:6" ht="15.75" customHeight="1" x14ac:dyDescent="0.25">
      <c r="B6189" t="str">
        <v>Valdora Finance</v>
      </c>
      <c r="C6189" t="str">
        <v>Liquid Staking</v>
      </c>
      <c r="D6189" t="str">
        <v>-</v>
      </c>
      <c r="E6189">
        <v>11565257.920501182</v>
      </c>
      <c r="F6189">
        <v>0</v>
      </c>
    </row>
    <row r="6190" spans="2:6" ht="15.75" customHeight="1" x14ac:dyDescent="0.25">
      <c r="B6190" t="str">
        <v>Valence</v>
      </c>
      <c r="C6190" t="str">
        <v>Treasury Manager</v>
      </c>
      <c r="D6190" t="str">
        <v>-</v>
      </c>
      <c r="E6190">
        <v>438070.86841096345</v>
      </c>
      <c r="F6190">
        <v>0</v>
      </c>
    </row>
    <row r="6191" spans="2:6" ht="15.75" customHeight="1" x14ac:dyDescent="0.25">
      <c r="B6191" t="str">
        <v>Valerian</v>
      </c>
      <c r="C6191" t="str">
        <v>Yield</v>
      </c>
      <c r="D6191" t="str">
        <v>VAL</v>
      </c>
      <c r="E6191">
        <v>0</v>
      </c>
      <c r="F6191">
        <v>0</v>
      </c>
    </row>
    <row r="6192" spans="2:6" ht="15.75" customHeight="1" x14ac:dyDescent="0.25">
      <c r="B6192" t="str">
        <v>ValhallaDAO</v>
      </c>
      <c r="C6192" t="str">
        <v>Reserve Currency</v>
      </c>
      <c r="D6192" t="str">
        <v>VALDAO</v>
      </c>
      <c r="E6192">
        <v>1.743964676461053E-5</v>
      </c>
      <c r="F6192">
        <v>0</v>
      </c>
    </row>
    <row r="6193" spans="2:6" ht="15.75" customHeight="1" x14ac:dyDescent="0.25">
      <c r="B6193" t="str">
        <v>Valiant Trade</v>
      </c>
      <c r="C6193" t="str">
        <v>Dexs</v>
      </c>
      <c r="D6193" t="str">
        <v>-</v>
      </c>
      <c r="E6193">
        <v>224392.8333336564</v>
      </c>
      <c r="F6193">
        <v>0</v>
      </c>
    </row>
    <row r="6194" spans="2:6" ht="15.75" customHeight="1" x14ac:dyDescent="0.25">
      <c r="B6194" t="str">
        <v>Valkyrie</v>
      </c>
      <c r="C6194" t="str">
        <v>Launchpad</v>
      </c>
      <c r="D6194" t="str">
        <v>VKR</v>
      </c>
      <c r="E6194">
        <v>0</v>
      </c>
      <c r="F6194">
        <v>40060.171866650708</v>
      </c>
    </row>
    <row r="6195" spans="2:6" ht="15.75" customHeight="1" x14ac:dyDescent="0.25">
      <c r="B6195" t="str">
        <v>ValleySwap</v>
      </c>
      <c r="C6195" t="str">
        <v>Dexs</v>
      </c>
      <c r="D6195" t="str">
        <v>VS</v>
      </c>
      <c r="E6195">
        <v>105.53146868073162</v>
      </c>
      <c r="F6195">
        <v>0</v>
      </c>
    </row>
    <row r="6196" spans="2:6" ht="15.75" customHeight="1" x14ac:dyDescent="0.25">
      <c r="B6196" t="str">
        <v>Valorem</v>
      </c>
      <c r="C6196" t="str">
        <v>Options Vault</v>
      </c>
      <c r="D6196" t="str">
        <v>-</v>
      </c>
      <c r="E6196">
        <v>64.880902572442892</v>
      </c>
      <c r="F6196">
        <v>0</v>
      </c>
    </row>
    <row r="6197" spans="2:6" ht="15.75" customHeight="1" x14ac:dyDescent="0.25">
      <c r="B6197" t="str">
        <v>Valoro</v>
      </c>
      <c r="C6197" t="str">
        <v>Indexes</v>
      </c>
      <c r="D6197" t="str">
        <v>-</v>
      </c>
      <c r="E6197">
        <v>2825.98550839874</v>
      </c>
      <c r="F6197">
        <v>0</v>
      </c>
    </row>
    <row r="6198" spans="2:6" ht="15.75" customHeight="1" x14ac:dyDescent="0.25">
      <c r="B6198" t="str">
        <v>Value Liquid</v>
      </c>
      <c r="C6198" t="str">
        <v>Dexs</v>
      </c>
      <c r="D6198" t="str">
        <v>VALUE</v>
      </c>
      <c r="E6198">
        <v>167169.49252812934</v>
      </c>
      <c r="F6198">
        <v>47455.427251520334</v>
      </c>
    </row>
    <row r="6199" spans="2:6" ht="15.75" customHeight="1" x14ac:dyDescent="0.25">
      <c r="B6199" t="str">
        <v>ValueDefi</v>
      </c>
      <c r="C6199" t="str">
        <v>Dexs</v>
      </c>
      <c r="D6199" t="str">
        <v>VALUE</v>
      </c>
      <c r="E6199">
        <v>560349.64122813614</v>
      </c>
      <c r="F6199">
        <v>0</v>
      </c>
    </row>
    <row r="6200" spans="2:6" ht="15.75" customHeight="1" x14ac:dyDescent="0.25">
      <c r="B6200" t="str">
        <v>VampireSwap</v>
      </c>
      <c r="C6200" t="str">
        <v>Dexs</v>
      </c>
      <c r="D6200" t="str">
        <v>VAM</v>
      </c>
      <c r="E6200">
        <v>64.994874127824716</v>
      </c>
      <c r="F6200">
        <v>0</v>
      </c>
    </row>
    <row r="6201" spans="2:6" ht="15.75" customHeight="1" x14ac:dyDescent="0.25">
      <c r="B6201" t="str">
        <v>VanEck Treasury Fund</v>
      </c>
      <c r="C6201" t="str">
        <v>RWA</v>
      </c>
      <c r="D6201" t="str">
        <v>-</v>
      </c>
      <c r="E6201">
        <v>75374063.689999998</v>
      </c>
      <c r="F6201">
        <v>0</v>
      </c>
    </row>
    <row r="6202" spans="2:6" ht="15.75" customHeight="1" x14ac:dyDescent="0.25">
      <c r="B6202" t="str">
        <v>Vanilla</v>
      </c>
      <c r="C6202" t="str">
        <v>Derivatives</v>
      </c>
      <c r="D6202" t="str">
        <v>VNL</v>
      </c>
      <c r="E6202">
        <v>16524.842278634915</v>
      </c>
      <c r="F6202">
        <v>0</v>
      </c>
    </row>
    <row r="6203" spans="2:6" ht="15.75" customHeight="1" x14ac:dyDescent="0.25">
      <c r="B6203" t="str">
        <v>VanillaSwap V2</v>
      </c>
      <c r="C6203" t="str">
        <v>Dexs</v>
      </c>
      <c r="D6203" t="str">
        <v>-</v>
      </c>
      <c r="E6203">
        <v>75264.461461662489</v>
      </c>
      <c r="F6203">
        <v>0</v>
      </c>
    </row>
    <row r="6204" spans="2:6" ht="15.75" customHeight="1" x14ac:dyDescent="0.25">
      <c r="B6204" t="str">
        <v>VanillaSwap V3</v>
      </c>
      <c r="C6204" t="str">
        <v>Dexs</v>
      </c>
      <c r="D6204" t="str">
        <v>-</v>
      </c>
      <c r="E6204">
        <v>11079.540947297277</v>
      </c>
      <c r="F6204">
        <v>0</v>
      </c>
    </row>
    <row r="6205" spans="2:6" ht="15.75" customHeight="1" x14ac:dyDescent="0.25">
      <c r="B6205" t="str">
        <v>VanSwap</v>
      </c>
      <c r="C6205" t="str">
        <v>Dexs</v>
      </c>
      <c r="D6205" t="str">
        <v>VAN</v>
      </c>
      <c r="E6205">
        <v>3156449.8559897309</v>
      </c>
      <c r="F6205">
        <v>0</v>
      </c>
    </row>
    <row r="6206" spans="2:6" ht="15.75" customHeight="1" x14ac:dyDescent="0.25">
      <c r="B6206" t="str">
        <v>VaporDex V1</v>
      </c>
      <c r="C6206" t="str">
        <v>Dexs</v>
      </c>
      <c r="D6206" t="str">
        <v>VAPE</v>
      </c>
      <c r="E6206">
        <v>639045.40106494876</v>
      </c>
      <c r="F6206">
        <v>0</v>
      </c>
    </row>
    <row r="6207" spans="2:6" ht="15.75" customHeight="1" x14ac:dyDescent="0.25">
      <c r="B6207" t="str">
        <v>VaporDex V2</v>
      </c>
      <c r="C6207" t="str">
        <v>Dexs</v>
      </c>
      <c r="D6207" t="str">
        <v>VAPE</v>
      </c>
      <c r="E6207">
        <v>22424.280162782918</v>
      </c>
      <c r="F6207">
        <v>0</v>
      </c>
    </row>
    <row r="6208" spans="2:6" ht="15.75" customHeight="1" x14ac:dyDescent="0.25">
      <c r="B6208" t="str">
        <v>VaporFi</v>
      </c>
      <c r="C6208" t="str">
        <v>Yield</v>
      </c>
      <c r="D6208" t="str">
        <v>VPND</v>
      </c>
      <c r="E6208">
        <v>0</v>
      </c>
      <c r="F6208">
        <v>0</v>
      </c>
    </row>
    <row r="6209" spans="2:6" ht="15.75" customHeight="1" x14ac:dyDescent="0.25">
      <c r="B6209" t="str">
        <v>Vaporwave</v>
      </c>
      <c r="C6209" t="str">
        <v>Yield Aggregator</v>
      </c>
      <c r="D6209" t="str">
        <v>VWAVE</v>
      </c>
      <c r="E6209">
        <v>0</v>
      </c>
      <c r="F6209">
        <v>0</v>
      </c>
    </row>
    <row r="6210" spans="2:6" ht="15.75" customHeight="1" x14ac:dyDescent="0.25">
      <c r="B6210" t="str">
        <v>Vaquita Protocol</v>
      </c>
      <c r="C6210" t="str">
        <v>Yield Aggregator</v>
      </c>
      <c r="D6210" t="str">
        <v>-</v>
      </c>
      <c r="E6210">
        <v>2891.8325428185613</v>
      </c>
      <c r="F6210">
        <v>0</v>
      </c>
    </row>
    <row r="6211" spans="2:6" ht="15.75" customHeight="1" x14ac:dyDescent="0.25">
      <c r="B6211" t="str">
        <v>Varen</v>
      </c>
      <c r="C6211" t="str">
        <v>Dexs</v>
      </c>
      <c r="D6211" t="str">
        <v>VRN</v>
      </c>
      <c r="E6211">
        <v>161470.0750099819</v>
      </c>
      <c r="F6211">
        <v>0</v>
      </c>
    </row>
    <row r="6212" spans="2:6" ht="15.75" customHeight="1" x14ac:dyDescent="0.25">
      <c r="B6212" t="str">
        <v>Variational</v>
      </c>
      <c r="C6212" t="str">
        <v>Derivatives</v>
      </c>
      <c r="D6212" t="str">
        <v>-</v>
      </c>
      <c r="E6212">
        <v>0</v>
      </c>
      <c r="F6212">
        <v>0</v>
      </c>
    </row>
    <row r="6213" spans="2:6" ht="15.75" customHeight="1" x14ac:dyDescent="0.25">
      <c r="B6213" t="str">
        <v>Varlamore Capital</v>
      </c>
      <c r="C6213" t="str">
        <v>Risk Curators</v>
      </c>
      <c r="D6213" t="str">
        <v>-</v>
      </c>
      <c r="E6213">
        <v>17293371.244544402</v>
      </c>
      <c r="F6213">
        <v>0</v>
      </c>
    </row>
    <row r="6214" spans="2:6" ht="15.75" customHeight="1" x14ac:dyDescent="0.25">
      <c r="B6214" t="str">
        <v>Vault Bridge</v>
      </c>
      <c r="C6214" t="str">
        <v>Risk Curators</v>
      </c>
      <c r="D6214" t="str">
        <v>-</v>
      </c>
      <c r="E6214">
        <v>231051013.35972744</v>
      </c>
      <c r="F6214">
        <v>0</v>
      </c>
    </row>
    <row r="6215" spans="2:6" ht="15.75" customHeight="1" x14ac:dyDescent="0.25">
      <c r="B6215" t="str">
        <v>Vault Tech</v>
      </c>
      <c r="C6215" t="str">
        <v>Services</v>
      </c>
      <c r="D6215" t="str">
        <v>$VAULT</v>
      </c>
      <c r="E6215">
        <v>0</v>
      </c>
      <c r="F6215">
        <v>47919.679041953081</v>
      </c>
    </row>
    <row r="6216" spans="2:6" ht="15.75" customHeight="1" x14ac:dyDescent="0.25">
      <c r="B6216" t="str">
        <v>Vaulta RAM</v>
      </c>
      <c r="C6216" t="str">
        <v>Dexs</v>
      </c>
      <c r="D6216" t="str">
        <v>-</v>
      </c>
      <c r="E6216">
        <v>4082301.7360543464</v>
      </c>
      <c r="F6216">
        <v>0</v>
      </c>
    </row>
    <row r="6217" spans="2:6" ht="15.75" customHeight="1" x14ac:dyDescent="0.25">
      <c r="B6217" t="str">
        <v>Vaulta REX</v>
      </c>
      <c r="C6217" t="str">
        <v>Lending</v>
      </c>
      <c r="D6217" t="str">
        <v>EOS</v>
      </c>
      <c r="E6217">
        <v>56410884.900403045</v>
      </c>
      <c r="F6217">
        <v>0</v>
      </c>
    </row>
    <row r="6218" spans="2:6" ht="15.75" customHeight="1" x14ac:dyDescent="0.25">
      <c r="B6218" t="str">
        <v>VaultCraft</v>
      </c>
      <c r="C6218" t="str">
        <v>Yield</v>
      </c>
      <c r="D6218" t="str">
        <v>VCX</v>
      </c>
      <c r="E6218">
        <v>571902.04085824115</v>
      </c>
      <c r="F6218">
        <v>0</v>
      </c>
    </row>
    <row r="6219" spans="2:6" ht="15.75" customHeight="1" x14ac:dyDescent="0.25">
      <c r="B6219" t="str">
        <v>Vaultedge</v>
      </c>
      <c r="C6219" t="str">
        <v>CDP</v>
      </c>
      <c r="D6219" t="str">
        <v>-</v>
      </c>
      <c r="E6219">
        <v>13.372409022595267</v>
      </c>
      <c r="F6219">
        <v>0</v>
      </c>
    </row>
    <row r="6220" spans="2:6" ht="15.75" customHeight="1" x14ac:dyDescent="0.25">
      <c r="B6220" t="str">
        <v>Vaultka</v>
      </c>
      <c r="C6220" t="str">
        <v>Yield</v>
      </c>
      <c r="D6220" t="str">
        <v>VKA</v>
      </c>
      <c r="E6220">
        <v>553378.92140962207</v>
      </c>
      <c r="F6220">
        <v>1032.1549965449749</v>
      </c>
    </row>
    <row r="6221" spans="2:6" ht="15.75" customHeight="1" x14ac:dyDescent="0.25">
      <c r="B6221" t="str">
        <v>VaultLayer</v>
      </c>
      <c r="C6221" t="str">
        <v>Liquid Staking</v>
      </c>
      <c r="D6221" t="str">
        <v>-</v>
      </c>
      <c r="E6221">
        <v>3262.5586026982064</v>
      </c>
      <c r="F6221">
        <v>0</v>
      </c>
    </row>
    <row r="6222" spans="2:6" ht="15.75" customHeight="1" x14ac:dyDescent="0.25">
      <c r="B6222" t="str">
        <v>VaultWin</v>
      </c>
      <c r="C6222" t="str">
        <v>Gaming</v>
      </c>
      <c r="D6222" t="str">
        <v>-</v>
      </c>
      <c r="E6222">
        <v>0.54377002767209048</v>
      </c>
      <c r="F6222">
        <v>0</v>
      </c>
    </row>
    <row r="6223" spans="2:6" ht="15.75" customHeight="1" x14ac:dyDescent="0.25">
      <c r="B6223" t="str">
        <v>Vaulty Finance</v>
      </c>
      <c r="C6223" t="str">
        <v>Yield</v>
      </c>
      <c r="D6223" t="str">
        <v>VLTY</v>
      </c>
      <c r="E6223">
        <v>0</v>
      </c>
      <c r="F6223">
        <v>0</v>
      </c>
    </row>
    <row r="6224" spans="2:6" ht="15.75" customHeight="1" x14ac:dyDescent="0.25">
      <c r="B6224" t="str">
        <v>VAX</v>
      </c>
      <c r="C6224" t="str">
        <v>Dexs</v>
      </c>
      <c r="D6224" t="str">
        <v>-</v>
      </c>
      <c r="E6224">
        <v>14273.83181919096</v>
      </c>
      <c r="F6224">
        <v>0</v>
      </c>
    </row>
    <row r="6225" spans="2:6" ht="15.75" customHeight="1" x14ac:dyDescent="0.25">
      <c r="B6225" t="str">
        <v>Veax</v>
      </c>
      <c r="C6225" t="str">
        <v>Dexs</v>
      </c>
      <c r="D6225" t="str">
        <v>VEAX</v>
      </c>
      <c r="E6225">
        <v>29596.758933915251</v>
      </c>
      <c r="F6225">
        <v>0</v>
      </c>
    </row>
    <row r="6226" spans="2:6" ht="15.75" customHeight="1" x14ac:dyDescent="0.25">
      <c r="B6226" t="str">
        <v>Vectis Finance</v>
      </c>
      <c r="C6226" t="str">
        <v>Yield</v>
      </c>
      <c r="D6226" t="str">
        <v>-</v>
      </c>
      <c r="E6226">
        <v>23663552.076815024</v>
      </c>
      <c r="F6226">
        <v>0</v>
      </c>
    </row>
    <row r="6227" spans="2:6" ht="15.75" customHeight="1" x14ac:dyDescent="0.25">
      <c r="B6227" t="str">
        <v>Vector Finance</v>
      </c>
      <c r="C6227" t="str">
        <v>Yield</v>
      </c>
      <c r="D6227" t="str">
        <v>VTX</v>
      </c>
      <c r="E6227">
        <v>33131.665047108429</v>
      </c>
      <c r="F6227">
        <v>283457.39381380705</v>
      </c>
    </row>
    <row r="6228" spans="2:6" ht="15.75" customHeight="1" x14ac:dyDescent="0.25">
      <c r="B6228" t="str">
        <v>Vector Reserve</v>
      </c>
      <c r="C6228" t="str">
        <v>Indexes</v>
      </c>
      <c r="D6228" t="str">
        <v>VEC</v>
      </c>
      <c r="E6228">
        <v>82589.558421537164</v>
      </c>
      <c r="F6228">
        <v>0</v>
      </c>
    </row>
    <row r="6229" spans="2:6" ht="15.75" customHeight="1" x14ac:dyDescent="0.25">
      <c r="B6229" t="str">
        <v>VECTOR.FUN</v>
      </c>
      <c r="C6229" t="str">
        <v>Launchpad</v>
      </c>
      <c r="D6229" t="str">
        <v>-</v>
      </c>
      <c r="E6229">
        <v>0</v>
      </c>
      <c r="F6229">
        <v>0</v>
      </c>
    </row>
    <row r="6230" spans="2:6" ht="15.75" customHeight="1" x14ac:dyDescent="0.25">
      <c r="B6230" t="str">
        <v>Veda</v>
      </c>
      <c r="C6230" t="str">
        <v>Onchain Capital Allocator</v>
      </c>
      <c r="D6230" t="str">
        <v>-</v>
      </c>
      <c r="E6230">
        <v>1803456411.7350025</v>
      </c>
      <c r="F6230">
        <v>0</v>
      </c>
    </row>
    <row r="6231" spans="2:6" ht="15.75" customHeight="1" x14ac:dyDescent="0.25">
      <c r="B6231" t="str">
        <v>veDAO</v>
      </c>
      <c r="C6231" t="str">
        <v>Farm</v>
      </c>
      <c r="D6231" t="str">
        <v>WeVE</v>
      </c>
      <c r="E6231">
        <v>23766.235431864432</v>
      </c>
      <c r="F6231">
        <v>4416.6343680373147</v>
      </c>
    </row>
    <row r="6232" spans="2:6" ht="15.75" customHeight="1" x14ac:dyDescent="0.25">
      <c r="B6232" t="str">
        <v>veDelegate</v>
      </c>
      <c r="C6232" t="str">
        <v>Governance Incentives</v>
      </c>
      <c r="D6232" t="str">
        <v>-</v>
      </c>
      <c r="E6232">
        <v>1678368.9274760943</v>
      </c>
      <c r="F6232">
        <v>0</v>
      </c>
    </row>
    <row r="6233" spans="2:6" ht="15.75" customHeight="1" x14ac:dyDescent="0.25">
      <c r="B6233" t="str">
        <v>Vee Finance</v>
      </c>
      <c r="C6233" t="str">
        <v>Lending</v>
      </c>
      <c r="D6233" t="str">
        <v>VEE</v>
      </c>
      <c r="E6233">
        <v>13621.005287482285</v>
      </c>
      <c r="F6233">
        <v>0</v>
      </c>
    </row>
    <row r="6234" spans="2:6" ht="15.75" customHeight="1" x14ac:dyDescent="0.25">
      <c r="B6234" t="str">
        <v>Vega Protocol</v>
      </c>
      <c r="C6234" t="str">
        <v>Derivatives</v>
      </c>
      <c r="D6234" t="str">
        <v>VEGA</v>
      </c>
      <c r="E6234">
        <v>171.38059105506397</v>
      </c>
      <c r="F6234">
        <v>52500.332373457575</v>
      </c>
    </row>
    <row r="6235" spans="2:6" ht="15.75" customHeight="1" x14ac:dyDescent="0.25">
      <c r="B6235" t="str">
        <v>Veil Cash</v>
      </c>
      <c r="C6235" t="str">
        <v>Privacy</v>
      </c>
      <c r="D6235" t="str">
        <v>VEIL</v>
      </c>
      <c r="E6235">
        <v>60549.900842042101</v>
      </c>
      <c r="F6235">
        <v>3163636.0384231196</v>
      </c>
    </row>
    <row r="6236" spans="2:6" ht="15.75" customHeight="1" x14ac:dyDescent="0.25">
      <c r="B6236" t="str">
        <v>Vela Exchange</v>
      </c>
      <c r="C6236" t="str">
        <v>Derivatives</v>
      </c>
      <c r="D6236" t="str">
        <v>VELA</v>
      </c>
      <c r="E6236">
        <v>368141.45895885065</v>
      </c>
      <c r="F6236">
        <v>17969.737733382324</v>
      </c>
    </row>
    <row r="6237" spans="2:6" ht="15.75" customHeight="1" x14ac:dyDescent="0.25">
      <c r="B6237" t="str">
        <v>Velar AMM</v>
      </c>
      <c r="C6237" t="str">
        <v>Dexs</v>
      </c>
      <c r="D6237" t="str">
        <v>VELAR</v>
      </c>
      <c r="E6237">
        <v>612155.09987411916</v>
      </c>
      <c r="F6237">
        <v>0</v>
      </c>
    </row>
    <row r="6238" spans="2:6" ht="15.75" customHeight="1" x14ac:dyDescent="0.25">
      <c r="B6238" t="str">
        <v>Velar Perps</v>
      </c>
      <c r="C6238" t="str">
        <v>Derivatives</v>
      </c>
      <c r="D6238" t="str">
        <v>VELAR</v>
      </c>
      <c r="E6238">
        <v>1168254.8594322887</v>
      </c>
      <c r="F6238">
        <v>0</v>
      </c>
    </row>
    <row r="6239" spans="2:6" ht="15.75" customHeight="1" x14ac:dyDescent="0.25">
      <c r="B6239" t="str">
        <v>VelasPad</v>
      </c>
      <c r="C6239" t="str">
        <v>Launchpad</v>
      </c>
      <c r="D6239" t="str">
        <v>VLXPAD</v>
      </c>
      <c r="E6239">
        <v>0</v>
      </c>
      <c r="F6239">
        <v>1068240.9144598462</v>
      </c>
    </row>
    <row r="6240" spans="2:6" ht="15.75" customHeight="1" x14ac:dyDescent="0.25">
      <c r="B6240" t="str">
        <v>VeleroDAO</v>
      </c>
      <c r="C6240" t="str">
        <v>CDP</v>
      </c>
      <c r="D6240" t="str">
        <v>VDGT</v>
      </c>
      <c r="E6240">
        <v>0</v>
      </c>
      <c r="F6240">
        <v>0</v>
      </c>
    </row>
    <row r="6241" spans="2:6" ht="15.75" customHeight="1" x14ac:dyDescent="0.25">
      <c r="B6241" t="str">
        <v>Velhalla</v>
      </c>
      <c r="C6241" t="str">
        <v>Gaming</v>
      </c>
      <c r="D6241" t="str">
        <v>SCAR</v>
      </c>
      <c r="E6241">
        <v>0</v>
      </c>
      <c r="F6241">
        <v>89488.34557383928</v>
      </c>
    </row>
    <row r="6242" spans="2:6" ht="15.75" customHeight="1" x14ac:dyDescent="0.25">
      <c r="B6242" t="str">
        <v>Velo Finance</v>
      </c>
      <c r="C6242" t="str">
        <v>Dexs</v>
      </c>
      <c r="D6242" t="str">
        <v>VELO</v>
      </c>
      <c r="E6242">
        <v>111822.57058889231</v>
      </c>
      <c r="F6242">
        <v>128230289.02076191</v>
      </c>
    </row>
    <row r="6243" spans="2:6" ht="15.75" customHeight="1" x14ac:dyDescent="0.25">
      <c r="B6243" t="str">
        <v>Velocimeter V1</v>
      </c>
      <c r="C6243" t="str">
        <v>Dexs</v>
      </c>
      <c r="D6243" t="str">
        <v>FLOW</v>
      </c>
      <c r="E6243">
        <v>384.16152741221288</v>
      </c>
      <c r="F6243">
        <v>0</v>
      </c>
    </row>
    <row r="6244" spans="2:6" ht="15.75" customHeight="1" x14ac:dyDescent="0.25">
      <c r="B6244" t="str">
        <v>Velocimeter V2</v>
      </c>
      <c r="C6244" t="str">
        <v>Dexs</v>
      </c>
      <c r="D6244" t="str">
        <v>FLOW</v>
      </c>
      <c r="E6244">
        <v>54553.101610872342</v>
      </c>
      <c r="F6244">
        <v>0</v>
      </c>
    </row>
    <row r="6245" spans="2:6" ht="15.75" customHeight="1" x14ac:dyDescent="0.25">
      <c r="B6245" t="str">
        <v>Velocimeter V4</v>
      </c>
      <c r="C6245" t="str">
        <v>Dexs</v>
      </c>
      <c r="D6245" t="str">
        <v>-</v>
      </c>
      <c r="E6245">
        <v>11099.983302594766</v>
      </c>
      <c r="F6245">
        <v>0</v>
      </c>
    </row>
    <row r="6246" spans="2:6" ht="15.75" customHeight="1" x14ac:dyDescent="0.25">
      <c r="B6246" t="str">
        <v>Velocore V1</v>
      </c>
      <c r="C6246" t="str">
        <v>Dexs</v>
      </c>
      <c r="D6246" t="str">
        <v>VC</v>
      </c>
      <c r="E6246">
        <v>149902.86090026129</v>
      </c>
      <c r="F6246">
        <v>0</v>
      </c>
    </row>
    <row r="6247" spans="2:6" ht="15.75" customHeight="1" x14ac:dyDescent="0.25">
      <c r="B6247" t="str">
        <v>Velocore V2</v>
      </c>
      <c r="C6247" t="str">
        <v>Dexs</v>
      </c>
      <c r="D6247" t="str">
        <v>VC</v>
      </c>
      <c r="E6247">
        <v>1487.90560689209</v>
      </c>
      <c r="F6247">
        <v>0</v>
      </c>
    </row>
    <row r="6248" spans="2:6" ht="15.75" customHeight="1" x14ac:dyDescent="0.25">
      <c r="B6248" t="str">
        <v>Velodrome V1</v>
      </c>
      <c r="C6248" t="str">
        <v>Dexs</v>
      </c>
      <c r="D6248" t="str">
        <v>VELO</v>
      </c>
      <c r="E6248">
        <v>612749.59471710399</v>
      </c>
      <c r="F6248">
        <v>0</v>
      </c>
    </row>
    <row r="6249" spans="2:6" ht="15.75" customHeight="1" x14ac:dyDescent="0.25">
      <c r="B6249" t="str">
        <v>Velodrome V2</v>
      </c>
      <c r="C6249" t="str">
        <v>Dexs</v>
      </c>
      <c r="D6249" t="str">
        <v>VELO</v>
      </c>
      <c r="E6249">
        <v>21943768.883433726</v>
      </c>
      <c r="F6249">
        <v>0</v>
      </c>
    </row>
    <row r="6250" spans="2:6" ht="15.75" customHeight="1" x14ac:dyDescent="0.25">
      <c r="B6250" t="str">
        <v>Velodrome V3</v>
      </c>
      <c r="C6250" t="str">
        <v>Dexs</v>
      </c>
      <c r="D6250" t="str">
        <v>VELO</v>
      </c>
      <c r="E6250">
        <v>28729115.661854159</v>
      </c>
      <c r="F6250">
        <v>0</v>
      </c>
    </row>
    <row r="6251" spans="2:6" ht="15.75" customHeight="1" x14ac:dyDescent="0.25">
      <c r="B6251" t="str">
        <v>Velora</v>
      </c>
      <c r="C6251" t="str">
        <v>DEX Aggregator</v>
      </c>
      <c r="D6251" t="str">
        <v>PSP</v>
      </c>
      <c r="E6251">
        <v>0</v>
      </c>
      <c r="F6251">
        <v>4392666.0285413293</v>
      </c>
    </row>
    <row r="6252" spans="2:6" ht="15.75" customHeight="1" x14ac:dyDescent="0.25">
      <c r="B6252" t="str">
        <v>Velvet Capital Staking</v>
      </c>
      <c r="C6252" t="str">
        <v>Farm</v>
      </c>
      <c r="D6252" t="str">
        <v>VELVET</v>
      </c>
      <c r="E6252">
        <v>0</v>
      </c>
      <c r="F6252">
        <v>0</v>
      </c>
    </row>
    <row r="6253" spans="2:6" ht="15.75" customHeight="1" x14ac:dyDescent="0.25">
      <c r="B6253" t="str">
        <v>Velvet V1</v>
      </c>
      <c r="C6253" t="str">
        <v>Indexes</v>
      </c>
      <c r="D6253" t="str">
        <v>VELVET</v>
      </c>
      <c r="E6253">
        <v>54103.601601069648</v>
      </c>
      <c r="F6253">
        <v>0</v>
      </c>
    </row>
    <row r="6254" spans="2:6" ht="15.75" customHeight="1" x14ac:dyDescent="0.25">
      <c r="B6254" t="str">
        <v>Velvet V2</v>
      </c>
      <c r="C6254" t="str">
        <v>Indexes</v>
      </c>
      <c r="D6254" t="str">
        <v>VELVET</v>
      </c>
      <c r="E6254">
        <v>476834.14994108398</v>
      </c>
      <c r="F6254">
        <v>0</v>
      </c>
    </row>
    <row r="6255" spans="2:6" ht="15.75" customHeight="1" x14ac:dyDescent="0.25">
      <c r="B6255" t="str">
        <v>Velvet V3</v>
      </c>
      <c r="C6255" t="str">
        <v>Yield</v>
      </c>
      <c r="D6255" t="str">
        <v>VELVET</v>
      </c>
      <c r="E6255">
        <v>3941627.1115351059</v>
      </c>
      <c r="F6255">
        <v>0</v>
      </c>
    </row>
    <row r="6256" spans="2:6" ht="15.75" customHeight="1" x14ac:dyDescent="0.25">
      <c r="B6256" t="str">
        <v>Vendor V1</v>
      </c>
      <c r="C6256" t="str">
        <v>Lending</v>
      </c>
      <c r="D6256" t="str">
        <v>-</v>
      </c>
      <c r="E6256">
        <v>1.0009999999999999</v>
      </c>
      <c r="F6256">
        <v>0</v>
      </c>
    </row>
    <row r="6257" spans="2:6" ht="15.75" customHeight="1" x14ac:dyDescent="0.25">
      <c r="B6257" t="str">
        <v>Vendor V2</v>
      </c>
      <c r="C6257" t="str">
        <v>Lending</v>
      </c>
      <c r="D6257" t="str">
        <v>-</v>
      </c>
      <c r="E6257">
        <v>72243.921559865441</v>
      </c>
      <c r="F6257">
        <v>0</v>
      </c>
    </row>
    <row r="6258" spans="2:6" ht="15.75" customHeight="1" x14ac:dyDescent="0.25">
      <c r="B6258" t="str">
        <v>VeniceSwap</v>
      </c>
      <c r="C6258" t="str">
        <v>Dexs</v>
      </c>
      <c r="D6258" t="str">
        <v>-</v>
      </c>
      <c r="E6258">
        <v>281.37275843092891</v>
      </c>
      <c r="F6258">
        <v>0</v>
      </c>
    </row>
    <row r="6259" spans="2:6" ht="15.75" customHeight="1" x14ac:dyDescent="0.25">
      <c r="B6259" t="str">
        <v>Veno Finance</v>
      </c>
      <c r="C6259" t="str">
        <v>Liquid Staking</v>
      </c>
      <c r="D6259" t="str">
        <v>VNO</v>
      </c>
      <c r="E6259">
        <v>57444051.130888589</v>
      </c>
      <c r="F6259">
        <v>4474883.4087100215</v>
      </c>
    </row>
    <row r="6260" spans="2:6" ht="15.75" customHeight="1" x14ac:dyDescent="0.25">
      <c r="B6260" t="str">
        <v>VenomBridge</v>
      </c>
      <c r="C6260" t="str">
        <v>Bridge</v>
      </c>
      <c r="D6260" t="str">
        <v>-</v>
      </c>
      <c r="E6260">
        <v>3627866.1206193594</v>
      </c>
      <c r="F6260">
        <v>0</v>
      </c>
    </row>
    <row r="6261" spans="2:6" ht="15.75" customHeight="1" x14ac:dyDescent="0.25">
      <c r="B6261" t="str">
        <v>VenomStake</v>
      </c>
      <c r="C6261" t="str">
        <v>Liquid Staking</v>
      </c>
      <c r="D6261" t="str">
        <v>-</v>
      </c>
      <c r="E6261">
        <v>26504658.030030563</v>
      </c>
      <c r="F6261">
        <v>0</v>
      </c>
    </row>
    <row r="6262" spans="2:6" ht="15.75" customHeight="1" x14ac:dyDescent="0.25">
      <c r="B6262" t="str">
        <v>Ventuals</v>
      </c>
      <c r="C6262" t="str">
        <v>Interface</v>
      </c>
      <c r="D6262" t="str">
        <v>-</v>
      </c>
      <c r="E6262">
        <v>0</v>
      </c>
      <c r="F6262">
        <v>0</v>
      </c>
    </row>
    <row r="6263" spans="2:6" ht="15.75" customHeight="1" x14ac:dyDescent="0.25">
      <c r="B6263" t="str">
        <v>Venus Core Pool</v>
      </c>
      <c r="C6263" t="str">
        <v>Lending</v>
      </c>
      <c r="D6263" t="str">
        <v>XVS</v>
      </c>
      <c r="E6263">
        <v>1666324618.236022</v>
      </c>
      <c r="F6263">
        <v>0</v>
      </c>
    </row>
    <row r="6264" spans="2:6" ht="15.75" customHeight="1" x14ac:dyDescent="0.25">
      <c r="B6264" t="str">
        <v>Venus Isolated Pools</v>
      </c>
      <c r="C6264" t="str">
        <v>Lending</v>
      </c>
      <c r="D6264" t="str">
        <v>XVS</v>
      </c>
      <c r="E6264">
        <v>3217621.4805900473</v>
      </c>
      <c r="F6264">
        <v>0</v>
      </c>
    </row>
    <row r="6265" spans="2:6" ht="15.75" customHeight="1" x14ac:dyDescent="0.25">
      <c r="B6265" t="str">
        <v>Venuswap</v>
      </c>
      <c r="C6265" t="str">
        <v>Dexs</v>
      </c>
      <c r="D6265" t="str">
        <v>VEN</v>
      </c>
      <c r="E6265">
        <v>1473.0951939045594</v>
      </c>
      <c r="F6265">
        <v>0</v>
      </c>
    </row>
    <row r="6266" spans="2:6" ht="15.75" customHeight="1" x14ac:dyDescent="0.25">
      <c r="B6266" t="str">
        <v>Veplus</v>
      </c>
      <c r="C6266" t="str">
        <v>Dexs</v>
      </c>
      <c r="D6266" t="str">
        <v>VEP</v>
      </c>
      <c r="E6266">
        <v>27550.056530577276</v>
      </c>
      <c r="F6266">
        <v>0</v>
      </c>
    </row>
    <row r="6267" spans="2:6" ht="15.75" customHeight="1" x14ac:dyDescent="0.25">
      <c r="B6267" t="str">
        <v>Verified Credits</v>
      </c>
      <c r="C6267" t="str">
        <v>Farm</v>
      </c>
      <c r="D6267" t="str">
        <v>-</v>
      </c>
      <c r="E6267">
        <v>0</v>
      </c>
      <c r="F6267">
        <v>0</v>
      </c>
    </row>
    <row r="6268" spans="2:6" ht="15.75" customHeight="1" x14ac:dyDescent="0.25">
      <c r="B6268" t="str">
        <v>Verified Network</v>
      </c>
      <c r="C6268" t="str">
        <v>RWA</v>
      </c>
      <c r="D6268" t="str">
        <v>-</v>
      </c>
      <c r="E6268">
        <v>126718.70418715186</v>
      </c>
      <c r="F6268">
        <v>0</v>
      </c>
    </row>
    <row r="6269" spans="2:6" ht="15.75" customHeight="1" x14ac:dyDescent="0.25">
      <c r="B6269" t="str">
        <v>Verio</v>
      </c>
      <c r="C6269" t="str">
        <v>Liquid Staking</v>
      </c>
      <c r="D6269" t="str">
        <v>-</v>
      </c>
      <c r="E6269">
        <v>15576955.147852803</v>
      </c>
      <c r="F6269">
        <v>0</v>
      </c>
    </row>
    <row r="6270" spans="2:6" ht="15.75" customHeight="1" x14ac:dyDescent="0.25">
      <c r="B6270" t="str">
        <v>Veritable DAO</v>
      </c>
      <c r="C6270" t="str">
        <v>Yield</v>
      </c>
      <c r="D6270" t="str">
        <v>VRT</v>
      </c>
      <c r="E6270">
        <v>45.790680477764255</v>
      </c>
      <c r="F6270">
        <v>0</v>
      </c>
    </row>
    <row r="6271" spans="2:6" ht="15.75" customHeight="1" x14ac:dyDescent="0.25">
      <c r="B6271" t="str">
        <v>VeRocket</v>
      </c>
      <c r="C6271" t="str">
        <v>Dexs</v>
      </c>
      <c r="D6271" t="str">
        <v>-</v>
      </c>
      <c r="E6271">
        <v>55516.499186271161</v>
      </c>
      <c r="F6271">
        <v>0</v>
      </c>
    </row>
    <row r="6272" spans="2:6" ht="15.75" customHeight="1" x14ac:dyDescent="0.25">
      <c r="B6272" t="str">
        <v>Versa Finance</v>
      </c>
      <c r="C6272" t="str">
        <v>Dexs</v>
      </c>
      <c r="D6272" t="str">
        <v>VERSA</v>
      </c>
      <c r="E6272">
        <v>3954.2213692323749</v>
      </c>
      <c r="F6272">
        <v>0</v>
      </c>
    </row>
    <row r="6273" spans="2:6" ht="15.75" customHeight="1" x14ac:dyDescent="0.25">
      <c r="B6273" t="str">
        <v>VersaGames</v>
      </c>
      <c r="C6273" t="str">
        <v>Gaming</v>
      </c>
      <c r="D6273" t="str">
        <v>VERSA</v>
      </c>
      <c r="E6273">
        <v>0</v>
      </c>
      <c r="F6273">
        <v>354304.09517304762</v>
      </c>
    </row>
    <row r="6274" spans="2:6" ht="15.75" customHeight="1" x14ac:dyDescent="0.25">
      <c r="B6274" t="str">
        <v>Verse</v>
      </c>
      <c r="C6274" t="str">
        <v>Dexs</v>
      </c>
      <c r="D6274" t="str">
        <v>VERSE</v>
      </c>
      <c r="E6274">
        <v>732177.01551762864</v>
      </c>
      <c r="F6274">
        <v>1763705.2014706673</v>
      </c>
    </row>
    <row r="6275" spans="2:6" ht="15.75" customHeight="1" x14ac:dyDescent="0.25">
      <c r="B6275" t="str">
        <v>Vertex AMM</v>
      </c>
      <c r="C6275" t="str">
        <v>Dexs</v>
      </c>
      <c r="D6275" t="str">
        <v>VRTX</v>
      </c>
      <c r="E6275">
        <v>0</v>
      </c>
      <c r="F6275">
        <v>0</v>
      </c>
    </row>
    <row r="6276" spans="2:6" ht="15.75" customHeight="1" x14ac:dyDescent="0.25">
      <c r="B6276" t="str">
        <v>Vertex Perps</v>
      </c>
      <c r="C6276" t="str">
        <v>Derivatives</v>
      </c>
      <c r="D6276" t="str">
        <v>VRTX</v>
      </c>
      <c r="E6276">
        <v>0</v>
      </c>
      <c r="F6276">
        <v>55270.505195081627</v>
      </c>
    </row>
    <row r="6277" spans="2:6" ht="15.75" customHeight="1" x14ac:dyDescent="0.25">
      <c r="B6277" t="str">
        <v>Verus Market</v>
      </c>
      <c r="C6277" t="str">
        <v>Dexs</v>
      </c>
      <c r="D6277" t="str">
        <v>-</v>
      </c>
      <c r="E6277">
        <v>27835150.614753429</v>
      </c>
      <c r="F6277">
        <v>0</v>
      </c>
    </row>
    <row r="6278" spans="2:6" ht="15.75" customHeight="1" x14ac:dyDescent="0.25">
      <c r="B6278" t="str">
        <v>VeryLongSwap AMM</v>
      </c>
      <c r="C6278" t="str">
        <v>Dexs</v>
      </c>
      <c r="D6278" t="str">
        <v>-</v>
      </c>
      <c r="E6278">
        <v>16181.891995966416</v>
      </c>
      <c r="F6278">
        <v>0</v>
      </c>
    </row>
    <row r="6279" spans="2:6" ht="15.75" customHeight="1" x14ac:dyDescent="0.25">
      <c r="B6279" t="str">
        <v>VeryLongSwap Farm</v>
      </c>
      <c r="C6279" t="str">
        <v>Farm</v>
      </c>
      <c r="D6279" t="str">
        <v>-</v>
      </c>
      <c r="E6279">
        <v>861.367873286551</v>
      </c>
      <c r="F6279">
        <v>0</v>
      </c>
    </row>
    <row r="6280" spans="2:6" ht="15.75" customHeight="1" x14ac:dyDescent="0.25">
      <c r="B6280" t="str">
        <v>Vesper</v>
      </c>
      <c r="C6280" t="str">
        <v>Yield Aggregator</v>
      </c>
      <c r="D6280" t="str">
        <v>VSP</v>
      </c>
      <c r="E6280">
        <v>44872889.883890003</v>
      </c>
      <c r="F6280">
        <v>1378514.0169303238</v>
      </c>
    </row>
    <row r="6281" spans="2:6" ht="15.75" customHeight="1" x14ac:dyDescent="0.25">
      <c r="B6281" t="str">
        <v>Vesq</v>
      </c>
      <c r="C6281" t="str">
        <v>Reserve Currency</v>
      </c>
      <c r="D6281" t="str">
        <v>VESQ</v>
      </c>
      <c r="E6281">
        <v>2.453957096773062</v>
      </c>
      <c r="F6281">
        <v>0</v>
      </c>
    </row>
    <row r="6282" spans="2:6" ht="15.75" customHeight="1" x14ac:dyDescent="0.25">
      <c r="B6282" t="str">
        <v>Vest Markets</v>
      </c>
      <c r="C6282" t="str">
        <v>Derivatives</v>
      </c>
      <c r="D6282" t="str">
        <v>-</v>
      </c>
      <c r="E6282">
        <v>7269493.3526989818</v>
      </c>
      <c r="F6282">
        <v>0</v>
      </c>
    </row>
    <row r="6283" spans="2:6" ht="15.75" customHeight="1" x14ac:dyDescent="0.25">
      <c r="B6283" t="str">
        <v>Vesta Equity</v>
      </c>
      <c r="C6283" t="str">
        <v>RWA</v>
      </c>
      <c r="D6283" t="str">
        <v>-</v>
      </c>
      <c r="E6283">
        <v>20634337</v>
      </c>
      <c r="F6283">
        <v>0</v>
      </c>
    </row>
    <row r="6284" spans="2:6" ht="15.75" customHeight="1" x14ac:dyDescent="0.25">
      <c r="B6284" t="str">
        <v>Vesta Finance</v>
      </c>
      <c r="C6284" t="str">
        <v>CDP</v>
      </c>
      <c r="D6284" t="str">
        <v>VSTA</v>
      </c>
      <c r="E6284">
        <v>13206.039429561242</v>
      </c>
      <c r="F6284">
        <v>618615.40805718885</v>
      </c>
    </row>
    <row r="6285" spans="2:6" ht="15.75" customHeight="1" x14ac:dyDescent="0.25">
      <c r="B6285" t="str">
        <v>Vestige</v>
      </c>
      <c r="C6285" t="str">
        <v>Launchpad</v>
      </c>
      <c r="D6285" t="str">
        <v>VEST</v>
      </c>
      <c r="E6285">
        <v>854571.39157800004</v>
      </c>
      <c r="F6285">
        <v>0</v>
      </c>
    </row>
    <row r="6286" spans="2:6" ht="15.75" customHeight="1" x14ac:dyDescent="0.25">
      <c r="B6286" t="str">
        <v>Vesu</v>
      </c>
      <c r="C6286" t="str">
        <v>Lending</v>
      </c>
      <c r="D6286" t="str">
        <v>-</v>
      </c>
      <c r="E6286">
        <v>47095952.56813103</v>
      </c>
      <c r="F6286">
        <v>0</v>
      </c>
    </row>
    <row r="6287" spans="2:6" ht="15.75" customHeight="1" x14ac:dyDescent="0.25">
      <c r="B6287" t="str">
        <v>veSync</v>
      </c>
      <c r="C6287" t="str">
        <v>Dexs</v>
      </c>
      <c r="D6287" t="str">
        <v>VS</v>
      </c>
      <c r="E6287">
        <v>70443.249988554307</v>
      </c>
      <c r="F6287">
        <v>0</v>
      </c>
    </row>
    <row r="6288" spans="2:6" ht="15.75" customHeight="1" x14ac:dyDescent="0.25">
      <c r="B6288" t="str">
        <v>VeTrade</v>
      </c>
      <c r="C6288" t="str">
        <v>DEX Aggregator</v>
      </c>
      <c r="D6288" t="str">
        <v>-</v>
      </c>
      <c r="E6288">
        <v>0</v>
      </c>
      <c r="F6288">
        <v>0</v>
      </c>
    </row>
    <row r="6289" spans="2:6" ht="15.75" customHeight="1" x14ac:dyDescent="0.25">
      <c r="B6289" t="str">
        <v>Vexchange</v>
      </c>
      <c r="C6289" t="str">
        <v>Dexs</v>
      </c>
      <c r="D6289" t="str">
        <v>VEX</v>
      </c>
      <c r="E6289">
        <v>120744.25353061344</v>
      </c>
      <c r="F6289">
        <v>0</v>
      </c>
    </row>
    <row r="6290" spans="2:6" ht="15.75" customHeight="1" x14ac:dyDescent="0.25">
      <c r="B6290" t="str">
        <v>Vexy</v>
      </c>
      <c r="C6290" t="str">
        <v>NFT Marketplace</v>
      </c>
      <c r="D6290" t="str">
        <v>-</v>
      </c>
      <c r="E6290">
        <v>0</v>
      </c>
      <c r="F6290">
        <v>0</v>
      </c>
    </row>
    <row r="6291" spans="2:6" ht="15.75" customHeight="1" x14ac:dyDescent="0.25">
      <c r="B6291" t="str">
        <v>vfat.io</v>
      </c>
      <c r="C6291" t="str">
        <v>Yield Aggregator</v>
      </c>
      <c r="D6291" t="str">
        <v>-</v>
      </c>
      <c r="E6291">
        <v>53621816.729604319</v>
      </c>
      <c r="F6291">
        <v>0</v>
      </c>
    </row>
    <row r="6292" spans="2:6" ht="15.75" customHeight="1" x14ac:dyDescent="0.25">
      <c r="B6292" t="str">
        <v>Vibe Trading</v>
      </c>
      <c r="C6292" t="str">
        <v>Interface</v>
      </c>
      <c r="D6292" t="str">
        <v>-</v>
      </c>
      <c r="E6292">
        <v>0</v>
      </c>
      <c r="F6292">
        <v>0</v>
      </c>
    </row>
    <row r="6293" spans="2:6" ht="15.75" customHeight="1" x14ac:dyDescent="0.25">
      <c r="B6293" t="str">
        <v>Vibes</v>
      </c>
      <c r="C6293" t="str">
        <v>Trading App</v>
      </c>
      <c r="D6293" t="str">
        <v>-</v>
      </c>
      <c r="E6293">
        <v>0</v>
      </c>
      <c r="F6293">
        <v>0</v>
      </c>
    </row>
    <row r="6294" spans="2:6" ht="15.75" customHeight="1" x14ac:dyDescent="0.25">
      <c r="B6294" t="str">
        <v>Vibrant Finance</v>
      </c>
      <c r="C6294" t="str">
        <v>Dexs</v>
      </c>
      <c r="D6294" t="str">
        <v>-</v>
      </c>
      <c r="E6294">
        <v>15480.795252141028</v>
      </c>
      <c r="F6294">
        <v>0</v>
      </c>
    </row>
    <row r="6295" spans="2:6" ht="15.75" customHeight="1" x14ac:dyDescent="0.25">
      <c r="B6295" t="str">
        <v>Vicuna Lending</v>
      </c>
      <c r="C6295" t="str">
        <v>Lending</v>
      </c>
      <c r="D6295" t="str">
        <v>-</v>
      </c>
      <c r="E6295">
        <v>24900.623031816325</v>
      </c>
      <c r="F6295">
        <v>0</v>
      </c>
    </row>
    <row r="6296" spans="2:6" ht="15.75" customHeight="1" x14ac:dyDescent="0.25">
      <c r="B6296" t="str">
        <v>Vicuna Leveraged Farming</v>
      </c>
      <c r="C6296" t="str">
        <v>Leveraged Farming</v>
      </c>
      <c r="D6296" t="str">
        <v>-</v>
      </c>
      <c r="E6296">
        <v>1271.6319156291388</v>
      </c>
      <c r="F6296">
        <v>0</v>
      </c>
    </row>
    <row r="6297" spans="2:6" ht="15.75" customHeight="1" x14ac:dyDescent="0.25">
      <c r="B6297" t="str">
        <v>Vidya</v>
      </c>
      <c r="C6297" t="str">
        <v>Gaming</v>
      </c>
      <c r="D6297" t="str">
        <v>VIDYA</v>
      </c>
      <c r="E6297">
        <v>0</v>
      </c>
      <c r="F6297">
        <v>104617.66707534045</v>
      </c>
    </row>
    <row r="6298" spans="2:6" ht="15.75" customHeight="1" x14ac:dyDescent="0.25">
      <c r="B6298" t="str">
        <v>Vies Token</v>
      </c>
      <c r="C6298" t="str">
        <v>Ponzi</v>
      </c>
      <c r="D6298" t="str">
        <v>VIES</v>
      </c>
      <c r="E6298">
        <v>0</v>
      </c>
      <c r="F6298">
        <v>796415.2487389025</v>
      </c>
    </row>
    <row r="6299" spans="2:6" ht="15.75" customHeight="1" x14ac:dyDescent="0.25">
      <c r="B6299" t="str">
        <v>Vigor</v>
      </c>
      <c r="C6299" t="str">
        <v>Lending</v>
      </c>
      <c r="D6299" t="str">
        <v>VIG</v>
      </c>
      <c r="E6299">
        <v>132090.68328848359</v>
      </c>
      <c r="F6299">
        <v>27884.368637644202</v>
      </c>
    </row>
    <row r="6300" spans="2:6" ht="15.75" customHeight="1" x14ac:dyDescent="0.25">
      <c r="B6300" t="str">
        <v>VII Finance</v>
      </c>
      <c r="C6300" t="str">
        <v>Leveraged Farming</v>
      </c>
      <c r="D6300" t="str">
        <v>-</v>
      </c>
      <c r="E6300">
        <v>1597.5266594243826</v>
      </c>
      <c r="F6300">
        <v>0</v>
      </c>
    </row>
    <row r="6301" spans="2:6" ht="15.75" customHeight="1" x14ac:dyDescent="0.25">
      <c r="B6301" t="str">
        <v>VikingsFinance</v>
      </c>
      <c r="C6301" t="str">
        <v>Reserve Currency</v>
      </c>
      <c r="D6301" t="str">
        <v>VAL</v>
      </c>
      <c r="E6301">
        <v>0</v>
      </c>
      <c r="F6301">
        <v>0</v>
      </c>
    </row>
    <row r="6302" spans="2:6" ht="15.75" customHeight="1" x14ac:dyDescent="0.25">
      <c r="B6302" t="str">
        <v>Vine Money</v>
      </c>
      <c r="C6302" t="str">
        <v>CDP</v>
      </c>
      <c r="D6302" t="str">
        <v>-</v>
      </c>
      <c r="E6302">
        <v>3199.9302858621954</v>
      </c>
      <c r="F6302">
        <v>0</v>
      </c>
    </row>
    <row r="6303" spans="2:6" ht="15.75" customHeight="1" x14ac:dyDescent="0.25">
      <c r="B6303" t="str">
        <v>Vingt.io</v>
      </c>
      <c r="C6303" t="str">
        <v>Indexes</v>
      </c>
      <c r="D6303" t="str">
        <v>-</v>
      </c>
      <c r="E6303">
        <v>102.95538432812265</v>
      </c>
      <c r="F6303">
        <v>0</v>
      </c>
    </row>
    <row r="6304" spans="2:6" ht="15.75" customHeight="1" x14ac:dyDescent="0.25">
      <c r="B6304" t="str">
        <v>VinuFinance</v>
      </c>
      <c r="C6304" t="str">
        <v>Lending</v>
      </c>
      <c r="D6304" t="str">
        <v>VC</v>
      </c>
      <c r="E6304">
        <v>120.90421809086416</v>
      </c>
      <c r="F6304">
        <v>0</v>
      </c>
    </row>
    <row r="6305" spans="2:6" ht="15.75" customHeight="1" x14ac:dyDescent="0.25">
      <c r="B6305" t="str">
        <v>VinuNFT</v>
      </c>
      <c r="C6305" t="str">
        <v>NFT Marketplace</v>
      </c>
      <c r="D6305" t="str">
        <v>VC</v>
      </c>
      <c r="E6305">
        <v>0</v>
      </c>
      <c r="F6305">
        <v>0</v>
      </c>
    </row>
    <row r="6306" spans="2:6" ht="15.75" customHeight="1" x14ac:dyDescent="0.25">
      <c r="B6306" t="str">
        <v>VinuSwap</v>
      </c>
      <c r="C6306" t="str">
        <v>Dexs</v>
      </c>
      <c r="D6306" t="str">
        <v>VC</v>
      </c>
      <c r="E6306">
        <v>9419.3740052675566</v>
      </c>
      <c r="F6306">
        <v>0</v>
      </c>
    </row>
    <row r="6307" spans="2:6" ht="15.75" customHeight="1" x14ac:dyDescent="0.25">
      <c r="B6307" t="str">
        <v>ViperSwap</v>
      </c>
      <c r="C6307" t="str">
        <v>Dexs</v>
      </c>
      <c r="D6307" t="str">
        <v>VIPER</v>
      </c>
      <c r="E6307">
        <v>38736.21523224657</v>
      </c>
      <c r="F6307">
        <v>1.8901135468063622E-2</v>
      </c>
    </row>
    <row r="6308" spans="2:6" ht="15.75" customHeight="1" x14ac:dyDescent="0.25">
      <c r="B6308" t="str">
        <v>VirBiCoin DEX</v>
      </c>
      <c r="C6308" t="str">
        <v>Dexs</v>
      </c>
      <c r="D6308" t="str">
        <v>-</v>
      </c>
      <c r="E6308">
        <v>8504.9150733090864</v>
      </c>
      <c r="F6308">
        <v>0</v>
      </c>
    </row>
    <row r="6309" spans="2:6" ht="15.75" customHeight="1" x14ac:dyDescent="0.25">
      <c r="B6309" t="str">
        <v>Vires Finance</v>
      </c>
      <c r="C6309" t="str">
        <v>Lending</v>
      </c>
      <c r="D6309" t="str">
        <v>VIRES</v>
      </c>
      <c r="E6309">
        <v>7804218.0522806775</v>
      </c>
      <c r="F6309">
        <v>3375568.8231465449</v>
      </c>
    </row>
    <row r="6310" spans="2:6" ht="15.75" customHeight="1" x14ac:dyDescent="0.25">
      <c r="B6310" t="str">
        <v>Viridian Exchange</v>
      </c>
      <c r="C6310" t="str">
        <v>Dexs</v>
      </c>
      <c r="D6310" t="str">
        <v>VIRI</v>
      </c>
      <c r="E6310">
        <v>407.58553796989787</v>
      </c>
      <c r="F6310">
        <v>0</v>
      </c>
    </row>
    <row r="6311" spans="2:6" ht="15.75" customHeight="1" x14ac:dyDescent="0.25">
      <c r="B6311" t="str">
        <v>Virtuals Protocol</v>
      </c>
      <c r="C6311" t="str">
        <v>AI Agents</v>
      </c>
      <c r="D6311" t="str">
        <v>VIRTUAL</v>
      </c>
      <c r="E6311">
        <v>0</v>
      </c>
      <c r="F6311">
        <v>697591941.24969327</v>
      </c>
    </row>
    <row r="6312" spans="2:6" ht="15.75" customHeight="1" x14ac:dyDescent="0.25">
      <c r="B6312" t="str">
        <v>Virtue</v>
      </c>
      <c r="C6312" t="str">
        <v>CDP</v>
      </c>
      <c r="D6312" t="str">
        <v>-</v>
      </c>
      <c r="E6312">
        <v>6442652.7964347573</v>
      </c>
      <c r="F6312">
        <v>0</v>
      </c>
    </row>
    <row r="6313" spans="2:6" ht="15.75" customHeight="1" x14ac:dyDescent="0.25">
      <c r="B6313" t="str">
        <v>VirtuSwap</v>
      </c>
      <c r="C6313" t="str">
        <v>Dexs</v>
      </c>
      <c r="D6313" t="str">
        <v>VRSW</v>
      </c>
      <c r="E6313">
        <v>3870.519499057938</v>
      </c>
      <c r="F6313">
        <v>0</v>
      </c>
    </row>
    <row r="6314" spans="2:6" ht="15.75" customHeight="1" x14ac:dyDescent="0.25">
      <c r="B6314" t="str">
        <v>Vishwa</v>
      </c>
      <c r="C6314" t="str">
        <v>Onchain Capital Allocator</v>
      </c>
      <c r="D6314" t="str">
        <v>-</v>
      </c>
      <c r="E6314">
        <v>27314788.353736069</v>
      </c>
      <c r="F6314">
        <v>0</v>
      </c>
    </row>
    <row r="6315" spans="2:6" ht="15.75" customHeight="1" x14ac:dyDescent="0.25">
      <c r="B6315" t="str">
        <v>VITCSwap</v>
      </c>
      <c r="C6315" t="str">
        <v>Dexs</v>
      </c>
      <c r="D6315" t="str">
        <v>-</v>
      </c>
      <c r="E6315">
        <v>4777.542523288058</v>
      </c>
      <c r="F6315">
        <v>0</v>
      </c>
    </row>
    <row r="6316" spans="2:6" ht="15.75" customHeight="1" x14ac:dyDescent="0.25">
      <c r="B6316" t="str">
        <v>ViteX</v>
      </c>
      <c r="C6316" t="str">
        <v>Dexs</v>
      </c>
      <c r="D6316" t="str">
        <v>VX</v>
      </c>
      <c r="E6316">
        <v>4944710.1109362198</v>
      </c>
      <c r="F6316">
        <v>0</v>
      </c>
    </row>
    <row r="6317" spans="2:6" ht="15.75" customHeight="1" x14ac:dyDescent="0.25">
      <c r="B6317" t="str">
        <v>Viva</v>
      </c>
      <c r="C6317" t="str">
        <v>Yield</v>
      </c>
      <c r="D6317" t="str">
        <v>VIVA</v>
      </c>
      <c r="E6317">
        <v>80730.464686599997</v>
      </c>
      <c r="F6317">
        <v>0</v>
      </c>
    </row>
    <row r="6318" spans="2:6" ht="15.75" customHeight="1" x14ac:dyDescent="0.25">
      <c r="B6318" t="str">
        <v>Vivacity Finance</v>
      </c>
      <c r="C6318" t="str">
        <v>RWA Lending</v>
      </c>
      <c r="D6318" t="str">
        <v>-</v>
      </c>
      <c r="E6318">
        <v>23756.807852091108</v>
      </c>
      <c r="F6318">
        <v>0</v>
      </c>
    </row>
    <row r="6319" spans="2:6" ht="15.75" customHeight="1" x14ac:dyDescent="0.25">
      <c r="B6319" t="str">
        <v>VivaLeva Protocol</v>
      </c>
      <c r="C6319" t="str">
        <v>Leveraged Farming</v>
      </c>
      <c r="D6319" t="str">
        <v>-</v>
      </c>
      <c r="E6319">
        <v>38780.075790599898</v>
      </c>
      <c r="F6319">
        <v>0</v>
      </c>
    </row>
    <row r="6320" spans="2:6" ht="15.75" customHeight="1" x14ac:dyDescent="0.25">
      <c r="B6320" t="str">
        <v>ViveLaBouje</v>
      </c>
      <c r="C6320" t="str">
        <v>Yield</v>
      </c>
      <c r="D6320" t="str">
        <v>VIVE</v>
      </c>
      <c r="E6320">
        <v>67.688602914780802</v>
      </c>
      <c r="F6320">
        <v>0</v>
      </c>
    </row>
    <row r="6321" spans="2:6" ht="15.75" customHeight="1" x14ac:dyDescent="0.25">
      <c r="B6321" t="str">
        <v>VMEX Finance</v>
      </c>
      <c r="C6321" t="str">
        <v>Lending</v>
      </c>
      <c r="D6321" t="str">
        <v>VMEX</v>
      </c>
      <c r="E6321">
        <v>2381.0968724450377</v>
      </c>
      <c r="F6321">
        <v>0</v>
      </c>
    </row>
    <row r="6322" spans="2:6" ht="15.75" customHeight="1" x14ac:dyDescent="0.25">
      <c r="B6322" t="str">
        <v>VNX</v>
      </c>
      <c r="C6322" t="str">
        <v>RWA</v>
      </c>
      <c r="D6322" t="str">
        <v>-</v>
      </c>
      <c r="E6322">
        <v>8546465.2641882375</v>
      </c>
      <c r="F6322">
        <v>0</v>
      </c>
    </row>
    <row r="6323" spans="2:6" ht="15.75" customHeight="1" x14ac:dyDescent="0.25">
      <c r="B6323" t="str">
        <v>Void</v>
      </c>
      <c r="C6323" t="str">
        <v>Yield</v>
      </c>
      <c r="D6323" t="str">
        <v>VOID</v>
      </c>
      <c r="E6323">
        <v>0</v>
      </c>
      <c r="F6323">
        <v>0</v>
      </c>
    </row>
    <row r="6324" spans="2:6" ht="15.75" customHeight="1" x14ac:dyDescent="0.25">
      <c r="B6324" t="str">
        <v>VolBoost</v>
      </c>
      <c r="C6324" t="str">
        <v>Volume Boosting</v>
      </c>
      <c r="D6324" t="str">
        <v>-</v>
      </c>
      <c r="E6324">
        <v>0</v>
      </c>
      <c r="F6324">
        <v>0</v>
      </c>
    </row>
    <row r="6325" spans="2:6" ht="15.75" customHeight="1" x14ac:dyDescent="0.25">
      <c r="B6325" t="str">
        <v>Volcano</v>
      </c>
      <c r="C6325" t="str">
        <v>Farm</v>
      </c>
      <c r="D6325" t="str">
        <v>-</v>
      </c>
      <c r="E6325">
        <v>1645.2275143203763</v>
      </c>
      <c r="F6325">
        <v>0</v>
      </c>
    </row>
    <row r="6326" spans="2:6" ht="15.75" customHeight="1" x14ac:dyDescent="0.25">
      <c r="B6326" t="str">
        <v>Volmex</v>
      </c>
      <c r="C6326" t="str">
        <v>Yield</v>
      </c>
      <c r="D6326" t="str">
        <v>-</v>
      </c>
      <c r="E6326">
        <v>373247.22623401927</v>
      </c>
      <c r="F6326">
        <v>0</v>
      </c>
    </row>
    <row r="6327" spans="2:6" ht="15.75" customHeight="1" x14ac:dyDescent="0.25">
      <c r="B6327" t="str">
        <v>Volo LST</v>
      </c>
      <c r="C6327" t="str">
        <v>Liquid Staking</v>
      </c>
      <c r="D6327" t="str">
        <v>NAVX</v>
      </c>
      <c r="E6327">
        <v>14527956.580340724</v>
      </c>
      <c r="F6327">
        <v>0</v>
      </c>
    </row>
    <row r="6328" spans="2:6" ht="15.75" customHeight="1" x14ac:dyDescent="0.25">
      <c r="B6328" t="str">
        <v>Volo Vault</v>
      </c>
      <c r="C6328" t="str">
        <v>Risk Curators</v>
      </c>
      <c r="D6328" t="str">
        <v>NAVX</v>
      </c>
      <c r="E6328">
        <v>34846867.445682354</v>
      </c>
      <c r="F6328">
        <v>0</v>
      </c>
    </row>
    <row r="6329" spans="2:6" ht="15.75" customHeight="1" x14ac:dyDescent="0.25">
      <c r="B6329" t="str">
        <v>Volta Club</v>
      </c>
      <c r="C6329" t="str">
        <v>Reserve Currency</v>
      </c>
      <c r="D6329" t="str">
        <v>VOLTA</v>
      </c>
      <c r="E6329">
        <v>0</v>
      </c>
      <c r="F6329">
        <v>0</v>
      </c>
    </row>
    <row r="6330" spans="2:6" ht="15.75" customHeight="1" x14ac:dyDescent="0.25">
      <c r="B6330" t="str">
        <v>Volta DAO</v>
      </c>
      <c r="C6330" t="str">
        <v>Reserve Currency</v>
      </c>
      <c r="D6330" t="str">
        <v>VOLTa</v>
      </c>
      <c r="E6330">
        <v>0</v>
      </c>
      <c r="F6330">
        <v>0</v>
      </c>
    </row>
    <row r="6331" spans="2:6" ht="15.75" customHeight="1" x14ac:dyDescent="0.25">
      <c r="B6331" t="str">
        <v>Volta Finance</v>
      </c>
      <c r="C6331" t="str">
        <v>CDP</v>
      </c>
      <c r="D6331" t="str">
        <v>VOLTA</v>
      </c>
      <c r="E6331">
        <v>8898.417121800916</v>
      </c>
      <c r="F6331">
        <v>0</v>
      </c>
    </row>
    <row r="6332" spans="2:6" ht="15.75" customHeight="1" x14ac:dyDescent="0.25">
      <c r="B6332" t="str">
        <v>Volta Markets</v>
      </c>
      <c r="C6332" t="str">
        <v>Derivatives</v>
      </c>
      <c r="D6332" t="str">
        <v>-</v>
      </c>
      <c r="E6332">
        <v>5940.6725313161533</v>
      </c>
      <c r="F6332">
        <v>0</v>
      </c>
    </row>
    <row r="6333" spans="2:6" ht="15.75" customHeight="1" x14ac:dyDescent="0.25">
      <c r="B6333" t="str">
        <v>Voltage AMM</v>
      </c>
      <c r="C6333" t="str">
        <v>Dexs</v>
      </c>
      <c r="D6333" t="str">
        <v>VOLT</v>
      </c>
      <c r="E6333">
        <v>71406.643506971319</v>
      </c>
      <c r="F6333">
        <v>0</v>
      </c>
    </row>
    <row r="6334" spans="2:6" ht="15.75" customHeight="1" x14ac:dyDescent="0.25">
      <c r="B6334" t="str">
        <v>Voltage Lending</v>
      </c>
      <c r="C6334" t="str">
        <v>Lending</v>
      </c>
      <c r="D6334" t="str">
        <v>VOLT</v>
      </c>
      <c r="E6334">
        <v>35542.038708556334</v>
      </c>
      <c r="F6334">
        <v>0</v>
      </c>
    </row>
    <row r="6335" spans="2:6" ht="15.75" customHeight="1" x14ac:dyDescent="0.25">
      <c r="B6335" t="str">
        <v>Voltage Liquid Staking</v>
      </c>
      <c r="C6335" t="str">
        <v>Liquid Staking</v>
      </c>
      <c r="D6335" t="str">
        <v>VOLT</v>
      </c>
      <c r="E6335">
        <v>77892.640059435202</v>
      </c>
      <c r="F6335">
        <v>0</v>
      </c>
    </row>
    <row r="6336" spans="2:6" ht="15.75" customHeight="1" x14ac:dyDescent="0.25">
      <c r="B6336" t="str">
        <v>Voltage StableSwap</v>
      </c>
      <c r="C6336" t="str">
        <v>Dexs</v>
      </c>
      <c r="D6336" t="str">
        <v>VOLT</v>
      </c>
      <c r="E6336">
        <v>17284.436800323369</v>
      </c>
      <c r="F6336">
        <v>0</v>
      </c>
    </row>
    <row r="6337" spans="2:6" ht="15.75" customHeight="1" x14ac:dyDescent="0.25">
      <c r="B6337" t="str">
        <v>Voltage V3</v>
      </c>
      <c r="C6337" t="str">
        <v>Dexs</v>
      </c>
      <c r="D6337" t="str">
        <v>VOLT</v>
      </c>
      <c r="E6337">
        <v>4708.1187778350159</v>
      </c>
      <c r="F6337">
        <v>0</v>
      </c>
    </row>
    <row r="6338" spans="2:6" ht="15.75" customHeight="1" x14ac:dyDescent="0.25">
      <c r="B6338" t="str">
        <v>Voltage V4</v>
      </c>
      <c r="C6338" t="str">
        <v>Dexs</v>
      </c>
      <c r="D6338" t="str">
        <v>VOLT</v>
      </c>
      <c r="E6338">
        <v>218434.90160193792</v>
      </c>
      <c r="F6338">
        <v>0</v>
      </c>
    </row>
    <row r="6339" spans="2:6" ht="15.75" customHeight="1" x14ac:dyDescent="0.25">
      <c r="B6339" t="str">
        <v>VoltageSwap</v>
      </c>
      <c r="C6339" t="str">
        <v>Dexs</v>
      </c>
      <c r="D6339" t="str">
        <v>VOLT</v>
      </c>
      <c r="E6339">
        <v>93.563631143724791</v>
      </c>
      <c r="F6339">
        <v>0</v>
      </c>
    </row>
    <row r="6340" spans="2:6" ht="15.75" customHeight="1" x14ac:dyDescent="0.25">
      <c r="B6340" t="str">
        <v>VoltSwap</v>
      </c>
      <c r="C6340" t="str">
        <v>Dexs</v>
      </c>
      <c r="D6340" t="str">
        <v>VOLT</v>
      </c>
      <c r="E6340">
        <v>159970.61734329673</v>
      </c>
      <c r="F6340">
        <v>0</v>
      </c>
    </row>
    <row r="6341" spans="2:6" ht="15.75" customHeight="1" x14ac:dyDescent="0.25">
      <c r="B6341" t="str">
        <v>VoltSwap V2</v>
      </c>
      <c r="C6341" t="str">
        <v>Dexs</v>
      </c>
      <c r="D6341" t="str">
        <v>VOLT</v>
      </c>
      <c r="E6341">
        <v>121393.17073395243</v>
      </c>
      <c r="F6341">
        <v>0</v>
      </c>
    </row>
    <row r="6342" spans="2:6" ht="15.75" customHeight="1" x14ac:dyDescent="0.25">
      <c r="B6342" t="str">
        <v>Voltz</v>
      </c>
      <c r="C6342" t="str">
        <v>Derivatives</v>
      </c>
      <c r="D6342" t="str">
        <v>-</v>
      </c>
      <c r="E6342">
        <v>283101.80722087581</v>
      </c>
      <c r="F6342">
        <v>0</v>
      </c>
    </row>
    <row r="6343" spans="2:6" ht="15.75" customHeight="1" x14ac:dyDescent="0.25">
      <c r="B6343" t="str">
        <v>Voodoo Trade Base</v>
      </c>
      <c r="C6343" t="str">
        <v>Derivatives</v>
      </c>
      <c r="D6343" t="str">
        <v>VMX</v>
      </c>
      <c r="E6343">
        <v>2195.6151811769314</v>
      </c>
      <c r="F6343">
        <v>0</v>
      </c>
    </row>
    <row r="6344" spans="2:6" ht="15.75" customHeight="1" x14ac:dyDescent="0.25">
      <c r="B6344" t="str">
        <v>Voodoo Trade Fantom</v>
      </c>
      <c r="C6344" t="str">
        <v>Derivatives</v>
      </c>
      <c r="D6344" t="str">
        <v>VMX</v>
      </c>
      <c r="E6344">
        <v>21.16027140073874</v>
      </c>
      <c r="F6344">
        <v>0</v>
      </c>
    </row>
    <row r="6345" spans="2:6" ht="15.75" customHeight="1" x14ac:dyDescent="0.25">
      <c r="B6345" t="str">
        <v>Vooi</v>
      </c>
      <c r="C6345" t="str">
        <v>Derivatives</v>
      </c>
      <c r="D6345" t="str">
        <v>-</v>
      </c>
      <c r="E6345">
        <v>0</v>
      </c>
      <c r="F6345">
        <v>0</v>
      </c>
    </row>
    <row r="6346" spans="2:6" ht="15.75" customHeight="1" x14ac:dyDescent="0.25">
      <c r="B6346" t="str">
        <v>Vooi V1</v>
      </c>
      <c r="C6346" t="str">
        <v>Dexs</v>
      </c>
      <c r="D6346" t="str">
        <v>-</v>
      </c>
      <c r="E6346">
        <v>17262.352826466587</v>
      </c>
      <c r="F6346">
        <v>0</v>
      </c>
    </row>
    <row r="6347" spans="2:6" ht="15.75" customHeight="1" x14ac:dyDescent="0.25">
      <c r="B6347" t="str">
        <v>Vortex DAO</v>
      </c>
      <c r="C6347" t="str">
        <v>Reserve Currency</v>
      </c>
      <c r="D6347" t="str">
        <v>SPACE</v>
      </c>
      <c r="E6347">
        <v>0</v>
      </c>
      <c r="F6347">
        <v>0</v>
      </c>
    </row>
    <row r="6348" spans="2:6" ht="15.75" customHeight="1" x14ac:dyDescent="0.25">
      <c r="B6348" t="str">
        <v>Vortex Protocol</v>
      </c>
      <c r="C6348" t="str">
        <v>Dexs</v>
      </c>
      <c r="D6348" t="str">
        <v>SMAK</v>
      </c>
      <c r="E6348">
        <v>13346.422577093366</v>
      </c>
      <c r="F6348">
        <v>0</v>
      </c>
    </row>
    <row r="6349" spans="2:6" ht="15.75" customHeight="1" x14ac:dyDescent="0.25">
      <c r="B6349" t="str">
        <v>Votre</v>
      </c>
      <c r="C6349" t="str">
        <v>Lending</v>
      </c>
      <c r="D6349" t="str">
        <v>-</v>
      </c>
      <c r="E6349">
        <v>1436.9408083585374</v>
      </c>
      <c r="F6349">
        <v>0</v>
      </c>
    </row>
    <row r="6350" spans="2:6" ht="15.75" customHeight="1" x14ac:dyDescent="0.25">
      <c r="B6350" t="str">
        <v>Vovo Finance</v>
      </c>
      <c r="C6350" t="str">
        <v>Yield</v>
      </c>
      <c r="D6350" t="str">
        <v>-</v>
      </c>
      <c r="E6350">
        <v>37774.503200712112</v>
      </c>
      <c r="F6350">
        <v>0</v>
      </c>
    </row>
    <row r="6351" spans="2:6" ht="15.75" customHeight="1" x14ac:dyDescent="0.25">
      <c r="B6351" t="str">
        <v>VulcanDex</v>
      </c>
      <c r="C6351" t="str">
        <v>Dexs</v>
      </c>
      <c r="D6351" t="str">
        <v>PYR</v>
      </c>
      <c r="E6351">
        <v>56217.733765700752</v>
      </c>
      <c r="F6351">
        <v>11604351.789098935</v>
      </c>
    </row>
    <row r="6352" spans="2:6" ht="15.75" customHeight="1" x14ac:dyDescent="0.25">
      <c r="B6352" t="str">
        <v>VultureSwap</v>
      </c>
      <c r="C6352" t="str">
        <v>Dexs</v>
      </c>
      <c r="D6352" t="str">
        <v>VULTR</v>
      </c>
      <c r="E6352">
        <v>5201.1000847138866</v>
      </c>
      <c r="F6352">
        <v>0</v>
      </c>
    </row>
    <row r="6353" spans="2:6" ht="15.75" customHeight="1" x14ac:dyDescent="0.25">
      <c r="B6353" t="str">
        <v>VVS Flawless</v>
      </c>
      <c r="C6353" t="str">
        <v>Dexs</v>
      </c>
      <c r="D6353" t="str">
        <v>VVS</v>
      </c>
      <c r="E6353">
        <v>1606795.9720917128</v>
      </c>
      <c r="F6353">
        <v>0</v>
      </c>
    </row>
    <row r="6354" spans="2:6" ht="15.75" customHeight="1" x14ac:dyDescent="0.25">
      <c r="B6354" t="str">
        <v>VVS Standard</v>
      </c>
      <c r="C6354" t="str">
        <v>Dexs</v>
      </c>
      <c r="D6354" t="str">
        <v>VVS</v>
      </c>
      <c r="E6354">
        <v>184092704.83218837</v>
      </c>
      <c r="F6354">
        <v>0</v>
      </c>
    </row>
    <row r="6355" spans="2:6" ht="15.75" customHeight="1" x14ac:dyDescent="0.25">
      <c r="B6355" t="str">
        <v>VyFinance Dex</v>
      </c>
      <c r="C6355" t="str">
        <v>Dexs</v>
      </c>
      <c r="D6355" t="str">
        <v>VYFI</v>
      </c>
      <c r="E6355">
        <v>1715270.318394965</v>
      </c>
      <c r="F6355">
        <v>0</v>
      </c>
    </row>
    <row r="6356" spans="2:6" ht="15.75" customHeight="1" x14ac:dyDescent="0.25">
      <c r="B6356" t="str">
        <v>W-DEX</v>
      </c>
      <c r="C6356" t="str">
        <v>Dexs</v>
      </c>
      <c r="D6356" t="str">
        <v>-</v>
      </c>
      <c r="E6356">
        <v>1586128.5217213624</v>
      </c>
      <c r="F6356">
        <v>0</v>
      </c>
    </row>
    <row r="6357" spans="2:6" ht="15.75" customHeight="1" x14ac:dyDescent="0.25">
      <c r="B6357" t="str">
        <v>w3bank</v>
      </c>
      <c r="C6357" t="str">
        <v>Lending</v>
      </c>
      <c r="D6357" t="str">
        <v>W3K</v>
      </c>
      <c r="E6357">
        <v>47690.199041641768</v>
      </c>
      <c r="F6357">
        <v>0</v>
      </c>
    </row>
    <row r="6358" spans="2:6" ht="15.75" customHeight="1" x14ac:dyDescent="0.25">
      <c r="B6358" t="str">
        <v>W3swap</v>
      </c>
      <c r="C6358" t="str">
        <v>Dexs</v>
      </c>
      <c r="D6358" t="str">
        <v>-</v>
      </c>
      <c r="E6358">
        <v>82963.95274433303</v>
      </c>
      <c r="F6358">
        <v>0</v>
      </c>
    </row>
    <row r="6359" spans="2:6" ht="15.75" customHeight="1" x14ac:dyDescent="0.25">
      <c r="B6359" t="str">
        <v>WAGMI</v>
      </c>
      <c r="C6359" t="str">
        <v>Dexs</v>
      </c>
      <c r="D6359" t="str">
        <v>WAGMI</v>
      </c>
      <c r="E6359">
        <v>2942833.2332789022</v>
      </c>
      <c r="F6359">
        <v>4125272.7364060837</v>
      </c>
    </row>
    <row r="6360" spans="2:6" ht="15.75" customHeight="1" x14ac:dyDescent="0.25">
      <c r="B6360" t="str">
        <v>Wagmi Memepad</v>
      </c>
      <c r="C6360" t="str">
        <v>Launchpad</v>
      </c>
      <c r="D6360" t="str">
        <v>-</v>
      </c>
      <c r="E6360">
        <v>703.81479027026285</v>
      </c>
      <c r="F6360">
        <v>0</v>
      </c>
    </row>
    <row r="6361" spans="2:6" ht="15.75" customHeight="1" x14ac:dyDescent="0.25">
      <c r="B6361" t="str">
        <v>wagmi sh</v>
      </c>
      <c r="C6361" t="str">
        <v>Services</v>
      </c>
      <c r="D6361" t="str">
        <v>-</v>
      </c>
      <c r="E6361">
        <v>0</v>
      </c>
      <c r="F6361">
        <v>0</v>
      </c>
    </row>
    <row r="6362" spans="2:6" ht="15.75" customHeight="1" x14ac:dyDescent="0.25">
      <c r="B6362" t="str">
        <v>WagmiDAO</v>
      </c>
      <c r="C6362" t="str">
        <v>Reserve Currency</v>
      </c>
      <c r="D6362" t="str">
        <v>GMI</v>
      </c>
      <c r="E6362">
        <v>436.95239753145705</v>
      </c>
      <c r="F6362">
        <v>2002512.577964023</v>
      </c>
    </row>
    <row r="6363" spans="2:6" ht="15.75" customHeight="1" x14ac:dyDescent="0.25">
      <c r="B6363" t="str">
        <v>WagyuSwap</v>
      </c>
      <c r="C6363" t="str">
        <v>Dexs</v>
      </c>
      <c r="D6363" t="str">
        <v>WAG</v>
      </c>
      <c r="E6363">
        <v>128025.93118941979</v>
      </c>
      <c r="F6363">
        <v>16908.360443456051</v>
      </c>
    </row>
    <row r="6364" spans="2:6" ht="15.75" customHeight="1" x14ac:dyDescent="0.25">
      <c r="B6364" t="str">
        <v>Waka Finance</v>
      </c>
      <c r="C6364" t="str">
        <v>Dexs</v>
      </c>
      <c r="D6364" t="str">
        <v>WAKA</v>
      </c>
      <c r="E6364">
        <v>7669.4451486129465</v>
      </c>
      <c r="F6364">
        <v>0</v>
      </c>
    </row>
    <row r="6365" spans="2:6" ht="15.75" customHeight="1" x14ac:dyDescent="0.25">
      <c r="B6365" t="str">
        <v>Wallet V</v>
      </c>
      <c r="C6365" t="str">
        <v>Interface</v>
      </c>
      <c r="D6365" t="str">
        <v>-</v>
      </c>
      <c r="E6365">
        <v>0</v>
      </c>
      <c r="F6365">
        <v>0</v>
      </c>
    </row>
    <row r="6366" spans="2:6" ht="15.75" customHeight="1" x14ac:dyDescent="0.25">
      <c r="B6366" t="str">
        <v>Walrus Protocol</v>
      </c>
      <c r="C6366" t="str">
        <v>Developer Tools</v>
      </c>
      <c r="D6366" t="str">
        <v>WAL</v>
      </c>
      <c r="E6366">
        <v>0</v>
      </c>
      <c r="F6366">
        <v>218627875.17036018</v>
      </c>
    </row>
    <row r="6367" spans="2:6" ht="15.75" customHeight="1" x14ac:dyDescent="0.25">
      <c r="B6367" t="str">
        <v>Wan Bridge</v>
      </c>
      <c r="C6367" t="str">
        <v>Bridge</v>
      </c>
      <c r="D6367" t="str">
        <v>-</v>
      </c>
      <c r="E6367">
        <v>29820992.751077976</v>
      </c>
      <c r="F6367">
        <v>0</v>
      </c>
    </row>
    <row r="6368" spans="2:6" ht="15.75" customHeight="1" x14ac:dyDescent="0.25">
      <c r="B6368" t="str">
        <v>Wand Protocol</v>
      </c>
      <c r="C6368" t="str">
        <v>CDP</v>
      </c>
      <c r="D6368" t="str">
        <v>-</v>
      </c>
      <c r="E6368">
        <v>100559.27141799283</v>
      </c>
      <c r="F6368">
        <v>0</v>
      </c>
    </row>
    <row r="6369" spans="2:6" ht="15.75" customHeight="1" x14ac:dyDescent="0.25">
      <c r="B6369" t="str">
        <v>WanLend</v>
      </c>
      <c r="C6369" t="str">
        <v>Lending</v>
      </c>
      <c r="D6369" t="str">
        <v>-</v>
      </c>
      <c r="E6369">
        <v>970911.81472008582</v>
      </c>
      <c r="F6369">
        <v>0</v>
      </c>
    </row>
    <row r="6370" spans="2:6" ht="15.75" customHeight="1" x14ac:dyDescent="0.25">
      <c r="B6370" t="str">
        <v>WannaSwap</v>
      </c>
      <c r="C6370" t="str">
        <v>Dexs</v>
      </c>
      <c r="D6370" t="str">
        <v>WANNA</v>
      </c>
      <c r="E6370">
        <v>82192.587252277153</v>
      </c>
      <c r="F6370">
        <v>20189.835575838286</v>
      </c>
    </row>
    <row r="6371" spans="2:6" ht="15.75" customHeight="1" x14ac:dyDescent="0.25">
      <c r="B6371" t="str">
        <v>WanSwap Dex</v>
      </c>
      <c r="C6371" t="str">
        <v>Dexs</v>
      </c>
      <c r="D6371" t="str">
        <v>WASP</v>
      </c>
      <c r="E6371">
        <v>1350922.451865209</v>
      </c>
      <c r="F6371">
        <v>69447.383720199039</v>
      </c>
    </row>
    <row r="6372" spans="2:6" ht="15.75" customHeight="1" x14ac:dyDescent="0.25">
      <c r="B6372" t="str">
        <v>WardenSwap</v>
      </c>
      <c r="C6372" t="str">
        <v>Dexs</v>
      </c>
      <c r="D6372" t="str">
        <v>WAD</v>
      </c>
      <c r="E6372">
        <v>322694.98109072592</v>
      </c>
      <c r="F6372">
        <v>2532256.9485141495</v>
      </c>
    </row>
    <row r="6373" spans="2:6" ht="15.75" customHeight="1" x14ac:dyDescent="0.25">
      <c r="B6373" t="str">
        <v>Warp</v>
      </c>
      <c r="C6373" t="str">
        <v>Reserve Currency</v>
      </c>
      <c r="D6373" t="str">
        <v>WARP</v>
      </c>
      <c r="E6373">
        <v>0</v>
      </c>
      <c r="F6373">
        <v>0</v>
      </c>
    </row>
    <row r="6374" spans="2:6" ht="15.75" customHeight="1" x14ac:dyDescent="0.25">
      <c r="B6374" t="str">
        <v>Warp Dex</v>
      </c>
      <c r="C6374" t="str">
        <v>Dexs</v>
      </c>
      <c r="D6374" t="str">
        <v>-</v>
      </c>
      <c r="E6374">
        <v>6011.1499093590937</v>
      </c>
      <c r="F6374">
        <v>0</v>
      </c>
    </row>
    <row r="6375" spans="2:6" ht="15.75" customHeight="1" x14ac:dyDescent="0.25">
      <c r="B6375" t="str">
        <v>Warp Finance</v>
      </c>
      <c r="C6375" t="str">
        <v>Launchpad</v>
      </c>
      <c r="D6375" t="str">
        <v>-</v>
      </c>
      <c r="E6375">
        <v>14.24721111125884</v>
      </c>
      <c r="F6375">
        <v>0</v>
      </c>
    </row>
    <row r="6376" spans="2:6" ht="15.75" customHeight="1" x14ac:dyDescent="0.25">
      <c r="B6376" t="str">
        <v>Warp Protocol</v>
      </c>
      <c r="C6376" t="str">
        <v>Lending</v>
      </c>
      <c r="D6376" t="str">
        <v>WARP</v>
      </c>
      <c r="E6376">
        <v>41787.853283138531</v>
      </c>
      <c r="F6376">
        <v>19322.590735342488</v>
      </c>
    </row>
    <row r="6377" spans="2:6" ht="15.75" customHeight="1" x14ac:dyDescent="0.25">
      <c r="B6377" t="str">
        <v>WarpGate</v>
      </c>
      <c r="C6377" t="str">
        <v>Dexs</v>
      </c>
      <c r="D6377" t="str">
        <v>-</v>
      </c>
      <c r="E6377">
        <v>1523.0624235233636</v>
      </c>
      <c r="F6377">
        <v>0</v>
      </c>
    </row>
    <row r="6378" spans="2:6" ht="15.75" customHeight="1" x14ac:dyDescent="0.25">
      <c r="B6378" t="str">
        <v>WarpX</v>
      </c>
      <c r="C6378" t="str">
        <v>Dexs</v>
      </c>
      <c r="D6378" t="str">
        <v>-</v>
      </c>
      <c r="E6378">
        <v>326.91672672050555</v>
      </c>
      <c r="F6378">
        <v>0</v>
      </c>
    </row>
    <row r="6379" spans="2:6" ht="15.75" customHeight="1" x14ac:dyDescent="0.25">
      <c r="B6379" t="str">
        <v>Wasabee</v>
      </c>
      <c r="C6379" t="str">
        <v>Dexs</v>
      </c>
      <c r="D6379" t="str">
        <v>-</v>
      </c>
      <c r="E6379">
        <v>10646.463616996069</v>
      </c>
      <c r="F6379">
        <v>0</v>
      </c>
    </row>
    <row r="6380" spans="2:6" ht="15.75" customHeight="1" x14ac:dyDescent="0.25">
      <c r="B6380" t="str">
        <v>Wasabi</v>
      </c>
      <c r="C6380" t="str">
        <v>Derivatives</v>
      </c>
      <c r="D6380" t="str">
        <v>-</v>
      </c>
      <c r="E6380">
        <v>30585753.410779912</v>
      </c>
      <c r="F6380">
        <v>0</v>
      </c>
    </row>
    <row r="6381" spans="2:6" ht="15.75" customHeight="1" x14ac:dyDescent="0.25">
      <c r="B6381" t="str">
        <v>Wasabix</v>
      </c>
      <c r="C6381" t="str">
        <v>Yield</v>
      </c>
      <c r="D6381" t="str">
        <v>WASABI</v>
      </c>
      <c r="E6381">
        <v>221740.82590546363</v>
      </c>
      <c r="F6381">
        <v>82431.574961352293</v>
      </c>
    </row>
    <row r="6382" spans="2:6" ht="15.75" customHeight="1" x14ac:dyDescent="0.25">
      <c r="B6382" t="str">
        <v>WaterDendy</v>
      </c>
      <c r="C6382" t="str">
        <v>Yield</v>
      </c>
      <c r="D6382" t="str">
        <v>WD</v>
      </c>
      <c r="E6382">
        <v>63.808986705684553</v>
      </c>
      <c r="F6382">
        <v>0</v>
      </c>
    </row>
    <row r="6383" spans="2:6" ht="15.75" customHeight="1" x14ac:dyDescent="0.25">
      <c r="B6383" t="str">
        <v>Waterfall BSC</v>
      </c>
      <c r="C6383" t="str">
        <v>Yield</v>
      </c>
      <c r="D6383" t="str">
        <v>WATERFALL</v>
      </c>
      <c r="E6383">
        <v>31923.414260461886</v>
      </c>
      <c r="F6383">
        <v>0</v>
      </c>
    </row>
    <row r="6384" spans="2:6" ht="15.75" customHeight="1" x14ac:dyDescent="0.25">
      <c r="B6384" t="str">
        <v>Waterfall DeFi</v>
      </c>
      <c r="C6384" t="str">
        <v>Yield Aggregator</v>
      </c>
      <c r="D6384" t="str">
        <v>WTF</v>
      </c>
      <c r="E6384">
        <v>25916.233593790908</v>
      </c>
      <c r="F6384">
        <v>40929.240076402784</v>
      </c>
    </row>
    <row r="6385" spans="2:6" ht="15.75" customHeight="1" x14ac:dyDescent="0.25">
      <c r="B6385" t="str">
        <v>Waterfall DEX</v>
      </c>
      <c r="C6385" t="str">
        <v>Dexs</v>
      </c>
      <c r="D6385" t="str">
        <v>WTFX</v>
      </c>
      <c r="E6385">
        <v>2829.136339801285</v>
      </c>
      <c r="F6385">
        <v>0</v>
      </c>
    </row>
    <row r="6386" spans="2:6" ht="15.75" customHeight="1" x14ac:dyDescent="0.25">
      <c r="B6386" t="str">
        <v>Waterfall Finance Yield</v>
      </c>
      <c r="C6386" t="str">
        <v>Yield</v>
      </c>
      <c r="D6386" t="str">
        <v>WATERFALL</v>
      </c>
      <c r="E6386">
        <v>406.31805080258999</v>
      </c>
      <c r="F6386">
        <v>0</v>
      </c>
    </row>
    <row r="6387" spans="2:6" ht="15.75" customHeight="1" x14ac:dyDescent="0.25">
      <c r="B6387" t="str">
        <v>Waterfall WTF</v>
      </c>
      <c r="C6387" t="str">
        <v>Algo-Stables</v>
      </c>
      <c r="D6387" t="str">
        <v>WTF</v>
      </c>
      <c r="E6387">
        <v>0</v>
      </c>
      <c r="F6387">
        <v>0</v>
      </c>
    </row>
    <row r="6388" spans="2:6" ht="15.75" customHeight="1" x14ac:dyDescent="0.25">
      <c r="B6388" t="str">
        <v>WaterLoan</v>
      </c>
      <c r="C6388" t="str">
        <v>Lending</v>
      </c>
      <c r="D6388" t="str">
        <v>WAT</v>
      </c>
      <c r="E6388">
        <v>0</v>
      </c>
      <c r="F6388">
        <v>0</v>
      </c>
    </row>
    <row r="6389" spans="2:6" ht="15.75" customHeight="1" x14ac:dyDescent="0.25">
      <c r="B6389" t="str">
        <v>WaterNeuron</v>
      </c>
      <c r="C6389" t="str">
        <v>Liquid Staking</v>
      </c>
      <c r="D6389" t="str">
        <v>WTN</v>
      </c>
      <c r="E6389">
        <v>7400589.1643840102</v>
      </c>
      <c r="F6389">
        <v>4630056.0573374107</v>
      </c>
    </row>
    <row r="6390" spans="2:6" ht="15.75" customHeight="1" x14ac:dyDescent="0.25">
      <c r="B6390" t="str">
        <v>Wault</v>
      </c>
      <c r="C6390" t="str">
        <v>Yield</v>
      </c>
      <c r="D6390" t="str">
        <v>WEX</v>
      </c>
      <c r="E6390">
        <v>0</v>
      </c>
      <c r="F6390">
        <v>205164.87057631736</v>
      </c>
    </row>
    <row r="6391" spans="2:6" ht="15.75" customHeight="1" x14ac:dyDescent="0.25">
      <c r="B6391" t="str">
        <v>Wavelength DAO</v>
      </c>
      <c r="C6391" t="str">
        <v>Dexs</v>
      </c>
      <c r="D6391" t="str">
        <v>-</v>
      </c>
      <c r="E6391">
        <v>67152.307572093137</v>
      </c>
      <c r="F6391">
        <v>0</v>
      </c>
    </row>
    <row r="6392" spans="2:6" ht="15.75" customHeight="1" x14ac:dyDescent="0.25">
      <c r="B6392" t="str">
        <v>Waves Exchange</v>
      </c>
      <c r="C6392" t="str">
        <v>Farm</v>
      </c>
      <c r="D6392" t="str">
        <v>-</v>
      </c>
      <c r="E6392">
        <v>4359527.3159197569</v>
      </c>
      <c r="F6392">
        <v>0</v>
      </c>
    </row>
    <row r="6393" spans="2:6" ht="15.75" customHeight="1" x14ac:dyDescent="0.25">
      <c r="B6393" t="str">
        <v>WavesBridge</v>
      </c>
      <c r="C6393" t="str">
        <v>Bridge</v>
      </c>
      <c r="D6393" t="str">
        <v>-</v>
      </c>
      <c r="E6393">
        <v>1791914.8176030819</v>
      </c>
      <c r="F6393">
        <v>0</v>
      </c>
    </row>
    <row r="6394" spans="2:6" ht="15.75" customHeight="1" x14ac:dyDescent="0.25">
      <c r="B6394" t="str">
        <v>waveX</v>
      </c>
      <c r="C6394" t="str">
        <v>Derivatives</v>
      </c>
      <c r="D6394" t="str">
        <v>-</v>
      </c>
      <c r="E6394">
        <v>54757.711481536877</v>
      </c>
      <c r="F6394">
        <v>0</v>
      </c>
    </row>
    <row r="6395" spans="2:6" ht="15.75" customHeight="1" x14ac:dyDescent="0.25">
      <c r="B6395" t="str">
        <v>WAX.FUN</v>
      </c>
      <c r="C6395" t="str">
        <v>Launchpad</v>
      </c>
      <c r="D6395" t="str">
        <v>-</v>
      </c>
      <c r="E6395">
        <v>3029.8477576200708</v>
      </c>
      <c r="F6395">
        <v>0</v>
      </c>
    </row>
    <row r="6396" spans="2:6" ht="15.75" customHeight="1" x14ac:dyDescent="0.25">
      <c r="B6396" t="str">
        <v>WaxDAO</v>
      </c>
      <c r="C6396" t="str">
        <v>Services</v>
      </c>
      <c r="D6396" t="str">
        <v>WAXDAO</v>
      </c>
      <c r="E6396">
        <v>262.48180432460612</v>
      </c>
      <c r="F6396">
        <v>0</v>
      </c>
    </row>
    <row r="6397" spans="2:6" ht="15.75" customHeight="1" x14ac:dyDescent="0.25">
      <c r="B6397" t="str">
        <v>WaxFusion</v>
      </c>
      <c r="C6397" t="str">
        <v>Liquid Staking</v>
      </c>
      <c r="D6397" t="str">
        <v>-</v>
      </c>
      <c r="E6397">
        <v>27269.866560614231</v>
      </c>
      <c r="F6397">
        <v>0</v>
      </c>
    </row>
    <row r="6398" spans="2:6" ht="15.75" customHeight="1" x14ac:dyDescent="0.25">
      <c r="B6398" t="str">
        <v>WBROCK Staking</v>
      </c>
      <c r="C6398" t="str">
        <v>Staking Pool</v>
      </c>
      <c r="D6398" t="str">
        <v>-</v>
      </c>
      <c r="E6398">
        <v>0</v>
      </c>
      <c r="F6398">
        <v>0</v>
      </c>
    </row>
    <row r="6399" spans="2:6" ht="15.75" customHeight="1" x14ac:dyDescent="0.25">
      <c r="B6399" t="str">
        <v>WBTC</v>
      </c>
      <c r="C6399" t="str">
        <v>Bridge</v>
      </c>
      <c r="D6399" t="str">
        <v>-</v>
      </c>
      <c r="E6399">
        <v>11279564631.514997</v>
      </c>
      <c r="F6399">
        <v>0</v>
      </c>
    </row>
    <row r="6400" spans="2:6" ht="15.75" customHeight="1" x14ac:dyDescent="0.25">
      <c r="B6400" t="str">
        <v>WDJC</v>
      </c>
      <c r="C6400" t="str">
        <v>Gaming</v>
      </c>
      <c r="D6400" t="str">
        <v>-</v>
      </c>
      <c r="E6400">
        <v>4.8606013332508823E-2</v>
      </c>
      <c r="F6400">
        <v>0</v>
      </c>
    </row>
    <row r="6401" spans="2:6" ht="15.75" customHeight="1" x14ac:dyDescent="0.25">
      <c r="B6401" t="str">
        <v>Weave</v>
      </c>
      <c r="C6401" t="str">
        <v>Yield Aggregator</v>
      </c>
      <c r="D6401" t="str">
        <v>-</v>
      </c>
      <c r="E6401">
        <v>0.297331127643639</v>
      </c>
      <c r="F6401">
        <v>0</v>
      </c>
    </row>
    <row r="6402" spans="2:6" ht="15.75" customHeight="1" x14ac:dyDescent="0.25">
      <c r="B6402" t="str">
        <v>Web3.world</v>
      </c>
      <c r="C6402" t="str">
        <v>Dexs</v>
      </c>
      <c r="D6402" t="str">
        <v>W3W</v>
      </c>
      <c r="E6402">
        <v>2890907</v>
      </c>
      <c r="F6402">
        <v>0</v>
      </c>
    </row>
    <row r="6403" spans="2:6" ht="15.75" customHeight="1" x14ac:dyDescent="0.25">
      <c r="B6403" t="str">
        <v>WeBera Finance</v>
      </c>
      <c r="C6403" t="str">
        <v>Yield</v>
      </c>
      <c r="D6403" t="str">
        <v>-</v>
      </c>
      <c r="E6403">
        <v>28964.997523053979</v>
      </c>
      <c r="F6403">
        <v>0</v>
      </c>
    </row>
    <row r="6404" spans="2:6" ht="15.75" customHeight="1" x14ac:dyDescent="0.25">
      <c r="B6404" t="str">
        <v>weBribe DAO</v>
      </c>
      <c r="C6404" t="str">
        <v>Governance Incentives</v>
      </c>
      <c r="D6404" t="str">
        <v>vBRB</v>
      </c>
      <c r="E6404">
        <v>14.744000383878301</v>
      </c>
      <c r="F6404">
        <v>0</v>
      </c>
    </row>
    <row r="6405" spans="2:6" ht="15.75" customHeight="1" x14ac:dyDescent="0.25">
      <c r="B6405" t="str">
        <v>Weero V2</v>
      </c>
      <c r="C6405" t="str">
        <v>Dexs</v>
      </c>
      <c r="D6405" t="str">
        <v>-</v>
      </c>
      <c r="E6405">
        <v>8782.3321442511115</v>
      </c>
      <c r="F6405">
        <v>0</v>
      </c>
    </row>
    <row r="6406" spans="2:6" ht="15.75" customHeight="1" x14ac:dyDescent="0.25">
      <c r="B6406" t="str">
        <v>Weero V3</v>
      </c>
      <c r="C6406" t="str">
        <v>Dexs</v>
      </c>
      <c r="D6406" t="str">
        <v>-</v>
      </c>
      <c r="E6406">
        <v>1619.8530420626671</v>
      </c>
      <c r="F6406">
        <v>0</v>
      </c>
    </row>
    <row r="6407" spans="2:6" ht="15.75" customHeight="1" x14ac:dyDescent="0.25">
      <c r="B6407" t="str">
        <v>wefi</v>
      </c>
      <c r="C6407" t="str">
        <v>Lending</v>
      </c>
      <c r="D6407" t="str">
        <v>WEFI</v>
      </c>
      <c r="E6407">
        <v>87564.050968908254</v>
      </c>
      <c r="F6407">
        <v>580738.46002532414</v>
      </c>
    </row>
    <row r="6408" spans="2:6" ht="15.75" customHeight="1" x14ac:dyDescent="0.25">
      <c r="B6408" t="str">
        <v>Weft V1</v>
      </c>
      <c r="C6408" t="str">
        <v>Lending</v>
      </c>
      <c r="D6408" t="str">
        <v>WEFT</v>
      </c>
      <c r="E6408">
        <v>20531.822132599278</v>
      </c>
      <c r="F6408">
        <v>0</v>
      </c>
    </row>
    <row r="6409" spans="2:6" ht="15.75" customHeight="1" x14ac:dyDescent="0.25">
      <c r="B6409" t="str">
        <v>Weft V2</v>
      </c>
      <c r="C6409" t="str">
        <v>Lending</v>
      </c>
      <c r="D6409" t="str">
        <v>WEFT</v>
      </c>
      <c r="E6409">
        <v>1394010.707751472</v>
      </c>
      <c r="F6409">
        <v>0</v>
      </c>
    </row>
    <row r="6410" spans="2:6" ht="15.75" customHeight="1" x14ac:dyDescent="0.25">
      <c r="B6410" t="str">
        <v>Weiss Finance</v>
      </c>
      <c r="C6410" t="str">
        <v>CDP</v>
      </c>
      <c r="D6410" t="str">
        <v>-</v>
      </c>
      <c r="E6410">
        <v>17911.925011994608</v>
      </c>
      <c r="F6410">
        <v>0</v>
      </c>
    </row>
    <row r="6411" spans="2:6" ht="15.75" customHeight="1" x14ac:dyDescent="0.25">
      <c r="B6411" t="str">
        <v>Weld Finance</v>
      </c>
      <c r="C6411" t="str">
        <v>Farm</v>
      </c>
      <c r="D6411" t="str">
        <v>-</v>
      </c>
      <c r="E6411">
        <v>0</v>
      </c>
      <c r="F6411">
        <v>0</v>
      </c>
    </row>
    <row r="6412" spans="2:6" ht="15.75" customHeight="1" x14ac:dyDescent="0.25">
      <c r="B6412" t="str">
        <v>WEMIX Concentrated Range Deposit</v>
      </c>
      <c r="C6412" t="str">
        <v>Dexs</v>
      </c>
      <c r="D6412" t="str">
        <v>-</v>
      </c>
      <c r="E6412">
        <v>3879030.2150587481</v>
      </c>
      <c r="F6412">
        <v>0</v>
      </c>
    </row>
    <row r="6413" spans="2:6" ht="15.75" customHeight="1" x14ac:dyDescent="0.25">
      <c r="B6413" t="str">
        <v>WEMIX Full Range Deposit</v>
      </c>
      <c r="C6413" t="str">
        <v>Dexs</v>
      </c>
      <c r="D6413" t="str">
        <v>-</v>
      </c>
      <c r="E6413">
        <v>2147531.7042392888</v>
      </c>
      <c r="F6413">
        <v>0</v>
      </c>
    </row>
    <row r="6414" spans="2:6" ht="15.75" customHeight="1" x14ac:dyDescent="0.25">
      <c r="B6414" t="str">
        <v>WEMIX Liquid Staking</v>
      </c>
      <c r="C6414" t="str">
        <v>Liquid Staking</v>
      </c>
      <c r="D6414" t="str">
        <v>-</v>
      </c>
      <c r="E6414">
        <v>661071.84249436052</v>
      </c>
      <c r="F6414">
        <v>0</v>
      </c>
    </row>
    <row r="6415" spans="2:6" ht="15.75" customHeight="1" x14ac:dyDescent="0.25">
      <c r="B6415" t="str">
        <v>WEMIX on Kroma</v>
      </c>
      <c r="C6415" t="str">
        <v>Liquid Staking</v>
      </c>
      <c r="D6415" t="str">
        <v>-</v>
      </c>
      <c r="E6415">
        <v>0</v>
      </c>
      <c r="F6415">
        <v>0</v>
      </c>
    </row>
    <row r="6416" spans="2:6" ht="15.75" customHeight="1" x14ac:dyDescent="0.25">
      <c r="B6416" t="str">
        <v>WEMIX.FI Lend</v>
      </c>
      <c r="C6416" t="str">
        <v>Lending</v>
      </c>
      <c r="D6416" t="str">
        <v>-</v>
      </c>
      <c r="E6416">
        <v>1608622.7822051176</v>
      </c>
      <c r="F6416">
        <v>0</v>
      </c>
    </row>
    <row r="6417" spans="2:6" ht="15.75" customHeight="1" x14ac:dyDescent="0.25">
      <c r="B6417" t="str">
        <v>WEMIX.FI Staking</v>
      </c>
      <c r="C6417" t="str">
        <v>Staking Pool</v>
      </c>
      <c r="D6417" t="str">
        <v>-</v>
      </c>
      <c r="E6417">
        <v>38487965.604331546</v>
      </c>
      <c r="F6417">
        <v>0</v>
      </c>
    </row>
    <row r="6418" spans="2:6" ht="15.75" customHeight="1" x14ac:dyDescent="0.25">
      <c r="B6418" t="str">
        <v>wen markets</v>
      </c>
      <c r="C6418" t="str">
        <v>Launchpad</v>
      </c>
      <c r="D6418" t="str">
        <v>-</v>
      </c>
      <c r="E6418">
        <v>3587.1471012184497</v>
      </c>
      <c r="F6418">
        <v>0</v>
      </c>
    </row>
    <row r="6419" spans="2:6" ht="15.75" customHeight="1" x14ac:dyDescent="0.25">
      <c r="B6419" t="str">
        <v>WePiggy</v>
      </c>
      <c r="C6419" t="str">
        <v>Lending</v>
      </c>
      <c r="D6419" t="str">
        <v>WPC</v>
      </c>
      <c r="E6419">
        <v>1146304.2366081362</v>
      </c>
      <c r="F6419">
        <v>0</v>
      </c>
    </row>
    <row r="6420" spans="2:6" ht="15.75" customHeight="1" x14ac:dyDescent="0.25">
      <c r="B6420" t="str">
        <v>WeStarter</v>
      </c>
      <c r="C6420" t="str">
        <v>Launchpad</v>
      </c>
      <c r="D6420" t="str">
        <v>WAR</v>
      </c>
      <c r="E6420">
        <v>4.4475501452630537</v>
      </c>
      <c r="F6420">
        <v>0</v>
      </c>
    </row>
    <row r="6421" spans="2:6" ht="15.75" customHeight="1" x14ac:dyDescent="0.25">
      <c r="B6421" t="str">
        <v>Whale Game</v>
      </c>
      <c r="C6421" t="str">
        <v>Prediction Market</v>
      </c>
      <c r="D6421" t="str">
        <v>WHALE</v>
      </c>
      <c r="E6421">
        <v>13575.342260880259</v>
      </c>
      <c r="F6421">
        <v>0</v>
      </c>
    </row>
    <row r="6422" spans="2:6" ht="15.75" customHeight="1" x14ac:dyDescent="0.25">
      <c r="B6422" t="str">
        <v>Whale Loans</v>
      </c>
      <c r="C6422" t="str">
        <v>Reserve Currency</v>
      </c>
      <c r="D6422" t="str">
        <v>HUMP</v>
      </c>
      <c r="E6422">
        <v>0</v>
      </c>
      <c r="F6422">
        <v>0</v>
      </c>
    </row>
    <row r="6423" spans="2:6" ht="15.75" customHeight="1" x14ac:dyDescent="0.25">
      <c r="B6423" t="str">
        <v>WhaleEx</v>
      </c>
      <c r="C6423" t="str">
        <v>Dexs</v>
      </c>
      <c r="D6423" t="str">
        <v>WAL</v>
      </c>
      <c r="E6423">
        <v>3773968.6834953846</v>
      </c>
      <c r="F6423">
        <v>0</v>
      </c>
    </row>
    <row r="6424" spans="2:6" ht="15.75" customHeight="1" x14ac:dyDescent="0.25">
      <c r="B6424" t="str">
        <v>Whales Market</v>
      </c>
      <c r="C6424" t="str">
        <v>OTC Marketplace</v>
      </c>
      <c r="D6424" t="str">
        <v>WHALES</v>
      </c>
      <c r="E6424">
        <v>960151.83102322335</v>
      </c>
      <c r="F6424">
        <v>675086.50527915196</v>
      </c>
    </row>
    <row r="6425" spans="2:6" ht="15.75" customHeight="1" x14ac:dyDescent="0.25">
      <c r="B6425" t="str">
        <v>WhaleSwap</v>
      </c>
      <c r="C6425" t="str">
        <v>Dexs</v>
      </c>
      <c r="D6425" t="str">
        <v>POD</v>
      </c>
      <c r="E6425">
        <v>2007.652486221471</v>
      </c>
      <c r="F6425">
        <v>0</v>
      </c>
    </row>
    <row r="6426" spans="2:6" ht="15.75" customHeight="1" x14ac:dyDescent="0.25">
      <c r="B6426" t="str">
        <v>WhatExchange</v>
      </c>
      <c r="C6426" t="str">
        <v>Interface</v>
      </c>
      <c r="D6426" t="str">
        <v>-</v>
      </c>
      <c r="E6426">
        <v>0</v>
      </c>
      <c r="F6426">
        <v>0</v>
      </c>
    </row>
    <row r="6427" spans="2:6" ht="15.75" customHeight="1" x14ac:dyDescent="0.25">
      <c r="B6427" t="str">
        <v>White Protocol</v>
      </c>
      <c r="C6427" t="str">
        <v>Farm</v>
      </c>
      <c r="D6427" t="str">
        <v>WTE</v>
      </c>
      <c r="E6427">
        <v>1.911110820811236E-4</v>
      </c>
      <c r="F6427">
        <v>0</v>
      </c>
    </row>
    <row r="6428" spans="2:6" ht="15.75" customHeight="1" x14ac:dyDescent="0.25">
      <c r="B6428" t="str">
        <v>White Whale Dex</v>
      </c>
      <c r="C6428" t="str">
        <v>Dexs</v>
      </c>
      <c r="D6428" t="str">
        <v>WHALE</v>
      </c>
      <c r="E6428">
        <v>996453.30832054152</v>
      </c>
      <c r="F6428">
        <v>0</v>
      </c>
    </row>
    <row r="6429" spans="2:6" ht="15.75" customHeight="1" x14ac:dyDescent="0.25">
      <c r="B6429" t="str">
        <v>White Whale Vaults</v>
      </c>
      <c r="C6429" t="str">
        <v>Yield</v>
      </c>
      <c r="D6429" t="str">
        <v>WHALE</v>
      </c>
      <c r="E6429">
        <v>103.6597965853459</v>
      </c>
      <c r="F6429">
        <v>0</v>
      </c>
    </row>
    <row r="6430" spans="2:6" ht="15.75" customHeight="1" x14ac:dyDescent="0.25">
      <c r="B6430" t="str">
        <v>Whiteheart</v>
      </c>
      <c r="C6430" t="str">
        <v>Options</v>
      </c>
      <c r="D6430" t="str">
        <v>WHITE</v>
      </c>
      <c r="E6430">
        <v>8543.1483874789938</v>
      </c>
      <c r="F6430">
        <v>48776905.942123882</v>
      </c>
    </row>
    <row r="6431" spans="2:6" ht="15.75" customHeight="1" x14ac:dyDescent="0.25">
      <c r="B6431" t="str">
        <v>Whitehole Finance</v>
      </c>
      <c r="C6431" t="str">
        <v>Lending</v>
      </c>
      <c r="D6431" t="str">
        <v>GRV</v>
      </c>
      <c r="E6431">
        <v>8926.1956318523917</v>
      </c>
      <c r="F6431">
        <v>0</v>
      </c>
    </row>
    <row r="6432" spans="2:6" ht="15.75" customHeight="1" x14ac:dyDescent="0.25">
      <c r="B6432" t="str">
        <v>WigoSwap</v>
      </c>
      <c r="C6432" t="str">
        <v>Dexs</v>
      </c>
      <c r="D6432" t="str">
        <v>WIGO</v>
      </c>
      <c r="E6432">
        <v>116435.7116032169</v>
      </c>
      <c r="F6432">
        <v>51303.254447158601</v>
      </c>
    </row>
    <row r="6433" spans="2:6" ht="15.75" customHeight="1" x14ac:dyDescent="0.25">
      <c r="B6433" t="str">
        <v>Wild Base</v>
      </c>
      <c r="C6433" t="str">
        <v>Farm</v>
      </c>
      <c r="D6433" t="str">
        <v>WILDx</v>
      </c>
      <c r="E6433">
        <v>41.465715294790364</v>
      </c>
      <c r="F6433">
        <v>0</v>
      </c>
    </row>
    <row r="6434" spans="2:6" ht="15.75" customHeight="1" x14ac:dyDescent="0.25">
      <c r="B6434" t="str">
        <v>Wild Credit</v>
      </c>
      <c r="C6434" t="str">
        <v>Lending</v>
      </c>
      <c r="D6434" t="str">
        <v>WILD</v>
      </c>
      <c r="E6434">
        <v>10023.784993258141</v>
      </c>
      <c r="F6434">
        <v>985160.82604833785</v>
      </c>
    </row>
    <row r="6435" spans="2:6" ht="15.75" customHeight="1" x14ac:dyDescent="0.25">
      <c r="B6435" t="str">
        <v>Wildcat Protocol</v>
      </c>
      <c r="C6435" t="str">
        <v>Uncollateralized Lending</v>
      </c>
      <c r="D6435" t="str">
        <v>-</v>
      </c>
      <c r="E6435">
        <v>15569254.323641956</v>
      </c>
      <c r="F6435">
        <v>0</v>
      </c>
    </row>
    <row r="6436" spans="2:6" ht="15.75" customHeight="1" x14ac:dyDescent="0.25">
      <c r="B6436" t="str">
        <v>Wind Swap</v>
      </c>
      <c r="C6436" t="str">
        <v>Dexs</v>
      </c>
      <c r="D6436" t="str">
        <v>-</v>
      </c>
      <c r="E6436">
        <v>2156.6233107845324</v>
      </c>
      <c r="F6436">
        <v>0</v>
      </c>
    </row>
    <row r="6437" spans="2:6" ht="15.75" customHeight="1" x14ac:dyDescent="0.25">
      <c r="B6437" t="str">
        <v>Windfall</v>
      </c>
      <c r="C6437" t="str">
        <v>Yield Lottery</v>
      </c>
      <c r="D6437" t="str">
        <v>-</v>
      </c>
      <c r="E6437">
        <v>9.792770754996722</v>
      </c>
      <c r="F6437">
        <v>0</v>
      </c>
    </row>
    <row r="6438" spans="2:6" ht="15.75" customHeight="1" x14ac:dyDescent="0.25">
      <c r="B6438" t="str">
        <v>WinerySwap</v>
      </c>
      <c r="C6438" t="str">
        <v>Dexs</v>
      </c>
      <c r="D6438" t="str">
        <v>CORK</v>
      </c>
      <c r="E6438">
        <v>102464.44605686926</v>
      </c>
      <c r="F6438">
        <v>0</v>
      </c>
    </row>
    <row r="6439" spans="2:6" ht="15.75" customHeight="1" x14ac:dyDescent="0.25">
      <c r="B6439" t="str">
        <v>Wing Finance</v>
      </c>
      <c r="C6439" t="str">
        <v>Lending</v>
      </c>
      <c r="D6439" t="str">
        <v>WING</v>
      </c>
      <c r="E6439">
        <v>6329710.4351944029</v>
      </c>
      <c r="F6439">
        <v>481875.42685696442</v>
      </c>
    </row>
    <row r="6440" spans="2:6" ht="15.75" customHeight="1" x14ac:dyDescent="0.25">
      <c r="B6440" t="str">
        <v>WingRiders</v>
      </c>
      <c r="C6440" t="str">
        <v>Dexs</v>
      </c>
      <c r="D6440" t="str">
        <v>WRT</v>
      </c>
      <c r="E6440">
        <v>6403727.08560134</v>
      </c>
      <c r="F6440">
        <v>0</v>
      </c>
    </row>
    <row r="6441" spans="2:6" ht="15.75" customHeight="1" x14ac:dyDescent="0.25">
      <c r="B6441" t="str">
        <v>WingSwap</v>
      </c>
      <c r="C6441" t="str">
        <v>Dexs</v>
      </c>
      <c r="D6441" t="str">
        <v>WIS</v>
      </c>
      <c r="E6441">
        <v>476.15097570393965</v>
      </c>
      <c r="F6441">
        <v>0</v>
      </c>
    </row>
    <row r="6442" spans="2:6" ht="15.75" customHeight="1" x14ac:dyDescent="0.25">
      <c r="B6442" t="str">
        <v>WINK</v>
      </c>
      <c r="C6442" t="str">
        <v>Farm</v>
      </c>
      <c r="D6442" t="str">
        <v>WINK</v>
      </c>
      <c r="E6442">
        <v>2038.0697451663491</v>
      </c>
      <c r="F6442">
        <v>13095937.122305313</v>
      </c>
    </row>
    <row r="6443" spans="2:6" ht="15.75" customHeight="1" x14ac:dyDescent="0.25">
      <c r="B6443" t="str">
        <v>Winkyverse</v>
      </c>
      <c r="C6443" t="str">
        <v>Services</v>
      </c>
      <c r="D6443" t="str">
        <v>WNK</v>
      </c>
      <c r="E6443">
        <v>0</v>
      </c>
      <c r="F6443">
        <v>313126.91348730703</v>
      </c>
    </row>
    <row r="6444" spans="2:6" ht="15.75" customHeight="1" x14ac:dyDescent="0.25">
      <c r="B6444" t="str">
        <v>WinnieSwap</v>
      </c>
      <c r="C6444" t="str">
        <v>Dexs</v>
      </c>
      <c r="D6444" t="str">
        <v>-</v>
      </c>
      <c r="E6444">
        <v>215722.35774888817</v>
      </c>
      <c r="F6444">
        <v>0</v>
      </c>
    </row>
    <row r="6445" spans="2:6" ht="15.75" customHeight="1" x14ac:dyDescent="0.25">
      <c r="B6445" t="str">
        <v>WINR Protocol</v>
      </c>
      <c r="C6445" t="str">
        <v>Prediction Market</v>
      </c>
      <c r="D6445" t="str">
        <v>WINR</v>
      </c>
      <c r="E6445">
        <v>59882.55078730925</v>
      </c>
      <c r="F6445">
        <v>1430533.9861299507</v>
      </c>
    </row>
    <row r="6446" spans="2:6" ht="15.75" customHeight="1" x14ac:dyDescent="0.25">
      <c r="B6446" t="str">
        <v>Winter Walrus</v>
      </c>
      <c r="C6446" t="str">
        <v>Liquid Staking</v>
      </c>
      <c r="D6446" t="str">
        <v>-</v>
      </c>
      <c r="E6446">
        <v>446481.46567056555</v>
      </c>
      <c r="F6446">
        <v>0</v>
      </c>
    </row>
    <row r="6447" spans="2:6" ht="15.75" customHeight="1" x14ac:dyDescent="0.25">
      <c r="B6447" t="str">
        <v>WisdomTree</v>
      </c>
      <c r="C6447" t="str">
        <v>RWA</v>
      </c>
      <c r="D6447" t="str">
        <v>-</v>
      </c>
      <c r="E6447">
        <v>737494154.24698389</v>
      </c>
      <c r="F6447">
        <v>0</v>
      </c>
    </row>
    <row r="6448" spans="2:6" ht="15.75" customHeight="1" x14ac:dyDescent="0.25">
      <c r="B6448" t="str">
        <v>Wise Lending V1</v>
      </c>
      <c r="C6448" t="str">
        <v>Lending</v>
      </c>
      <c r="D6448" t="str">
        <v>-</v>
      </c>
      <c r="E6448">
        <v>11.697396788944312</v>
      </c>
      <c r="F6448">
        <v>0</v>
      </c>
    </row>
    <row r="6449" spans="2:6" ht="15.75" customHeight="1" x14ac:dyDescent="0.25">
      <c r="B6449" t="str">
        <v>Wise Lending V2</v>
      </c>
      <c r="C6449" t="str">
        <v>Lending</v>
      </c>
      <c r="D6449" t="str">
        <v>-</v>
      </c>
      <c r="E6449">
        <v>73794.733217203931</v>
      </c>
      <c r="F6449">
        <v>0</v>
      </c>
    </row>
    <row r="6450" spans="2:6" ht="15.75" customHeight="1" x14ac:dyDescent="0.25">
      <c r="B6450" t="str">
        <v>Wisteria Swap</v>
      </c>
      <c r="C6450" t="str">
        <v>Yield</v>
      </c>
      <c r="D6450" t="str">
        <v>WST</v>
      </c>
      <c r="E6450">
        <v>0</v>
      </c>
      <c r="F6450">
        <v>0</v>
      </c>
    </row>
    <row r="6451" spans="2:6" ht="15.75" customHeight="1" x14ac:dyDescent="0.25">
      <c r="B6451" t="str">
        <v>WitSwap</v>
      </c>
      <c r="C6451" t="str">
        <v>Oracle</v>
      </c>
      <c r="D6451" t="str">
        <v>eWIT</v>
      </c>
      <c r="E6451">
        <v>0</v>
      </c>
      <c r="F6451">
        <v>0</v>
      </c>
    </row>
    <row r="6452" spans="2:6" ht="15.75" customHeight="1" x14ac:dyDescent="0.25">
      <c r="B6452" t="str">
        <v>Witty</v>
      </c>
      <c r="C6452" t="str">
        <v>Gaming</v>
      </c>
      <c r="D6452" t="str">
        <v>-</v>
      </c>
      <c r="E6452">
        <v>37007.350527903101</v>
      </c>
      <c r="F6452">
        <v>0</v>
      </c>
    </row>
    <row r="6453" spans="2:6" ht="15.75" customHeight="1" x14ac:dyDescent="0.25">
      <c r="B6453" t="str">
        <v>Wojak Finance</v>
      </c>
      <c r="C6453" t="str">
        <v>Dexs</v>
      </c>
      <c r="D6453" t="str">
        <v>WOJK</v>
      </c>
      <c r="E6453">
        <v>10632.337775738293</v>
      </c>
      <c r="F6453">
        <v>0</v>
      </c>
    </row>
    <row r="6454" spans="2:6" ht="15.75" customHeight="1" x14ac:dyDescent="0.25">
      <c r="B6454" t="str">
        <v>Woken Exchange</v>
      </c>
      <c r="C6454" t="str">
        <v>Dexs</v>
      </c>
      <c r="D6454" t="str">
        <v>WKN</v>
      </c>
      <c r="E6454">
        <v>38801.729357311247</v>
      </c>
      <c r="F6454">
        <v>0</v>
      </c>
    </row>
    <row r="6455" spans="2:6" ht="15.75" customHeight="1" x14ac:dyDescent="0.25">
      <c r="B6455" t="str">
        <v>Wolf Safe Poor People</v>
      </c>
      <c r="C6455" t="str">
        <v>Yield</v>
      </c>
      <c r="D6455" t="str">
        <v>WSPP</v>
      </c>
      <c r="E6455">
        <v>0</v>
      </c>
      <c r="F6455">
        <v>455873.91042085225</v>
      </c>
    </row>
    <row r="6456" spans="2:6" ht="15.75" customHeight="1" x14ac:dyDescent="0.25">
      <c r="B6456" t="str">
        <v>Wolfswap</v>
      </c>
      <c r="C6456" t="str">
        <v>DEX Aggregator</v>
      </c>
      <c r="D6456" t="str">
        <v>WOLF</v>
      </c>
      <c r="E6456">
        <v>0</v>
      </c>
      <c r="F6456">
        <v>0</v>
      </c>
    </row>
    <row r="6457" spans="2:6" ht="15.75" customHeight="1" x14ac:dyDescent="0.25">
      <c r="B6457" t="str">
        <v>Wombat Exchange</v>
      </c>
      <c r="C6457" t="str">
        <v>Dexs</v>
      </c>
      <c r="D6457" t="str">
        <v>WOM</v>
      </c>
      <c r="E6457">
        <v>5133444.8563717874</v>
      </c>
      <c r="F6457">
        <v>368107.36463056155</v>
      </c>
    </row>
    <row r="6458" spans="2:6" ht="15.75" customHeight="1" x14ac:dyDescent="0.25">
      <c r="B6458" t="str">
        <v>Wombex Finance</v>
      </c>
      <c r="C6458" t="str">
        <v>Yield</v>
      </c>
      <c r="D6458" t="str">
        <v>WMX</v>
      </c>
      <c r="E6458">
        <v>601539.96693640179</v>
      </c>
      <c r="F6458">
        <v>0</v>
      </c>
    </row>
    <row r="6459" spans="2:6" ht="15.75" customHeight="1" x14ac:dyDescent="0.25">
      <c r="B6459" t="str">
        <v>Wompie</v>
      </c>
      <c r="C6459" t="str">
        <v>Yield</v>
      </c>
      <c r="D6459" t="str">
        <v>MGP</v>
      </c>
      <c r="E6459">
        <v>1423223.5400319407</v>
      </c>
      <c r="F6459">
        <v>6108086.257543073</v>
      </c>
    </row>
    <row r="6460" spans="2:6" ht="15.75" customHeight="1" x14ac:dyDescent="0.25">
      <c r="B6460" t="str">
        <v>Wonderly Finance</v>
      </c>
      <c r="C6460" t="str">
        <v>Algo-Stables</v>
      </c>
      <c r="D6460" t="str">
        <v>AFX</v>
      </c>
      <c r="E6460">
        <v>0</v>
      </c>
      <c r="F6460">
        <v>0</v>
      </c>
    </row>
    <row r="6461" spans="2:6" ht="15.75" customHeight="1" x14ac:dyDescent="0.25">
      <c r="B6461" t="str">
        <v>Wonton</v>
      </c>
      <c r="C6461" t="str">
        <v>Launchpad</v>
      </c>
      <c r="D6461" t="str">
        <v>-</v>
      </c>
      <c r="E6461">
        <v>149.58806865688899</v>
      </c>
      <c r="F6461">
        <v>0</v>
      </c>
    </row>
    <row r="6462" spans="2:6" ht="15.75" customHeight="1" x14ac:dyDescent="0.25">
      <c r="B6462" t="str">
        <v>WoodSwap</v>
      </c>
      <c r="C6462" t="str">
        <v>Dexs</v>
      </c>
      <c r="D6462" t="str">
        <v>-</v>
      </c>
      <c r="E6462">
        <v>5253827.8338609189</v>
      </c>
      <c r="F6462">
        <v>0</v>
      </c>
    </row>
    <row r="6463" spans="2:6" ht="15.75" customHeight="1" x14ac:dyDescent="0.25">
      <c r="B6463" t="str">
        <v>Woof Finance</v>
      </c>
      <c r="C6463" t="str">
        <v>Dexs</v>
      </c>
      <c r="D6463" t="str">
        <v>-</v>
      </c>
      <c r="E6463">
        <v>358.02319618404431</v>
      </c>
      <c r="F6463">
        <v>0</v>
      </c>
    </row>
    <row r="6464" spans="2:6" ht="15.75" customHeight="1" x14ac:dyDescent="0.25">
      <c r="B6464" t="str">
        <v>WOOFi Earn</v>
      </c>
      <c r="C6464" t="str">
        <v>Yield</v>
      </c>
      <c r="D6464" t="str">
        <v>WOO</v>
      </c>
      <c r="E6464">
        <v>6820671.5079937568</v>
      </c>
      <c r="F6464">
        <v>0</v>
      </c>
    </row>
    <row r="6465" spans="2:6" ht="15.75" customHeight="1" x14ac:dyDescent="0.25">
      <c r="B6465" t="str">
        <v>WooFi Pro Perps</v>
      </c>
      <c r="C6465" t="str">
        <v>Interface</v>
      </c>
      <c r="D6465" t="str">
        <v>-</v>
      </c>
      <c r="E6465">
        <v>0</v>
      </c>
      <c r="F6465">
        <v>0</v>
      </c>
    </row>
    <row r="6466" spans="2:6" ht="15.75" customHeight="1" x14ac:dyDescent="0.25">
      <c r="B6466" t="str">
        <v>WOOFi Swap</v>
      </c>
      <c r="C6466" t="str">
        <v>Dexs</v>
      </c>
      <c r="D6466" t="str">
        <v>WOO</v>
      </c>
      <c r="E6466">
        <v>7430684.2367833722</v>
      </c>
      <c r="F6466">
        <v>0</v>
      </c>
    </row>
    <row r="6467" spans="2:6" ht="15.75" customHeight="1" x14ac:dyDescent="0.25">
      <c r="B6467" t="str">
        <v>WoofSwap GateLayer</v>
      </c>
      <c r="C6467" t="str">
        <v>Dexs</v>
      </c>
      <c r="D6467" t="str">
        <v>WOOF</v>
      </c>
      <c r="E6467">
        <v>9298.0932813228537</v>
      </c>
      <c r="F6467">
        <v>0</v>
      </c>
    </row>
    <row r="6468" spans="2:6" ht="15.75" customHeight="1" x14ac:dyDescent="0.25">
      <c r="B6468" t="str">
        <v>WoofSwap Shibarium</v>
      </c>
      <c r="C6468" t="str">
        <v>Dexs</v>
      </c>
      <c r="D6468" t="str">
        <v>WOOF</v>
      </c>
      <c r="E6468">
        <v>194258.36202638404</v>
      </c>
      <c r="F6468">
        <v>0</v>
      </c>
    </row>
    <row r="6469" spans="2:6" ht="15.75" customHeight="1" x14ac:dyDescent="0.25">
      <c r="B6469" t="str">
        <v>Words.art</v>
      </c>
      <c r="C6469" t="str">
        <v>SoFi</v>
      </c>
      <c r="D6469" t="str">
        <v>-</v>
      </c>
      <c r="E6469">
        <v>17886.546701862237</v>
      </c>
      <c r="F6469">
        <v>0</v>
      </c>
    </row>
    <row r="6470" spans="2:6" ht="15.75" customHeight="1" x14ac:dyDescent="0.25">
      <c r="B6470" t="str">
        <v>World Chain</v>
      </c>
      <c r="C6470" t="str">
        <v>Canonical Bridge</v>
      </c>
      <c r="D6470" t="str">
        <v>-</v>
      </c>
      <c r="E6470">
        <v>511760773.47246116</v>
      </c>
      <c r="F6470">
        <v>0</v>
      </c>
    </row>
    <row r="6471" spans="2:6" ht="15.75" customHeight="1" x14ac:dyDescent="0.25">
      <c r="B6471" t="str">
        <v>World Mobile Token</v>
      </c>
      <c r="C6471" t="str">
        <v>Services</v>
      </c>
      <c r="D6471" t="str">
        <v>WMT</v>
      </c>
      <c r="E6471">
        <v>0</v>
      </c>
      <c r="F6471">
        <v>51800881.091513231</v>
      </c>
    </row>
    <row r="6472" spans="2:6" ht="15.75" customHeight="1" x14ac:dyDescent="0.25">
      <c r="B6472" t="str">
        <v>WorldEs</v>
      </c>
      <c r="C6472" t="str">
        <v>RWA</v>
      </c>
      <c r="D6472" t="str">
        <v>-</v>
      </c>
      <c r="E6472">
        <v>567.45926402092596</v>
      </c>
      <c r="F6472">
        <v>0</v>
      </c>
    </row>
    <row r="6473" spans="2:6" ht="15.75" customHeight="1" x14ac:dyDescent="0.25">
      <c r="B6473" t="str">
        <v>Worldle</v>
      </c>
      <c r="C6473" t="str">
        <v>Gaming</v>
      </c>
      <c r="D6473" t="str">
        <v>-</v>
      </c>
      <c r="E6473">
        <v>0</v>
      </c>
      <c r="F6473">
        <v>0</v>
      </c>
    </row>
    <row r="6474" spans="2:6" ht="15.75" customHeight="1" x14ac:dyDescent="0.25">
      <c r="B6474" t="str">
        <v>WOWMAX Exchange</v>
      </c>
      <c r="C6474" t="str">
        <v>DEX Aggregator</v>
      </c>
      <c r="D6474" t="str">
        <v>-</v>
      </c>
      <c r="E6474">
        <v>0</v>
      </c>
      <c r="F6474">
        <v>0</v>
      </c>
    </row>
    <row r="6475" spans="2:6" ht="15.75" customHeight="1" x14ac:dyDescent="0.25">
      <c r="B6475" t="str">
        <v>WOWswap</v>
      </c>
      <c r="C6475" t="str">
        <v>Dexs</v>
      </c>
      <c r="D6475" t="str">
        <v>WOW</v>
      </c>
      <c r="E6475">
        <v>50317.562151795384</v>
      </c>
      <c r="F6475">
        <v>14008.312183831675</v>
      </c>
    </row>
    <row r="6476" spans="2:6" ht="15.75" customHeight="1" x14ac:dyDescent="0.25">
      <c r="B6476" t="str">
        <v>WraithSwap</v>
      </c>
      <c r="C6476" t="str">
        <v>Dexs</v>
      </c>
      <c r="D6476" t="str">
        <v>WRA</v>
      </c>
      <c r="E6476">
        <v>1384.0602059301159</v>
      </c>
      <c r="F6476">
        <v>0</v>
      </c>
    </row>
    <row r="6477" spans="2:6" ht="15.75" customHeight="1" x14ac:dyDescent="0.25">
      <c r="B6477" t="str">
        <v>Wrap Protocol</v>
      </c>
      <c r="C6477" t="str">
        <v>Synthetics</v>
      </c>
      <c r="D6477" t="str">
        <v>WRAP</v>
      </c>
      <c r="E6477">
        <v>627653.57867036306</v>
      </c>
      <c r="F6477">
        <v>0</v>
      </c>
    </row>
    <row r="6478" spans="2:6" ht="15.75" customHeight="1" x14ac:dyDescent="0.25">
      <c r="B6478" t="str">
        <v>Wrapped</v>
      </c>
      <c r="C6478" t="str">
        <v>Bridge</v>
      </c>
      <c r="D6478" t="str">
        <v>-</v>
      </c>
      <c r="E6478">
        <v>38448376.330360152</v>
      </c>
      <c r="F6478">
        <v>0</v>
      </c>
    </row>
    <row r="6479" spans="2:6" ht="15.75" customHeight="1" x14ac:dyDescent="0.25">
      <c r="B6479" t="str">
        <v>Wrapped BNB</v>
      </c>
      <c r="C6479" t="str">
        <v>Bridge</v>
      </c>
      <c r="D6479" t="str">
        <v>-</v>
      </c>
      <c r="E6479">
        <v>8180780.6695288355</v>
      </c>
      <c r="F6479">
        <v>0</v>
      </c>
    </row>
    <row r="6480" spans="2:6" ht="15.75" customHeight="1" x14ac:dyDescent="0.25">
      <c r="B6480" t="str">
        <v>Wrapped HLP</v>
      </c>
      <c r="C6480" t="str">
        <v>Yield</v>
      </c>
      <c r="D6480" t="str">
        <v>wHLP</v>
      </c>
      <c r="E6480">
        <v>2539216.7766981372</v>
      </c>
      <c r="F6480">
        <v>2535395.4284054968</v>
      </c>
    </row>
    <row r="6481" spans="2:6" ht="15.75" customHeight="1" x14ac:dyDescent="0.25">
      <c r="B6481" t="str">
        <v>Wrapped ILCOIN</v>
      </c>
      <c r="C6481" t="str">
        <v>Yield</v>
      </c>
      <c r="D6481" t="str">
        <v>WILC</v>
      </c>
      <c r="E6481">
        <v>0</v>
      </c>
      <c r="F6481">
        <v>0</v>
      </c>
    </row>
    <row r="6482" spans="2:6" ht="15.75" customHeight="1" x14ac:dyDescent="0.25">
      <c r="B6482" t="str">
        <v>WTFDOGE</v>
      </c>
      <c r="C6482" t="str">
        <v>Farm</v>
      </c>
      <c r="D6482" t="str">
        <v>WTFDOGE</v>
      </c>
      <c r="E6482">
        <v>132.97953792068338</v>
      </c>
      <c r="F6482">
        <v>0</v>
      </c>
    </row>
    <row r="6483" spans="2:6" ht="15.75" customHeight="1" x14ac:dyDescent="0.25">
      <c r="B6483" t="str">
        <v>WYND DEX</v>
      </c>
      <c r="C6483" t="str">
        <v>Dexs</v>
      </c>
      <c r="D6483" t="str">
        <v>WYND</v>
      </c>
      <c r="E6483">
        <v>119001.97169596204</v>
      </c>
      <c r="F6483">
        <v>0</v>
      </c>
    </row>
    <row r="6484" spans="2:6" ht="15.75" customHeight="1" x14ac:dyDescent="0.25">
      <c r="B6484" t="str">
        <v>WYND LSD</v>
      </c>
      <c r="C6484" t="str">
        <v>Liquid Staking</v>
      </c>
      <c r="D6484" t="str">
        <v>-</v>
      </c>
      <c r="E6484">
        <v>0</v>
      </c>
      <c r="F6484">
        <v>0</v>
      </c>
    </row>
    <row r="6485" spans="2:6" ht="15.75" customHeight="1" x14ac:dyDescent="0.25">
      <c r="B6485" t="str">
        <v>X</v>
      </c>
      <c r="C6485" t="str">
        <v>Services</v>
      </c>
      <c r="D6485" t="str">
        <v>X</v>
      </c>
      <c r="E6485">
        <v>0</v>
      </c>
      <c r="F6485">
        <v>173786.13032296041</v>
      </c>
    </row>
    <row r="6486" spans="2:6" ht="15.75" customHeight="1" x14ac:dyDescent="0.25">
      <c r="B6486" t="str">
        <v>X Blue Finance</v>
      </c>
      <c r="C6486" t="str">
        <v>Yield</v>
      </c>
      <c r="D6486" t="str">
        <v>XB</v>
      </c>
      <c r="E6486">
        <v>209.66244068410657</v>
      </c>
      <c r="F6486">
        <v>0</v>
      </c>
    </row>
    <row r="6487" spans="2:6" ht="15.75" customHeight="1" x14ac:dyDescent="0.25">
      <c r="B6487" t="str">
        <v>X2Y2</v>
      </c>
      <c r="C6487" t="str">
        <v>NFT Lending</v>
      </c>
      <c r="D6487" t="str">
        <v>X2Y2</v>
      </c>
      <c r="E6487">
        <v>407203.77756087249</v>
      </c>
      <c r="F6487">
        <v>546993.14960723952</v>
      </c>
    </row>
    <row r="6488" spans="2:6" ht="15.75" customHeight="1" x14ac:dyDescent="0.25">
      <c r="B6488" t="str">
        <v>X3X</v>
      </c>
      <c r="C6488" t="str">
        <v>Prediction Market</v>
      </c>
      <c r="D6488" t="str">
        <v>-</v>
      </c>
      <c r="E6488">
        <v>3184.9062356936056</v>
      </c>
      <c r="F6488">
        <v>0</v>
      </c>
    </row>
    <row r="6489" spans="2:6" ht="15.75" customHeight="1" x14ac:dyDescent="0.25">
      <c r="B6489" t="str">
        <v>X7 Finance</v>
      </c>
      <c r="C6489" t="str">
        <v>Dexs</v>
      </c>
      <c r="D6489" t="str">
        <v>X7R</v>
      </c>
      <c r="E6489">
        <v>0</v>
      </c>
      <c r="F6489">
        <v>0</v>
      </c>
    </row>
    <row r="6490" spans="2:6" ht="15.75" customHeight="1" x14ac:dyDescent="0.25">
      <c r="B6490" t="str">
        <v>XAI Bridge</v>
      </c>
      <c r="C6490" t="str">
        <v>Canonical Bridge</v>
      </c>
      <c r="D6490" t="str">
        <v>XAI</v>
      </c>
      <c r="E6490">
        <v>135456.24887871151</v>
      </c>
      <c r="F6490">
        <v>33125855.48515119</v>
      </c>
    </row>
    <row r="6491" spans="2:6" ht="15.75" customHeight="1" x14ac:dyDescent="0.25">
      <c r="B6491" t="str">
        <v>xALGO Liquid Staking</v>
      </c>
      <c r="C6491" t="str">
        <v>Liquid Staking</v>
      </c>
      <c r="D6491" t="str">
        <v>-</v>
      </c>
      <c r="E6491">
        <v>38248440.086304344</v>
      </c>
      <c r="F6491">
        <v>0</v>
      </c>
    </row>
    <row r="6492" spans="2:6" ht="15.75" customHeight="1" x14ac:dyDescent="0.25">
      <c r="B6492" t="str">
        <v>Xana</v>
      </c>
      <c r="C6492" t="str">
        <v>Services</v>
      </c>
      <c r="D6492" t="str">
        <v>XANA</v>
      </c>
      <c r="E6492">
        <v>0</v>
      </c>
      <c r="F6492">
        <v>383809.27478797815</v>
      </c>
    </row>
    <row r="6493" spans="2:6" ht="15.75" customHeight="1" x14ac:dyDescent="0.25">
      <c r="B6493" t="str">
        <v>xApp</v>
      </c>
      <c r="C6493" t="str">
        <v>Staking Pool</v>
      </c>
      <c r="D6493" t="str">
        <v>-</v>
      </c>
      <c r="E6493">
        <v>0</v>
      </c>
      <c r="F6493">
        <v>0</v>
      </c>
    </row>
    <row r="6494" spans="2:6" ht="15.75" customHeight="1" x14ac:dyDescent="0.25">
      <c r="B6494" t="str">
        <v>xAssets</v>
      </c>
      <c r="C6494" t="str">
        <v>RWA</v>
      </c>
      <c r="D6494" t="str">
        <v>-</v>
      </c>
      <c r="E6494">
        <v>29094.08553449401</v>
      </c>
      <c r="F6494">
        <v>0</v>
      </c>
    </row>
    <row r="6495" spans="2:6" ht="15.75" customHeight="1" x14ac:dyDescent="0.25">
      <c r="B6495" t="str">
        <v>Xave Finance</v>
      </c>
      <c r="C6495" t="str">
        <v>Dexs</v>
      </c>
      <c r="D6495" t="str">
        <v>XAV</v>
      </c>
      <c r="E6495">
        <v>148802.41692982501</v>
      </c>
      <c r="F6495">
        <v>0</v>
      </c>
    </row>
    <row r="6496" spans="2:6" ht="15.75" customHeight="1" x14ac:dyDescent="0.25">
      <c r="B6496" t="str">
        <v>xBacked</v>
      </c>
      <c r="C6496" t="str">
        <v>CDP</v>
      </c>
      <c r="D6496" t="str">
        <v>xUSD</v>
      </c>
      <c r="E6496">
        <v>0</v>
      </c>
      <c r="F6496">
        <v>0</v>
      </c>
    </row>
    <row r="6497" spans="2:6" ht="15.75" customHeight="1" x14ac:dyDescent="0.25">
      <c r="B6497" t="str">
        <v>xBank Finance</v>
      </c>
      <c r="C6497" t="str">
        <v>Lending</v>
      </c>
      <c r="D6497" t="str">
        <v>-</v>
      </c>
      <c r="E6497">
        <v>0.45109645460699999</v>
      </c>
      <c r="F6497">
        <v>0</v>
      </c>
    </row>
    <row r="6498" spans="2:6" ht="15.75" customHeight="1" x14ac:dyDescent="0.25">
      <c r="B6498" t="str">
        <v>XBased</v>
      </c>
      <c r="C6498" t="str">
        <v>Dexs</v>
      </c>
      <c r="D6498" t="str">
        <v>XBD</v>
      </c>
      <c r="E6498">
        <v>275.84245194604978</v>
      </c>
      <c r="F6498">
        <v>0</v>
      </c>
    </row>
    <row r="6499" spans="2:6" ht="15.75" customHeight="1" x14ac:dyDescent="0.25">
      <c r="B6499" t="str">
        <v>XCarnival</v>
      </c>
      <c r="C6499" t="str">
        <v>NFT Lending</v>
      </c>
      <c r="D6499" t="str">
        <v>XCV</v>
      </c>
      <c r="E6499">
        <v>0</v>
      </c>
      <c r="F6499">
        <v>0</v>
      </c>
    </row>
    <row r="6500" spans="2:6" ht="15.75" customHeight="1" x14ac:dyDescent="0.25">
      <c r="B6500" t="str">
        <v>xDAI Stake Bridge</v>
      </c>
      <c r="C6500" t="str">
        <v>Canonical Bridge</v>
      </c>
      <c r="D6500" t="str">
        <v>STAKE</v>
      </c>
      <c r="E6500">
        <v>349251325.82927299</v>
      </c>
      <c r="F6500">
        <v>102954.74184316551</v>
      </c>
    </row>
    <row r="6501" spans="2:6" ht="15.75" customHeight="1" x14ac:dyDescent="0.25">
      <c r="B6501" t="str">
        <v>XDeFi</v>
      </c>
      <c r="C6501" t="str">
        <v>Dexs</v>
      </c>
      <c r="D6501" t="str">
        <v>XDEX</v>
      </c>
      <c r="E6501">
        <v>121928.78467569608</v>
      </c>
      <c r="F6501">
        <v>0</v>
      </c>
    </row>
    <row r="6502" spans="2:6" ht="15.75" customHeight="1" x14ac:dyDescent="0.25">
      <c r="B6502" t="str">
        <v>xdock.meme</v>
      </c>
      <c r="C6502" t="str">
        <v>Launchpad</v>
      </c>
      <c r="D6502" t="str">
        <v>-</v>
      </c>
      <c r="E6502">
        <v>0</v>
      </c>
      <c r="F6502">
        <v>0</v>
      </c>
    </row>
    <row r="6503" spans="2:6" ht="15.75" customHeight="1" x14ac:dyDescent="0.25">
      <c r="B6503" t="str">
        <v>xDollar</v>
      </c>
      <c r="C6503" t="str">
        <v>CDP</v>
      </c>
      <c r="D6503" t="str">
        <v>SPACE</v>
      </c>
      <c r="E6503">
        <v>124534.62902978773</v>
      </c>
      <c r="F6503">
        <v>0</v>
      </c>
    </row>
    <row r="6504" spans="2:6" ht="15.75" customHeight="1" x14ac:dyDescent="0.25">
      <c r="B6504" t="str">
        <v>Xei Finance</v>
      </c>
      <c r="C6504" t="str">
        <v>Dexs</v>
      </c>
      <c r="D6504" t="str">
        <v>-</v>
      </c>
      <c r="E6504">
        <v>712.68190539039472</v>
      </c>
      <c r="F6504">
        <v>0</v>
      </c>
    </row>
    <row r="6505" spans="2:6" ht="15.75" customHeight="1" x14ac:dyDescent="0.25">
      <c r="B6505" t="str">
        <v>Xena Finance</v>
      </c>
      <c r="C6505" t="str">
        <v>Derivatives</v>
      </c>
      <c r="D6505" t="str">
        <v>XEN</v>
      </c>
      <c r="E6505">
        <v>20487.966901608124</v>
      </c>
      <c r="F6505">
        <v>19079.969381737861</v>
      </c>
    </row>
    <row r="6506" spans="2:6" ht="15.75" customHeight="1" x14ac:dyDescent="0.25">
      <c r="B6506" t="str">
        <v>Xend Finance</v>
      </c>
      <c r="C6506" t="str">
        <v>RWA</v>
      </c>
      <c r="D6506" t="str">
        <v>RWA</v>
      </c>
      <c r="E6506">
        <v>0</v>
      </c>
      <c r="F6506">
        <v>812964.89437314763</v>
      </c>
    </row>
    <row r="6507" spans="2:6" ht="15.75" customHeight="1" x14ac:dyDescent="0.25">
      <c r="B6507" t="str">
        <v>Xenophon</v>
      </c>
      <c r="C6507" t="str">
        <v>Reserve Currency</v>
      </c>
      <c r="D6507" t="str">
        <v>XPH</v>
      </c>
      <c r="E6507">
        <v>0</v>
      </c>
      <c r="F6507">
        <v>0</v>
      </c>
    </row>
    <row r="6508" spans="2:6" ht="15.75" customHeight="1" x14ac:dyDescent="0.25">
      <c r="B6508" t="str">
        <v>Xensa</v>
      </c>
      <c r="C6508" t="str">
        <v>Lending</v>
      </c>
      <c r="D6508" t="str">
        <v>XENSA</v>
      </c>
      <c r="E6508">
        <v>0</v>
      </c>
      <c r="F6508">
        <v>0</v>
      </c>
    </row>
    <row r="6509" spans="2:6" ht="15.75" customHeight="1" x14ac:dyDescent="0.25">
      <c r="B6509" t="str">
        <v>Xenwave</v>
      </c>
      <c r="C6509" t="str">
        <v>Dexs</v>
      </c>
      <c r="D6509" t="str">
        <v>STRAT</v>
      </c>
      <c r="E6509">
        <v>0</v>
      </c>
      <c r="F6509">
        <v>0</v>
      </c>
    </row>
    <row r="6510" spans="2:6" ht="15.75" customHeight="1" x14ac:dyDescent="0.25">
      <c r="B6510" t="str">
        <v>XEUS</v>
      </c>
      <c r="C6510" t="str">
        <v>Reserve Currency</v>
      </c>
      <c r="D6510" t="str">
        <v>XEUS</v>
      </c>
      <c r="E6510">
        <v>0</v>
      </c>
      <c r="F6510">
        <v>0</v>
      </c>
    </row>
    <row r="6511" spans="2:6" ht="15.75" customHeight="1" x14ac:dyDescent="0.25">
      <c r="B6511" t="str">
        <v>xExchange</v>
      </c>
      <c r="C6511" t="str">
        <v>Dexs</v>
      </c>
      <c r="D6511" t="str">
        <v>MEX</v>
      </c>
      <c r="E6511">
        <v>5853345</v>
      </c>
      <c r="F6511">
        <v>3439162.199141229</v>
      </c>
    </row>
    <row r="6512" spans="2:6" ht="15.75" customHeight="1" x14ac:dyDescent="0.25">
      <c r="B6512" t="str">
        <v>Xfai</v>
      </c>
      <c r="C6512" t="str">
        <v>Dexs</v>
      </c>
      <c r="D6512" t="str">
        <v>XFIT</v>
      </c>
      <c r="E6512">
        <v>1312119.5126552398</v>
      </c>
      <c r="F6512">
        <v>0</v>
      </c>
    </row>
    <row r="6513" spans="2:6" ht="15.75" customHeight="1" x14ac:dyDescent="0.25">
      <c r="B6513" t="str">
        <v>xfam.tech</v>
      </c>
      <c r="C6513" t="str">
        <v>SoFi</v>
      </c>
      <c r="D6513" t="str">
        <v>-</v>
      </c>
      <c r="E6513">
        <v>0.51039521109563457</v>
      </c>
      <c r="F6513">
        <v>0</v>
      </c>
    </row>
    <row r="6514" spans="2:6" ht="15.75" customHeight="1" x14ac:dyDescent="0.25">
      <c r="B6514" t="str">
        <v>XFI Native Staking Protocol</v>
      </c>
      <c r="C6514" t="str">
        <v>Staking Pool</v>
      </c>
      <c r="D6514" t="str">
        <v>-</v>
      </c>
      <c r="E6514">
        <v>0</v>
      </c>
      <c r="F6514">
        <v>0</v>
      </c>
    </row>
    <row r="6515" spans="2:6" ht="15.75" customHeight="1" x14ac:dyDescent="0.25">
      <c r="B6515" t="str">
        <v>XFlows</v>
      </c>
      <c r="C6515" t="str">
        <v>Dexs</v>
      </c>
      <c r="D6515" t="str">
        <v>-</v>
      </c>
      <c r="E6515">
        <v>1594883.2746791635</v>
      </c>
      <c r="F6515">
        <v>0</v>
      </c>
    </row>
    <row r="6516" spans="2:6" ht="15.75" customHeight="1" x14ac:dyDescent="0.25">
      <c r="B6516" t="str">
        <v>XLSD</v>
      </c>
      <c r="C6516" t="str">
        <v>Yield</v>
      </c>
      <c r="D6516" t="str">
        <v>XLSD</v>
      </c>
      <c r="E6516">
        <v>0</v>
      </c>
      <c r="F6516">
        <v>0</v>
      </c>
    </row>
    <row r="6517" spans="2:6" ht="15.75" customHeight="1" x14ac:dyDescent="0.25">
      <c r="B6517" t="str">
        <v>Xmas Past</v>
      </c>
      <c r="C6517" t="str">
        <v>Farm</v>
      </c>
      <c r="D6517" t="str">
        <v>$XPAST</v>
      </c>
      <c r="E6517">
        <v>5.9399449789545082</v>
      </c>
      <c r="F6517">
        <v>0</v>
      </c>
    </row>
    <row r="6518" spans="2:6" ht="15.75" customHeight="1" x14ac:dyDescent="0.25">
      <c r="B6518" t="str">
        <v>Xops Finance</v>
      </c>
      <c r="C6518" t="str">
        <v>Dexs</v>
      </c>
      <c r="D6518" t="str">
        <v>XOS</v>
      </c>
      <c r="E6518">
        <v>189.2351976110632</v>
      </c>
      <c r="F6518">
        <v>0</v>
      </c>
    </row>
    <row r="6519" spans="2:6" ht="15.75" customHeight="1" x14ac:dyDescent="0.25">
      <c r="B6519" t="str">
        <v>XOXNO Liquid Staking</v>
      </c>
      <c r="C6519" t="str">
        <v>Liquid Staking</v>
      </c>
      <c r="D6519" t="str">
        <v>XOXNO</v>
      </c>
      <c r="E6519">
        <v>2145003.0463871011</v>
      </c>
      <c r="F6519">
        <v>0</v>
      </c>
    </row>
    <row r="6520" spans="2:6" ht="15.75" customHeight="1" x14ac:dyDescent="0.25">
      <c r="B6520" t="str">
        <v>XOXNO NFT Marketplace</v>
      </c>
      <c r="C6520" t="str">
        <v>NFT Marketplace</v>
      </c>
      <c r="D6520" t="str">
        <v>XOXNO</v>
      </c>
      <c r="E6520">
        <v>0</v>
      </c>
      <c r="F6520">
        <v>0</v>
      </c>
    </row>
    <row r="6521" spans="2:6" ht="15.75" customHeight="1" x14ac:dyDescent="0.25">
      <c r="B6521" t="str">
        <v>XPress Protocol</v>
      </c>
      <c r="C6521" t="str">
        <v>Dexs</v>
      </c>
      <c r="D6521" t="str">
        <v>-</v>
      </c>
      <c r="E6521">
        <v>167288.30314411948</v>
      </c>
      <c r="F6521">
        <v>0</v>
      </c>
    </row>
    <row r="6522" spans="2:6" ht="15.75" customHeight="1" x14ac:dyDescent="0.25">
      <c r="B6522" t="str">
        <v>Xray Swap</v>
      </c>
      <c r="C6522" t="str">
        <v>Yield</v>
      </c>
      <c r="D6522" t="str">
        <v>XRAY</v>
      </c>
      <c r="E6522">
        <v>439.39753486630804</v>
      </c>
      <c r="F6522">
        <v>0</v>
      </c>
    </row>
    <row r="6523" spans="2:6" ht="15.75" customHeight="1" x14ac:dyDescent="0.25">
      <c r="B6523" t="str">
        <v>XRGB</v>
      </c>
      <c r="C6523" t="str">
        <v>Bridge</v>
      </c>
      <c r="D6523" t="str">
        <v>XRGB</v>
      </c>
      <c r="E6523">
        <v>309.66978529848308</v>
      </c>
      <c r="F6523">
        <v>0</v>
      </c>
    </row>
    <row r="6524" spans="2:6" ht="15.75" customHeight="1" x14ac:dyDescent="0.25">
      <c r="B6524" t="str">
        <v>XRiSE33 Network</v>
      </c>
      <c r="C6524" t="str">
        <v>Dexs</v>
      </c>
      <c r="D6524" t="str">
        <v>XRISE</v>
      </c>
      <c r="E6524">
        <v>22855.64921087083</v>
      </c>
      <c r="F6524">
        <v>0</v>
      </c>
    </row>
    <row r="6525" spans="2:6" ht="15.75" customHeight="1" x14ac:dyDescent="0.25">
      <c r="B6525" t="str">
        <v>XRPL DEX</v>
      </c>
      <c r="C6525" t="str">
        <v>Dexs</v>
      </c>
      <c r="D6525" t="str">
        <v>-</v>
      </c>
      <c r="E6525">
        <v>57437550.463570468</v>
      </c>
      <c r="F6525">
        <v>0</v>
      </c>
    </row>
    <row r="6526" spans="2:6" ht="15.75" customHeight="1" x14ac:dyDescent="0.25">
      <c r="B6526" t="str">
        <v>xSigma</v>
      </c>
      <c r="C6526" t="str">
        <v>Dexs</v>
      </c>
      <c r="D6526" t="str">
        <v>SIG</v>
      </c>
      <c r="E6526">
        <v>349372.77493308746</v>
      </c>
      <c r="F6526">
        <v>49895.69583151456</v>
      </c>
    </row>
    <row r="6527" spans="2:6" ht="15.75" customHeight="1" x14ac:dyDescent="0.25">
      <c r="B6527" t="str">
        <v>xStocks</v>
      </c>
      <c r="C6527" t="str">
        <v>RWA</v>
      </c>
      <c r="D6527" t="str">
        <v>-</v>
      </c>
      <c r="E6527">
        <v>149684541.09981999</v>
      </c>
      <c r="F6527">
        <v>0</v>
      </c>
    </row>
    <row r="6528" spans="2:6" ht="15.75" customHeight="1" x14ac:dyDescent="0.25">
      <c r="B6528" t="str">
        <v>xSui</v>
      </c>
      <c r="C6528" t="str">
        <v>Liquid Staking</v>
      </c>
      <c r="D6528" t="str">
        <v>-</v>
      </c>
      <c r="E6528">
        <v>1376423.3238140105</v>
      </c>
      <c r="F6528">
        <v>0</v>
      </c>
    </row>
    <row r="6529" spans="2:6" ht="15.75" customHeight="1" x14ac:dyDescent="0.25">
      <c r="B6529" t="str">
        <v>xSwap DEX</v>
      </c>
      <c r="C6529" t="str">
        <v>Dexs</v>
      </c>
      <c r="D6529" t="str">
        <v>-</v>
      </c>
      <c r="E6529">
        <v>75339.902352938851</v>
      </c>
      <c r="F6529">
        <v>0</v>
      </c>
    </row>
    <row r="6530" spans="2:6" ht="15.75" customHeight="1" x14ac:dyDescent="0.25">
      <c r="B6530" t="str">
        <v>XSwap V2</v>
      </c>
      <c r="C6530" t="str">
        <v>Dexs</v>
      </c>
      <c r="D6530" t="str">
        <v>XSP</v>
      </c>
      <c r="E6530">
        <v>221359.37895829373</v>
      </c>
      <c r="F6530">
        <v>0</v>
      </c>
    </row>
    <row r="6531" spans="2:6" ht="15.75" customHeight="1" x14ac:dyDescent="0.25">
      <c r="B6531" t="str">
        <v>XSwap V3</v>
      </c>
      <c r="C6531" t="str">
        <v>Dexs</v>
      </c>
      <c r="D6531" t="str">
        <v>XSP</v>
      </c>
      <c r="E6531">
        <v>3316245.6496064914</v>
      </c>
      <c r="F6531">
        <v>0</v>
      </c>
    </row>
    <row r="6532" spans="2:6" ht="15.75" customHeight="1" x14ac:dyDescent="0.25">
      <c r="B6532" t="str">
        <v>XSY</v>
      </c>
      <c r="C6532" t="str">
        <v>Basis Trading</v>
      </c>
      <c r="D6532" t="str">
        <v>UTY</v>
      </c>
      <c r="E6532">
        <v>20976499.987768434</v>
      </c>
      <c r="F6532">
        <v>20978468.608674321</v>
      </c>
    </row>
    <row r="6533" spans="2:6" ht="15.75" customHeight="1" x14ac:dyDescent="0.25">
      <c r="B6533" t="str">
        <v>xToken</v>
      </c>
      <c r="C6533" t="str">
        <v>Liquidity manager</v>
      </c>
      <c r="D6533" t="str">
        <v>XTK</v>
      </c>
      <c r="E6533">
        <v>1148872.2139900785</v>
      </c>
      <c r="F6533">
        <v>11657.703784089868</v>
      </c>
    </row>
    <row r="6534" spans="2:6" ht="15.75" customHeight="1" x14ac:dyDescent="0.25">
      <c r="B6534" t="str">
        <v>XTrade</v>
      </c>
      <c r="C6534" t="str">
        <v>Dexs</v>
      </c>
      <c r="D6534" t="str">
        <v>-</v>
      </c>
      <c r="E6534">
        <v>186.23443735002834</v>
      </c>
      <c r="F6534">
        <v>0</v>
      </c>
    </row>
    <row r="6535" spans="2:6" ht="15.75" customHeight="1" x14ac:dyDescent="0.25">
      <c r="B6535" t="str">
        <v>XTrade Protocol Perps</v>
      </c>
      <c r="C6535" t="str">
        <v>Derivatives</v>
      </c>
      <c r="D6535" t="str">
        <v>-</v>
      </c>
      <c r="E6535">
        <v>0</v>
      </c>
      <c r="F6535">
        <v>0</v>
      </c>
    </row>
    <row r="6536" spans="2:6" ht="15.75" customHeight="1" x14ac:dyDescent="0.25">
      <c r="B6536" t="str">
        <v>XTrade Protocol Spot</v>
      </c>
      <c r="C6536" t="str">
        <v>Trading App</v>
      </c>
      <c r="D6536" t="str">
        <v>-</v>
      </c>
      <c r="E6536">
        <v>0</v>
      </c>
      <c r="F6536">
        <v>0</v>
      </c>
    </row>
    <row r="6537" spans="2:6" ht="15.75" customHeight="1" x14ac:dyDescent="0.25">
      <c r="B6537" t="str">
        <v>XUSD Money</v>
      </c>
      <c r="C6537" t="str">
        <v>Algo-Stables</v>
      </c>
      <c r="D6537" t="str">
        <v>XUSD</v>
      </c>
      <c r="E6537">
        <v>32310.007107389742</v>
      </c>
      <c r="F6537">
        <v>0</v>
      </c>
    </row>
    <row r="6538" spans="2:6" ht="15.75" customHeight="1" x14ac:dyDescent="0.25">
      <c r="B6538" t="str">
        <v>xWeowns</v>
      </c>
      <c r="C6538" t="str">
        <v>Yield</v>
      </c>
      <c r="D6538" t="str">
        <v>XWEOWNS</v>
      </c>
      <c r="E6538">
        <v>0</v>
      </c>
      <c r="F6538">
        <v>0</v>
      </c>
    </row>
    <row r="6539" spans="2:6" ht="15.75" customHeight="1" x14ac:dyDescent="0.25">
      <c r="B6539" t="str">
        <v>xWin Finance</v>
      </c>
      <c r="C6539" t="str">
        <v>Indexes</v>
      </c>
      <c r="D6539" t="str">
        <v>XWIN</v>
      </c>
      <c r="E6539">
        <v>7525368.6066168873</v>
      </c>
      <c r="F6539">
        <v>469112.66151163087</v>
      </c>
    </row>
    <row r="6540" spans="2:6" ht="15.75" customHeight="1" x14ac:dyDescent="0.25">
      <c r="B6540" t="str">
        <v>XY Finance</v>
      </c>
      <c r="C6540" t="str">
        <v>Cross Chain Bridge</v>
      </c>
      <c r="D6540" t="str">
        <v>XY</v>
      </c>
      <c r="E6540">
        <v>1613.6281159497689</v>
      </c>
      <c r="F6540">
        <v>0</v>
      </c>
    </row>
    <row r="6541" spans="2:6" ht="15.75" customHeight="1" x14ac:dyDescent="0.25">
      <c r="B6541" t="str">
        <v>Xyra Labs Aggregator</v>
      </c>
      <c r="C6541" t="str">
        <v>DEX Aggregator</v>
      </c>
      <c r="D6541" t="str">
        <v>-</v>
      </c>
      <c r="E6541">
        <v>0</v>
      </c>
      <c r="F6541">
        <v>0</v>
      </c>
    </row>
    <row r="6542" spans="2:6" ht="15.75" customHeight="1" x14ac:dyDescent="0.25">
      <c r="B6542" t="str">
        <v>Xyra Labs Perps</v>
      </c>
      <c r="C6542" t="str">
        <v>Derivatives</v>
      </c>
      <c r="D6542" t="str">
        <v>-</v>
      </c>
      <c r="E6542">
        <v>0</v>
      </c>
      <c r="F6542">
        <v>0</v>
      </c>
    </row>
    <row r="6543" spans="2:6" ht="15.75" customHeight="1" x14ac:dyDescent="0.25">
      <c r="B6543" t="str">
        <v>Y2B Finance</v>
      </c>
      <c r="C6543" t="str">
        <v>Derivatives</v>
      </c>
      <c r="D6543" t="str">
        <v>Y2B</v>
      </c>
      <c r="E6543">
        <v>0</v>
      </c>
      <c r="F6543">
        <v>0</v>
      </c>
    </row>
    <row r="6544" spans="2:6" ht="15.75" customHeight="1" x14ac:dyDescent="0.25">
      <c r="B6544" t="str">
        <v>Y2K V1</v>
      </c>
      <c r="C6544" t="str">
        <v>Derivatives</v>
      </c>
      <c r="D6544" t="str">
        <v>Y2K</v>
      </c>
      <c r="E6544">
        <v>52787.465630234699</v>
      </c>
      <c r="F6544">
        <v>0</v>
      </c>
    </row>
    <row r="6545" spans="2:6" ht="15.75" customHeight="1" x14ac:dyDescent="0.25">
      <c r="B6545" t="str">
        <v>Y2K V2</v>
      </c>
      <c r="C6545" t="str">
        <v>Derivatives</v>
      </c>
      <c r="D6545" t="str">
        <v>Y2K</v>
      </c>
      <c r="E6545">
        <v>3784.9347117965212</v>
      </c>
      <c r="F6545">
        <v>0</v>
      </c>
    </row>
    <row r="6546" spans="2:6" ht="15.75" customHeight="1" x14ac:dyDescent="0.25">
      <c r="B6546" t="str">
        <v>Y2R</v>
      </c>
      <c r="C6546" t="str">
        <v>Yield Aggregator</v>
      </c>
      <c r="D6546" t="str">
        <v>-</v>
      </c>
      <c r="E6546">
        <v>1139.777775363787</v>
      </c>
      <c r="F6546">
        <v>0</v>
      </c>
    </row>
    <row r="6547" spans="2:6" ht="15.75" customHeight="1" x14ac:dyDescent="0.25">
      <c r="B6547" t="str">
        <v>Yaakoswap</v>
      </c>
      <c r="C6547" t="str">
        <v>Dexs</v>
      </c>
      <c r="D6547" t="str">
        <v>-</v>
      </c>
      <c r="E6547">
        <v>21.085265573361262</v>
      </c>
      <c r="F6547">
        <v>0</v>
      </c>
    </row>
    <row r="6548" spans="2:6" ht="15.75" customHeight="1" x14ac:dyDescent="0.25">
      <c r="B6548" t="str">
        <v>Yaka V2</v>
      </c>
      <c r="C6548" t="str">
        <v>Dexs</v>
      </c>
      <c r="D6548" t="str">
        <v>YAKA</v>
      </c>
      <c r="E6548">
        <v>35304.675880983486</v>
      </c>
      <c r="F6548">
        <v>0</v>
      </c>
    </row>
    <row r="6549" spans="2:6" ht="15.75" customHeight="1" x14ac:dyDescent="0.25">
      <c r="B6549" t="str">
        <v>Yaka V3</v>
      </c>
      <c r="C6549" t="str">
        <v>Dexs</v>
      </c>
      <c r="D6549" t="str">
        <v>YAKA</v>
      </c>
      <c r="E6549">
        <v>531422.63826269994</v>
      </c>
      <c r="F6549">
        <v>0</v>
      </c>
    </row>
    <row r="6550" spans="2:6" ht="15.75" customHeight="1" x14ac:dyDescent="0.25">
      <c r="B6550" t="str">
        <v>Yala</v>
      </c>
      <c r="C6550" t="str">
        <v>CDP</v>
      </c>
      <c r="D6550" t="str">
        <v>YALA</v>
      </c>
      <c r="E6550">
        <v>45312277.816910304</v>
      </c>
      <c r="F6550">
        <v>5577038.8560498646</v>
      </c>
    </row>
    <row r="6551" spans="2:6" ht="15.75" customHeight="1" x14ac:dyDescent="0.25">
      <c r="B6551" t="str">
        <v>Yam Finance</v>
      </c>
      <c r="C6551" t="str">
        <v>Synthetics</v>
      </c>
      <c r="D6551" t="str">
        <v>YAM</v>
      </c>
      <c r="E6551">
        <v>282762.60109430144</v>
      </c>
      <c r="F6551">
        <v>80971.874772297553</v>
      </c>
    </row>
    <row r="6552" spans="2:6" ht="15.75" customHeight="1" x14ac:dyDescent="0.25">
      <c r="B6552" t="str">
        <v>Yama Finance</v>
      </c>
      <c r="C6552" t="str">
        <v>CDP</v>
      </c>
      <c r="D6552" t="str">
        <v>-</v>
      </c>
      <c r="E6552">
        <v>79120.939280917984</v>
      </c>
      <c r="F6552">
        <v>0</v>
      </c>
    </row>
    <row r="6553" spans="2:6" ht="15.75" customHeight="1" x14ac:dyDescent="0.25">
      <c r="B6553" t="str">
        <v>Yamato Protocol</v>
      </c>
      <c r="C6553" t="str">
        <v>CDP</v>
      </c>
      <c r="D6553" t="str">
        <v>-</v>
      </c>
      <c r="E6553">
        <v>2241858.2612685785</v>
      </c>
      <c r="F6553">
        <v>0</v>
      </c>
    </row>
    <row r="6554" spans="2:6" ht="15.75" customHeight="1" x14ac:dyDescent="0.25">
      <c r="B6554" t="str">
        <v>Yamfore</v>
      </c>
      <c r="C6554" t="str">
        <v>Lending</v>
      </c>
      <c r="D6554" t="str">
        <v>CBLP</v>
      </c>
      <c r="E6554">
        <v>106185.71159540204</v>
      </c>
      <c r="F6554">
        <v>0</v>
      </c>
    </row>
    <row r="6555" spans="2:6" ht="15.75" customHeight="1" x14ac:dyDescent="0.25">
      <c r="B6555" t="str">
        <v>Yapeswap</v>
      </c>
      <c r="C6555" t="str">
        <v>Dexs</v>
      </c>
      <c r="D6555" t="str">
        <v>YAPE</v>
      </c>
      <c r="E6555">
        <v>28416.133263554686</v>
      </c>
      <c r="F6555">
        <v>0</v>
      </c>
    </row>
    <row r="6556" spans="2:6" ht="15.75" customHeight="1" x14ac:dyDescent="0.25">
      <c r="B6556" t="str">
        <v>yAxis</v>
      </c>
      <c r="C6556" t="str">
        <v>Yield Aggregator</v>
      </c>
      <c r="D6556" t="str">
        <v>YAXIS</v>
      </c>
      <c r="E6556">
        <v>398050.10489527683</v>
      </c>
      <c r="F6556">
        <v>524976.03700700158</v>
      </c>
    </row>
    <row r="6557" spans="2:6" ht="15.75" customHeight="1" x14ac:dyDescent="0.25">
      <c r="B6557" t="str">
        <v>Yay!</v>
      </c>
      <c r="C6557" t="str">
        <v>SoFi</v>
      </c>
      <c r="D6557" t="str">
        <v>-</v>
      </c>
      <c r="E6557">
        <v>3050906.0960919703</v>
      </c>
      <c r="F6557">
        <v>0</v>
      </c>
    </row>
    <row r="6558" spans="2:6" ht="15.75" customHeight="1" x14ac:dyDescent="0.25">
      <c r="B6558" t="str">
        <v>YBTC.B</v>
      </c>
      <c r="C6558" t="str">
        <v>Anchor BTC</v>
      </c>
      <c r="D6558" t="str">
        <v>-</v>
      </c>
      <c r="E6558">
        <v>116403931.33439523</v>
      </c>
      <c r="F6558">
        <v>0</v>
      </c>
    </row>
    <row r="6559" spans="2:6" ht="15.75" customHeight="1" x14ac:dyDescent="0.25">
      <c r="B6559" t="str">
        <v>Yearn Curating</v>
      </c>
      <c r="C6559" t="str">
        <v>Risk Curators</v>
      </c>
      <c r="D6559" t="str">
        <v>YFI</v>
      </c>
      <c r="E6559">
        <v>136041529.29968265</v>
      </c>
      <c r="F6559">
        <v>0</v>
      </c>
    </row>
    <row r="6560" spans="2:6" ht="15.75" customHeight="1" x14ac:dyDescent="0.25">
      <c r="B6560" t="str">
        <v>Yearn Ether</v>
      </c>
      <c r="C6560" t="str">
        <v>Indexes</v>
      </c>
      <c r="D6560" t="str">
        <v>YFI</v>
      </c>
      <c r="E6560">
        <v>3.4270787768621941E-11</v>
      </c>
      <c r="F6560">
        <v>0</v>
      </c>
    </row>
    <row r="6561" spans="2:6" ht="15.75" customHeight="1" x14ac:dyDescent="0.25">
      <c r="B6561" t="str">
        <v>Yearn Finance</v>
      </c>
      <c r="C6561" t="str">
        <v>Yield Aggregator</v>
      </c>
      <c r="D6561" t="str">
        <v>YFI</v>
      </c>
      <c r="E6561">
        <v>395279129.67254668</v>
      </c>
      <c r="F6561">
        <v>0</v>
      </c>
    </row>
    <row r="6562" spans="2:6" ht="15.75" customHeight="1" x14ac:dyDescent="0.25">
      <c r="B6562" t="str">
        <v>YeiLend</v>
      </c>
      <c r="C6562" t="str">
        <v>Lending</v>
      </c>
      <c r="D6562" t="str">
        <v>CLO</v>
      </c>
      <c r="E6562">
        <v>45355838.63780003</v>
      </c>
      <c r="F6562">
        <v>0</v>
      </c>
    </row>
    <row r="6563" spans="2:6" ht="15.75" customHeight="1" x14ac:dyDescent="0.25">
      <c r="B6563" t="str">
        <v>YeiSwap</v>
      </c>
      <c r="C6563" t="str">
        <v>Dexs</v>
      </c>
      <c r="D6563" t="str">
        <v>CLO</v>
      </c>
      <c r="E6563">
        <v>0</v>
      </c>
      <c r="F6563">
        <v>0</v>
      </c>
    </row>
    <row r="6564" spans="2:6" ht="15.75" customHeight="1" x14ac:dyDescent="0.25">
      <c r="B6564" t="str">
        <v>Yel Finance</v>
      </c>
      <c r="C6564" t="str">
        <v>Yield</v>
      </c>
      <c r="D6564" t="str">
        <v>YEL</v>
      </c>
      <c r="E6564">
        <v>30614.318089113949</v>
      </c>
      <c r="F6564">
        <v>67866.692874542336</v>
      </c>
    </row>
    <row r="6565" spans="2:6" ht="15.75" customHeight="1" x14ac:dyDescent="0.25">
      <c r="B6565" t="str">
        <v>Yelay V1</v>
      </c>
      <c r="C6565" t="str">
        <v>Yield Aggregator</v>
      </c>
      <c r="D6565" t="str">
        <v>YLAY</v>
      </c>
      <c r="E6565">
        <v>12798.500651153232</v>
      </c>
      <c r="F6565">
        <v>0</v>
      </c>
    </row>
    <row r="6566" spans="2:6" ht="15.75" customHeight="1" x14ac:dyDescent="0.25">
      <c r="B6566" t="str">
        <v>Yelay V2</v>
      </c>
      <c r="C6566" t="str">
        <v>Yield Aggregator</v>
      </c>
      <c r="D6566" t="str">
        <v>YLAY</v>
      </c>
      <c r="E6566">
        <v>238.81586165045479</v>
      </c>
      <c r="F6566">
        <v>0</v>
      </c>
    </row>
    <row r="6567" spans="2:6" ht="15.75" customHeight="1" x14ac:dyDescent="0.25">
      <c r="B6567" t="str">
        <v>Yelay V3</v>
      </c>
      <c r="C6567" t="str">
        <v>Yield Aggregator</v>
      </c>
      <c r="D6567" t="str">
        <v>YLAY</v>
      </c>
      <c r="E6567">
        <v>856114.25864043436</v>
      </c>
      <c r="F6567">
        <v>0</v>
      </c>
    </row>
    <row r="6568" spans="2:6" ht="15.75" customHeight="1" x14ac:dyDescent="0.25">
      <c r="B6568" t="str">
        <v>Yellow</v>
      </c>
      <c r="C6568" t="str">
        <v>Dexs</v>
      </c>
      <c r="D6568" t="str">
        <v>DUCKIES</v>
      </c>
      <c r="E6568">
        <v>345935.21355614124</v>
      </c>
      <c r="F6568">
        <v>89964.470837735396</v>
      </c>
    </row>
    <row r="6569" spans="2:6" ht="15.75" customHeight="1" x14ac:dyDescent="0.25">
      <c r="B6569" t="str">
        <v>Yeti Finance</v>
      </c>
      <c r="C6569" t="str">
        <v>CDP</v>
      </c>
      <c r="D6569" t="str">
        <v>YETI</v>
      </c>
      <c r="E6569">
        <v>0</v>
      </c>
      <c r="F6569">
        <v>0</v>
      </c>
    </row>
    <row r="6570" spans="2:6" ht="15.75" customHeight="1" x14ac:dyDescent="0.25">
      <c r="B6570" t="str">
        <v>YetiSwap</v>
      </c>
      <c r="C6570" t="str">
        <v>Dexs</v>
      </c>
      <c r="D6570" t="str">
        <v>YTS</v>
      </c>
      <c r="E6570">
        <v>13902.630037262623</v>
      </c>
      <c r="F6570">
        <v>88415.273150519046</v>
      </c>
    </row>
    <row r="6571" spans="2:6" ht="15.75" customHeight="1" x14ac:dyDescent="0.25">
      <c r="B6571" t="str">
        <v>YFDAI</v>
      </c>
      <c r="C6571" t="str">
        <v>Services</v>
      </c>
      <c r="D6571" t="str">
        <v>YFDAI</v>
      </c>
      <c r="E6571">
        <v>19861.802030792693</v>
      </c>
      <c r="F6571">
        <v>220481.31929833611</v>
      </c>
    </row>
    <row r="6572" spans="2:6" ht="15.75" customHeight="1" x14ac:dyDescent="0.25">
      <c r="B6572" t="str">
        <v>YFII</v>
      </c>
      <c r="C6572" t="str">
        <v>Yield Aggregator</v>
      </c>
      <c r="D6572" t="str">
        <v>YFII</v>
      </c>
      <c r="E6572">
        <v>394038.8908721637</v>
      </c>
      <c r="F6572">
        <v>2044978.1523599606</v>
      </c>
    </row>
    <row r="6573" spans="2:6" ht="15.75" customHeight="1" x14ac:dyDescent="0.25">
      <c r="B6573" t="str">
        <v>YFX</v>
      </c>
      <c r="C6573" t="str">
        <v>Derivatives</v>
      </c>
      <c r="D6573" t="str">
        <v>YFX</v>
      </c>
      <c r="E6573">
        <v>420.28698950438439</v>
      </c>
      <c r="F6573">
        <v>0</v>
      </c>
    </row>
    <row r="6574" spans="2:6" ht="15.75" customHeight="1" x14ac:dyDescent="0.25">
      <c r="B6574" t="str">
        <v>YFX V4</v>
      </c>
      <c r="C6574" t="str">
        <v>Derivatives</v>
      </c>
      <c r="D6574" t="str">
        <v>YFX</v>
      </c>
      <c r="E6574">
        <v>2302.3474910142149</v>
      </c>
      <c r="F6574">
        <v>0</v>
      </c>
    </row>
    <row r="6575" spans="2:6" ht="15.75" customHeight="1" x14ac:dyDescent="0.25">
      <c r="B6575" t="str">
        <v>YIEDL Vaults</v>
      </c>
      <c r="C6575" t="str">
        <v>Indexes</v>
      </c>
      <c r="D6575" t="str">
        <v>-</v>
      </c>
      <c r="E6575">
        <v>420.88804239947206</v>
      </c>
      <c r="F6575">
        <v>0</v>
      </c>
    </row>
    <row r="6576" spans="2:6" ht="15.75" customHeight="1" x14ac:dyDescent="0.25">
      <c r="B6576" t="str">
        <v>Yield Basis</v>
      </c>
      <c r="C6576" t="str">
        <v>Leveraged Farming</v>
      </c>
      <c r="D6576" t="str">
        <v>YB</v>
      </c>
      <c r="E6576">
        <v>235212907.44706467</v>
      </c>
      <c r="F6576">
        <v>37818004.354914896</v>
      </c>
    </row>
    <row r="6577" spans="2:6" ht="15.75" customHeight="1" x14ac:dyDescent="0.25">
      <c r="B6577" t="str">
        <v>Yield Guild Games</v>
      </c>
      <c r="C6577" t="str">
        <v>Gaming</v>
      </c>
      <c r="D6577" t="str">
        <v>YGG</v>
      </c>
      <c r="E6577">
        <v>0</v>
      </c>
      <c r="F6577">
        <v>47068572.14263197</v>
      </c>
    </row>
    <row r="6578" spans="2:6" ht="15.75" customHeight="1" x14ac:dyDescent="0.25">
      <c r="B6578" t="str">
        <v>Yield Millionaire</v>
      </c>
      <c r="C6578" t="str">
        <v>Yield</v>
      </c>
      <c r="D6578" t="str">
        <v>-</v>
      </c>
      <c r="E6578">
        <v>25716.688335822331</v>
      </c>
      <c r="F6578">
        <v>0</v>
      </c>
    </row>
    <row r="6579" spans="2:6" ht="15.75" customHeight="1" x14ac:dyDescent="0.25">
      <c r="B6579" t="str">
        <v>Yield Protocol</v>
      </c>
      <c r="C6579" t="str">
        <v>Lending</v>
      </c>
      <c r="D6579" t="str">
        <v>-</v>
      </c>
      <c r="E6579">
        <v>330799.04082014115</v>
      </c>
      <c r="F6579">
        <v>0</v>
      </c>
    </row>
    <row r="6580" spans="2:6" ht="15.75" customHeight="1" x14ac:dyDescent="0.25">
      <c r="B6580" t="str">
        <v>Yield Wars</v>
      </c>
      <c r="C6580" t="str">
        <v>Farm</v>
      </c>
      <c r="D6580" t="str">
        <v>WAR</v>
      </c>
      <c r="E6580">
        <v>225.01786735540475</v>
      </c>
      <c r="F6580">
        <v>0</v>
      </c>
    </row>
    <row r="6581" spans="2:6" ht="15.75" customHeight="1" x14ac:dyDescent="0.25">
      <c r="B6581" t="str">
        <v>Yield Yak Aggregator</v>
      </c>
      <c r="C6581" t="str">
        <v>Yield Aggregator</v>
      </c>
      <c r="D6581" t="str">
        <v>YAK</v>
      </c>
      <c r="E6581">
        <v>22186834.043968398</v>
      </c>
      <c r="F6581">
        <v>1929716.895219984</v>
      </c>
    </row>
    <row r="6582" spans="2:6" ht="15.75" customHeight="1" x14ac:dyDescent="0.25">
      <c r="B6582" t="str">
        <v>Yield Yak Staked Avax</v>
      </c>
      <c r="C6582" t="str">
        <v>Liquid Staking</v>
      </c>
      <c r="D6582" t="str">
        <v>YAK</v>
      </c>
      <c r="E6582">
        <v>729972.39848144504</v>
      </c>
      <c r="F6582">
        <v>0</v>
      </c>
    </row>
    <row r="6583" spans="2:6" ht="15.75" customHeight="1" x14ac:dyDescent="0.25">
      <c r="B6583" t="str">
        <v>Yield24</v>
      </c>
      <c r="C6583" t="str">
        <v>Liquid Staking</v>
      </c>
      <c r="D6583" t="str">
        <v>-</v>
      </c>
      <c r="E6583">
        <v>0</v>
      </c>
      <c r="F6583">
        <v>0</v>
      </c>
    </row>
    <row r="6584" spans="2:6" ht="15.75" customHeight="1" x14ac:dyDescent="0.25">
      <c r="B6584" t="str">
        <v>YieldBank</v>
      </c>
      <c r="C6584" t="str">
        <v>Yield Aggregator</v>
      </c>
      <c r="D6584" t="str">
        <v>-</v>
      </c>
      <c r="E6584">
        <v>0</v>
      </c>
      <c r="F6584">
        <v>0</v>
      </c>
    </row>
    <row r="6585" spans="2:6" ht="15.75" customHeight="1" x14ac:dyDescent="0.25">
      <c r="B6585" t="str">
        <v>YieldBricks</v>
      </c>
      <c r="C6585" t="str">
        <v>RWA</v>
      </c>
      <c r="D6585" t="str">
        <v>YBR</v>
      </c>
      <c r="E6585">
        <v>0</v>
      </c>
      <c r="F6585">
        <v>124988.33318045124</v>
      </c>
    </row>
    <row r="6586" spans="2:6" ht="15.75" customHeight="1" x14ac:dyDescent="0.25">
      <c r="B6586" t="str">
        <v>yieldEDU</v>
      </c>
      <c r="C6586" t="str">
        <v>Yield Aggregator</v>
      </c>
      <c r="D6586" t="str">
        <v>-</v>
      </c>
      <c r="E6586">
        <v>76235.009190185971</v>
      </c>
      <c r="F6586">
        <v>0</v>
      </c>
    </row>
    <row r="6587" spans="2:6" ht="15.75" customHeight="1" x14ac:dyDescent="0.25">
      <c r="B6587" t="str">
        <v>YieldFi</v>
      </c>
      <c r="C6587" t="str">
        <v>Yield Aggregator</v>
      </c>
      <c r="D6587" t="str">
        <v>-</v>
      </c>
      <c r="E6587">
        <v>31196537.186184146</v>
      </c>
      <c r="F6587">
        <v>0</v>
      </c>
    </row>
    <row r="6588" spans="2:6" ht="15.75" customHeight="1" x14ac:dyDescent="0.25">
      <c r="B6588" t="str">
        <v>YieldFields</v>
      </c>
      <c r="C6588" t="str">
        <v>Dexs</v>
      </c>
      <c r="D6588" t="str">
        <v>FIELD</v>
      </c>
      <c r="E6588">
        <v>17563.592717001557</v>
      </c>
      <c r="F6588">
        <v>0</v>
      </c>
    </row>
    <row r="6589" spans="2:6" ht="15.75" customHeight="1" x14ac:dyDescent="0.25">
      <c r="B6589" t="str">
        <v>YieldFlow Yield Farming</v>
      </c>
      <c r="C6589" t="str">
        <v>Liquidity manager</v>
      </c>
      <c r="D6589" t="str">
        <v>YFLOW</v>
      </c>
      <c r="E6589">
        <v>1282916.9498148565</v>
      </c>
      <c r="F6589">
        <v>0</v>
      </c>
    </row>
    <row r="6590" spans="2:6" ht="15.75" customHeight="1" x14ac:dyDescent="0.25">
      <c r="B6590" t="str">
        <v>YieldFlow-YTrade</v>
      </c>
      <c r="C6590" t="str">
        <v>Derivatives</v>
      </c>
      <c r="D6590" t="str">
        <v>YFLOW</v>
      </c>
      <c r="E6590">
        <v>248442.77913575567</v>
      </c>
      <c r="F6590">
        <v>0</v>
      </c>
    </row>
    <row r="6591" spans="2:6" ht="15.75" customHeight="1" x14ac:dyDescent="0.25">
      <c r="B6591" t="str">
        <v>YieldHub Finance</v>
      </c>
      <c r="C6591" t="str">
        <v>Yield Aggregator</v>
      </c>
      <c r="D6591" t="str">
        <v>-</v>
      </c>
      <c r="E6591">
        <v>153.43237121446009</v>
      </c>
      <c r="F6591">
        <v>0</v>
      </c>
    </row>
    <row r="6592" spans="2:6" ht="15.75" customHeight="1" x14ac:dyDescent="0.25">
      <c r="B6592" t="str">
        <v>YieldLend</v>
      </c>
      <c r="C6592" t="str">
        <v>Lending</v>
      </c>
      <c r="D6592" t="str">
        <v>-</v>
      </c>
      <c r="E6592">
        <v>706.00486650751429</v>
      </c>
      <c r="F6592">
        <v>0</v>
      </c>
    </row>
    <row r="6593" spans="2:6" ht="15.75" customHeight="1" x14ac:dyDescent="0.25">
      <c r="B6593" t="str">
        <v>Yieldly</v>
      </c>
      <c r="C6593" t="str">
        <v>Yield</v>
      </c>
      <c r="D6593" t="str">
        <v>YLDY</v>
      </c>
      <c r="E6593">
        <v>0</v>
      </c>
      <c r="F6593">
        <v>0</v>
      </c>
    </row>
    <row r="6594" spans="2:6" ht="15.75" customHeight="1" x14ac:dyDescent="0.25">
      <c r="B6594" t="str">
        <v>YieldNest</v>
      </c>
      <c r="C6594" t="str">
        <v>Onchain Capital Allocator</v>
      </c>
      <c r="D6594" t="str">
        <v>YND</v>
      </c>
      <c r="E6594">
        <v>40171192.81496226</v>
      </c>
      <c r="F6594">
        <v>0</v>
      </c>
    </row>
    <row r="6595" spans="2:6" ht="15.75" customHeight="1" x14ac:dyDescent="0.25">
      <c r="B6595" t="str">
        <v>Yieldoor</v>
      </c>
      <c r="C6595" t="str">
        <v>Leveraged Farming</v>
      </c>
      <c r="D6595" t="str">
        <v>-</v>
      </c>
      <c r="E6595">
        <v>351750.98664464208</v>
      </c>
      <c r="F6595">
        <v>0</v>
      </c>
    </row>
    <row r="6596" spans="2:6" ht="15.75" customHeight="1" x14ac:dyDescent="0.25">
      <c r="B6596" t="str">
        <v>YieldPulse Finance</v>
      </c>
      <c r="C6596" t="str">
        <v>Farm</v>
      </c>
      <c r="D6596" t="str">
        <v>YIELD</v>
      </c>
      <c r="E6596">
        <v>183.68248949309623</v>
      </c>
      <c r="F6596">
        <v>0</v>
      </c>
    </row>
    <row r="6597" spans="2:6" ht="15.75" customHeight="1" x14ac:dyDescent="0.25">
      <c r="B6597" t="str">
        <v>YieldWolf</v>
      </c>
      <c r="C6597" t="str">
        <v>Yield</v>
      </c>
      <c r="D6597" t="str">
        <v>-</v>
      </c>
      <c r="E6597">
        <v>78579.412708369404</v>
      </c>
      <c r="F6597">
        <v>0</v>
      </c>
    </row>
    <row r="6598" spans="2:6" ht="15.75" customHeight="1" x14ac:dyDescent="0.25">
      <c r="B6598" t="str">
        <v>YLDR</v>
      </c>
      <c r="C6598" t="str">
        <v>Lending</v>
      </c>
      <c r="D6598" t="str">
        <v>-</v>
      </c>
      <c r="E6598">
        <v>264235.4059923375</v>
      </c>
      <c r="F6598">
        <v>0</v>
      </c>
    </row>
    <row r="6599" spans="2:6" ht="15.75" customHeight="1" x14ac:dyDescent="0.25">
      <c r="B6599" t="str">
        <v>YO Protocol</v>
      </c>
      <c r="C6599" t="str">
        <v>Yield Aggregator</v>
      </c>
      <c r="D6599" t="str">
        <v>-</v>
      </c>
      <c r="E6599">
        <v>63827987.985787585</v>
      </c>
      <c r="F6599">
        <v>0</v>
      </c>
    </row>
    <row r="6600" spans="2:6" ht="15.75" customHeight="1" x14ac:dyDescent="0.25">
      <c r="B6600" t="str">
        <v>Yodeswap</v>
      </c>
      <c r="C6600" t="str">
        <v>Dexs</v>
      </c>
      <c r="D6600" t="str">
        <v>YODE</v>
      </c>
      <c r="E6600">
        <v>75814.045443108713</v>
      </c>
      <c r="F6600">
        <v>9931.9028543307704</v>
      </c>
    </row>
    <row r="6601" spans="2:6" ht="15.75" customHeight="1" x14ac:dyDescent="0.25">
      <c r="B6601" t="str">
        <v>Yogi Finance</v>
      </c>
      <c r="C6601" t="str">
        <v>Dexs</v>
      </c>
      <c r="D6601" t="str">
        <v>YOGI</v>
      </c>
      <c r="E6601">
        <v>0</v>
      </c>
      <c r="F6601">
        <v>0</v>
      </c>
    </row>
    <row r="6602" spans="2:6" ht="15.75" customHeight="1" x14ac:dyDescent="0.25">
      <c r="B6602" t="str">
        <v>Yogurt Finance</v>
      </c>
      <c r="C6602" t="str">
        <v>Farm</v>
      </c>
      <c r="D6602" t="str">
        <v>YOGURT</v>
      </c>
      <c r="E6602">
        <v>35.79626197339045</v>
      </c>
      <c r="F6602">
        <v>0</v>
      </c>
    </row>
    <row r="6603" spans="2:6" ht="15.75" customHeight="1" x14ac:dyDescent="0.25">
      <c r="B6603" t="str">
        <v>YokaiSwap</v>
      </c>
      <c r="C6603" t="str">
        <v>Dexs</v>
      </c>
      <c r="D6603" t="str">
        <v>YOK</v>
      </c>
      <c r="E6603">
        <v>28571.194823054193</v>
      </c>
      <c r="F6603">
        <v>0</v>
      </c>
    </row>
    <row r="6604" spans="2:6" ht="15.75" customHeight="1" x14ac:dyDescent="0.25">
      <c r="B6604" t="str">
        <v>Yoko</v>
      </c>
      <c r="C6604" t="str">
        <v>AI Agents</v>
      </c>
      <c r="D6604" t="str">
        <v>YOKO</v>
      </c>
      <c r="E6604">
        <v>0</v>
      </c>
      <c r="F6604">
        <v>2303.4808936466666</v>
      </c>
    </row>
    <row r="6605" spans="2:6" ht="15.75" customHeight="1" x14ac:dyDescent="0.25">
      <c r="B6605" t="str">
        <v>YOLO Games</v>
      </c>
      <c r="C6605" t="str">
        <v>Gaming</v>
      </c>
      <c r="D6605" t="str">
        <v>YOLO</v>
      </c>
      <c r="E6605">
        <v>0</v>
      </c>
      <c r="F6605">
        <v>0</v>
      </c>
    </row>
    <row r="6606" spans="2:6" ht="15.75" customHeight="1" x14ac:dyDescent="0.25">
      <c r="B6606" t="str">
        <v>Yoshi Exchange</v>
      </c>
      <c r="C6606" t="str">
        <v>Dexs</v>
      </c>
      <c r="D6606" t="str">
        <v>YOSHI</v>
      </c>
      <c r="E6606">
        <v>43377.385695037308</v>
      </c>
      <c r="F6606">
        <v>347817.20045857562</v>
      </c>
    </row>
    <row r="6607" spans="2:6" ht="15.75" customHeight="1" x14ac:dyDescent="0.25">
      <c r="B6607" t="str">
        <v>YouSwap</v>
      </c>
      <c r="C6607" t="str">
        <v>Dexs</v>
      </c>
      <c r="D6607" t="str">
        <v>YOU</v>
      </c>
      <c r="E6607">
        <v>309109.11128136003</v>
      </c>
      <c r="F6607">
        <v>0</v>
      </c>
    </row>
    <row r="6608" spans="2:6" ht="15.75" customHeight="1" x14ac:dyDescent="0.25">
      <c r="B6608" t="str">
        <v>Youves</v>
      </c>
      <c r="C6608" t="str">
        <v>Synthetics</v>
      </c>
      <c r="D6608" t="str">
        <v>YOU</v>
      </c>
      <c r="E6608">
        <v>26644929.223191336</v>
      </c>
      <c r="F6608">
        <v>0</v>
      </c>
    </row>
    <row r="6609" spans="2:6" ht="15.75" customHeight="1" x14ac:dyDescent="0.25">
      <c r="B6609" t="str">
        <v>YSL.IO</v>
      </c>
      <c r="C6609" t="str">
        <v>Yield</v>
      </c>
      <c r="D6609" t="str">
        <v>SYSL</v>
      </c>
      <c r="E6609">
        <v>215.18027073044667</v>
      </c>
      <c r="F6609">
        <v>4.9805965661744848E-4</v>
      </c>
    </row>
    <row r="6610" spans="2:6" ht="15.75" customHeight="1" x14ac:dyDescent="0.25">
      <c r="B6610" t="str">
        <v>Ysmart</v>
      </c>
      <c r="C6610" t="str">
        <v>Services</v>
      </c>
      <c r="D6610" t="str">
        <v>-</v>
      </c>
      <c r="E6610">
        <v>0</v>
      </c>
      <c r="F6610">
        <v>0</v>
      </c>
    </row>
    <row r="6611" spans="2:6" ht="15.75" customHeight="1" x14ac:dyDescent="0.25">
      <c r="B6611" t="str">
        <v>Yumiswap</v>
      </c>
      <c r="C6611" t="str">
        <v>Dexs</v>
      </c>
      <c r="D6611" t="str">
        <v>YUMI</v>
      </c>
      <c r="E6611">
        <v>1437.6864849244712</v>
      </c>
      <c r="F6611">
        <v>0</v>
      </c>
    </row>
    <row r="6612" spans="2:6" ht="15.75" customHeight="1" x14ac:dyDescent="0.25">
      <c r="B6612" t="str">
        <v>Yup</v>
      </c>
      <c r="C6612" t="str">
        <v>Services</v>
      </c>
      <c r="D6612" t="str">
        <v>YUP</v>
      </c>
      <c r="E6612">
        <v>0</v>
      </c>
      <c r="F6612">
        <v>18248.256126179873</v>
      </c>
    </row>
    <row r="6613" spans="2:6" ht="15.75" customHeight="1" x14ac:dyDescent="0.25">
      <c r="B6613" t="str">
        <v>Yupana</v>
      </c>
      <c r="C6613" t="str">
        <v>Lending</v>
      </c>
      <c r="D6613" t="str">
        <v>-</v>
      </c>
      <c r="E6613">
        <v>40527.124722987188</v>
      </c>
      <c r="F6613">
        <v>0</v>
      </c>
    </row>
    <row r="6614" spans="2:6" ht="15.75" customHeight="1" x14ac:dyDescent="0.25">
      <c r="B6614" t="str">
        <v>Yusan</v>
      </c>
      <c r="C6614" t="str">
        <v>Lending</v>
      </c>
      <c r="D6614" t="str">
        <v>-</v>
      </c>
      <c r="E6614">
        <v>19931.906837283601</v>
      </c>
      <c r="F6614">
        <v>0</v>
      </c>
    </row>
    <row r="6615" spans="2:6" ht="15.75" customHeight="1" x14ac:dyDescent="0.25">
      <c r="B6615" t="str">
        <v>Yuzu Finance</v>
      </c>
      <c r="C6615" t="str">
        <v>Dexs</v>
      </c>
      <c r="D6615" t="str">
        <v>-</v>
      </c>
      <c r="E6615">
        <v>580846.29017402779</v>
      </c>
      <c r="F6615">
        <v>0</v>
      </c>
    </row>
    <row r="6616" spans="2:6" ht="15.75" customHeight="1" x14ac:dyDescent="0.25">
      <c r="B6616" t="str">
        <v>Yuzu Market</v>
      </c>
      <c r="C6616" t="str">
        <v>Lending</v>
      </c>
      <c r="D6616" t="str">
        <v>-</v>
      </c>
      <c r="E6616">
        <v>0</v>
      </c>
      <c r="F6616">
        <v>0</v>
      </c>
    </row>
    <row r="6617" spans="2:6" ht="15.75" customHeight="1" x14ac:dyDescent="0.25">
      <c r="B6617" t="str">
        <v>Yuzu Money</v>
      </c>
      <c r="C6617" t="str">
        <v>Yield</v>
      </c>
      <c r="D6617" t="str">
        <v>-</v>
      </c>
      <c r="E6617">
        <v>42943823.549066827</v>
      </c>
      <c r="F6617">
        <v>0</v>
      </c>
    </row>
    <row r="6618" spans="2:6" ht="15.75" customHeight="1" x14ac:dyDescent="0.25">
      <c r="B6618" t="str">
        <v>YuzuSwap</v>
      </c>
      <c r="C6618" t="str">
        <v>Dexs</v>
      </c>
      <c r="D6618" t="str">
        <v>YUZU</v>
      </c>
      <c r="E6618">
        <v>46596.633755812531</v>
      </c>
      <c r="F6618">
        <v>0</v>
      </c>
    </row>
    <row r="6619" spans="2:6" ht="15.75" customHeight="1" x14ac:dyDescent="0.25">
      <c r="B6619" t="str">
        <v>YYEX</v>
      </c>
      <c r="C6619" t="str">
        <v>Derivatives</v>
      </c>
      <c r="D6619" t="str">
        <v>-</v>
      </c>
      <c r="E6619">
        <v>133.43554788628694</v>
      </c>
      <c r="F6619">
        <v>0</v>
      </c>
    </row>
    <row r="6620" spans="2:6" ht="15.75" customHeight="1" x14ac:dyDescent="0.25">
      <c r="B6620" t="str">
        <v>Z Protocol DEX</v>
      </c>
      <c r="C6620" t="str">
        <v>Dexs</v>
      </c>
      <c r="D6620" t="str">
        <v>ZP</v>
      </c>
      <c r="E6620">
        <v>2157.9979292557887</v>
      </c>
      <c r="F6620">
        <v>0</v>
      </c>
    </row>
    <row r="6621" spans="2:6" ht="15.75" customHeight="1" x14ac:dyDescent="0.25">
      <c r="B6621" t="str">
        <v>Z Protocol Masterchef</v>
      </c>
      <c r="C6621" t="str">
        <v>Yield</v>
      </c>
      <c r="D6621" t="str">
        <v>ZP</v>
      </c>
      <c r="E6621">
        <v>0</v>
      </c>
      <c r="F6621">
        <v>0</v>
      </c>
    </row>
    <row r="6622" spans="2:6" ht="15.75" customHeight="1" x14ac:dyDescent="0.25">
      <c r="B6622" t="str">
        <v>Z3Z</v>
      </c>
      <c r="C6622" t="str">
        <v>Gaming</v>
      </c>
      <c r="D6622" t="str">
        <v>-</v>
      </c>
      <c r="E6622">
        <v>1755.7035092622182</v>
      </c>
      <c r="F6622">
        <v>0</v>
      </c>
    </row>
    <row r="6623" spans="2:6" ht="15.75" customHeight="1" x14ac:dyDescent="0.25">
      <c r="B6623" t="str">
        <v>Zabu Finance</v>
      </c>
      <c r="C6623" t="str">
        <v>Yield Aggregator</v>
      </c>
      <c r="D6623" t="str">
        <v>ZABU</v>
      </c>
      <c r="E6623">
        <v>7292.5608279845737</v>
      </c>
      <c r="F6623">
        <v>0</v>
      </c>
    </row>
    <row r="6624" spans="2:6" ht="15.75" customHeight="1" x14ac:dyDescent="0.25">
      <c r="B6624" t="str">
        <v>Zai Finance</v>
      </c>
      <c r="C6624" t="str">
        <v>Algo-Stables</v>
      </c>
      <c r="D6624" t="str">
        <v>ZAI</v>
      </c>
      <c r="E6624">
        <v>0</v>
      </c>
      <c r="F6624">
        <v>73529893.954138145</v>
      </c>
    </row>
    <row r="6625" spans="2:6" ht="15.75" customHeight="1" x14ac:dyDescent="0.25">
      <c r="B6625" t="str">
        <v>ZAMM</v>
      </c>
      <c r="C6625" t="str">
        <v>Dexs</v>
      </c>
      <c r="D6625" t="str">
        <v>-</v>
      </c>
      <c r="E6625">
        <v>109970.75021115437</v>
      </c>
      <c r="F6625">
        <v>0</v>
      </c>
    </row>
    <row r="6626" spans="2:6" ht="15.75" customHeight="1" x14ac:dyDescent="0.25">
      <c r="B6626" t="str">
        <v>Zapfi</v>
      </c>
      <c r="C6626" t="str">
        <v>Privacy</v>
      </c>
      <c r="D6626" t="str">
        <v>-</v>
      </c>
      <c r="E6626">
        <v>0</v>
      </c>
      <c r="F6626">
        <v>0</v>
      </c>
    </row>
    <row r="6627" spans="2:6" ht="15.75" customHeight="1" x14ac:dyDescent="0.25">
      <c r="B6627" t="str">
        <v>Zappy</v>
      </c>
      <c r="C6627" t="str">
        <v>Dexs</v>
      </c>
      <c r="D6627" t="str">
        <v>ZAP</v>
      </c>
      <c r="E6627">
        <v>2831.6689926691079</v>
      </c>
      <c r="F6627">
        <v>0</v>
      </c>
    </row>
    <row r="6628" spans="2:6" ht="15.75" customHeight="1" x14ac:dyDescent="0.25">
      <c r="B6628" t="str">
        <v>Zapzy</v>
      </c>
      <c r="C6628" t="str">
        <v>Launchpad</v>
      </c>
      <c r="D6628" t="str">
        <v>-</v>
      </c>
      <c r="E6628">
        <v>0</v>
      </c>
      <c r="F6628">
        <v>0</v>
      </c>
    </row>
    <row r="6629" spans="2:6" ht="15.75" customHeight="1" x14ac:dyDescent="0.25">
      <c r="B6629" t="str">
        <v>Zarban</v>
      </c>
      <c r="C6629" t="str">
        <v>Lending</v>
      </c>
      <c r="D6629" t="str">
        <v>-</v>
      </c>
      <c r="E6629">
        <v>57866.867179289853</v>
      </c>
      <c r="F6629">
        <v>0</v>
      </c>
    </row>
    <row r="6630" spans="2:6" ht="15.75" customHeight="1" x14ac:dyDescent="0.25">
      <c r="B6630" t="str">
        <v>ZealousSwap</v>
      </c>
      <c r="C6630" t="str">
        <v>Dexs</v>
      </c>
      <c r="D6630" t="str">
        <v>ZEAL</v>
      </c>
      <c r="E6630">
        <v>394202.88274314796</v>
      </c>
      <c r="F6630">
        <v>580165.39202632755</v>
      </c>
    </row>
    <row r="6631" spans="2:6" ht="15.75" customHeight="1" x14ac:dyDescent="0.25">
      <c r="B6631" t="str">
        <v>Zearn Protocol</v>
      </c>
      <c r="C6631" t="str">
        <v>Liquid Staking</v>
      </c>
      <c r="D6631" t="str">
        <v>-</v>
      </c>
      <c r="E6631">
        <v>87449.02673879471</v>
      </c>
      <c r="F6631">
        <v>0</v>
      </c>
    </row>
    <row r="6632" spans="2:6" ht="15.75" customHeight="1" x14ac:dyDescent="0.25">
      <c r="B6632" t="str">
        <v>Zebra Protocol</v>
      </c>
      <c r="C6632" t="str">
        <v>CDP</v>
      </c>
      <c r="D6632" t="str">
        <v>-</v>
      </c>
      <c r="E6632">
        <v>2941.3328965502997</v>
      </c>
      <c r="F6632">
        <v>0</v>
      </c>
    </row>
    <row r="6633" spans="2:6" ht="15.75" customHeight="1" x14ac:dyDescent="0.25">
      <c r="B6633" t="str">
        <v>Zebra V1</v>
      </c>
      <c r="C6633" t="str">
        <v>Dexs</v>
      </c>
      <c r="D6633" t="str">
        <v>-</v>
      </c>
      <c r="E6633">
        <v>5345.8241316534859</v>
      </c>
      <c r="F6633">
        <v>0</v>
      </c>
    </row>
    <row r="6634" spans="2:6" ht="15.75" customHeight="1" x14ac:dyDescent="0.25">
      <c r="B6634" t="str">
        <v>Zebra V2</v>
      </c>
      <c r="C6634" t="str">
        <v>Dexs</v>
      </c>
      <c r="D6634" t="str">
        <v>-</v>
      </c>
      <c r="E6634">
        <v>78573.601577706373</v>
      </c>
      <c r="F6634">
        <v>0</v>
      </c>
    </row>
    <row r="6635" spans="2:6" ht="15.75" customHeight="1" x14ac:dyDescent="0.25">
      <c r="B6635" t="str">
        <v>ZebraDAO</v>
      </c>
      <c r="C6635" t="str">
        <v>Lending</v>
      </c>
      <c r="D6635" t="str">
        <v>ZEB</v>
      </c>
      <c r="E6635">
        <v>131142.40618255711</v>
      </c>
      <c r="F6635">
        <v>0</v>
      </c>
    </row>
    <row r="6636" spans="2:6" ht="15.75" customHeight="1" x14ac:dyDescent="0.25">
      <c r="B6636" t="str">
        <v>ZedaSwap</v>
      </c>
      <c r="C6636" t="str">
        <v>Dexs</v>
      </c>
      <c r="D6636" t="str">
        <v>-</v>
      </c>
      <c r="E6636">
        <v>1040.2020297784911</v>
      </c>
      <c r="F6636">
        <v>0</v>
      </c>
    </row>
    <row r="6637" spans="2:6" ht="15.75" customHeight="1" x14ac:dyDescent="0.25">
      <c r="B6637" t="str">
        <v>Zeebu</v>
      </c>
      <c r="C6637" t="str">
        <v>Farm</v>
      </c>
      <c r="D6637" t="str">
        <v>ZBU</v>
      </c>
      <c r="E6637">
        <v>0</v>
      </c>
      <c r="F6637">
        <v>0</v>
      </c>
    </row>
    <row r="6638" spans="2:6" ht="15.75" customHeight="1" x14ac:dyDescent="0.25">
      <c r="B6638" t="str">
        <v>Zeepr</v>
      </c>
      <c r="C6638" t="str">
        <v>Farm</v>
      </c>
      <c r="D6638" t="str">
        <v>ZEEP</v>
      </c>
      <c r="E6638">
        <v>0</v>
      </c>
      <c r="F6638">
        <v>0</v>
      </c>
    </row>
    <row r="6639" spans="2:6" ht="15.75" customHeight="1" x14ac:dyDescent="0.25">
      <c r="B6639" t="str">
        <v>Zena Finance</v>
      </c>
      <c r="C6639" t="str">
        <v>Dexs</v>
      </c>
      <c r="D6639" t="str">
        <v>ZEN</v>
      </c>
      <c r="E6639">
        <v>405.46761423091596</v>
      </c>
      <c r="F6639">
        <v>0</v>
      </c>
    </row>
    <row r="6640" spans="2:6" ht="15.75" customHeight="1" x14ac:dyDescent="0.25">
      <c r="B6640" t="str">
        <v>Zencha Finance</v>
      </c>
      <c r="C6640" t="str">
        <v>Dexs</v>
      </c>
      <c r="D6640" t="str">
        <v>ZENC</v>
      </c>
      <c r="E6640">
        <v>85920.219744789065</v>
      </c>
      <c r="F6640">
        <v>0</v>
      </c>
    </row>
    <row r="6641" spans="2:6" ht="15.75" customHeight="1" x14ac:dyDescent="0.25">
      <c r="B6641" t="str">
        <v>ZenDEX</v>
      </c>
      <c r="C6641" t="str">
        <v>CDP</v>
      </c>
      <c r="D6641" t="str">
        <v>-</v>
      </c>
      <c r="E6641">
        <v>536.8550008751605</v>
      </c>
      <c r="F6641">
        <v>0</v>
      </c>
    </row>
    <row r="6642" spans="2:6" ht="15.75" customHeight="1" x14ac:dyDescent="0.25">
      <c r="B6642" t="str">
        <v>ZenFinance</v>
      </c>
      <c r="C6642" t="str">
        <v>Yield</v>
      </c>
      <c r="D6642" t="str">
        <v>ARY</v>
      </c>
      <c r="E6642">
        <v>0.89341720221077803</v>
      </c>
      <c r="F6642">
        <v>13604.163332479577</v>
      </c>
    </row>
    <row r="6643" spans="2:6" ht="15.75" customHeight="1" x14ac:dyDescent="0.25">
      <c r="B6643" t="str">
        <v>Zeniq Swap</v>
      </c>
      <c r="C6643" t="str">
        <v>Dexs</v>
      </c>
      <c r="D6643" t="str">
        <v>ZENIQ</v>
      </c>
      <c r="E6643">
        <v>0</v>
      </c>
      <c r="F6643">
        <v>0</v>
      </c>
    </row>
    <row r="6644" spans="2:6" ht="15.75" customHeight="1" x14ac:dyDescent="0.25">
      <c r="B6644" t="str">
        <v>Zenith</v>
      </c>
      <c r="C6644" t="str">
        <v>Leveraged Farming</v>
      </c>
      <c r="D6644" t="str">
        <v>ZTH</v>
      </c>
      <c r="E6644">
        <v>3863.6277921384617</v>
      </c>
      <c r="F6644">
        <v>0</v>
      </c>
    </row>
    <row r="6645" spans="2:6" ht="15.75" customHeight="1" x14ac:dyDescent="0.25">
      <c r="B6645" t="str">
        <v>ZenithSwap</v>
      </c>
      <c r="C6645" t="str">
        <v>Dexs</v>
      </c>
      <c r="D6645" t="str">
        <v>ZSP</v>
      </c>
      <c r="E6645">
        <v>522.73792271665332</v>
      </c>
      <c r="F6645">
        <v>0</v>
      </c>
    </row>
    <row r="6646" spans="2:6" ht="15.75" customHeight="1" x14ac:dyDescent="0.25">
      <c r="B6646" t="str">
        <v>Zenlink AMM</v>
      </c>
      <c r="C6646" t="str">
        <v>Dexs</v>
      </c>
      <c r="D6646" t="str">
        <v>ZLK</v>
      </c>
      <c r="E6646">
        <v>193835.29764461581</v>
      </c>
      <c r="F6646">
        <v>0</v>
      </c>
    </row>
    <row r="6647" spans="2:6" ht="15.75" customHeight="1" x14ac:dyDescent="0.25">
      <c r="B6647" t="str">
        <v>Zeno Exchange</v>
      </c>
      <c r="C6647" t="str">
        <v>Derivatives</v>
      </c>
      <c r="D6647" t="str">
        <v>ALT</v>
      </c>
      <c r="E6647">
        <v>31456.446499920476</v>
      </c>
      <c r="F6647">
        <v>0</v>
      </c>
    </row>
    <row r="6648" spans="2:6" ht="15.75" customHeight="1" x14ac:dyDescent="0.25">
      <c r="B6648" t="str">
        <v>ZenoLend</v>
      </c>
      <c r="C6648" t="str">
        <v>Lending</v>
      </c>
      <c r="D6648" t="str">
        <v>-</v>
      </c>
      <c r="E6648">
        <v>3964.153499865607</v>
      </c>
      <c r="F6648">
        <v>0</v>
      </c>
    </row>
    <row r="6649" spans="2:6" ht="15.75" customHeight="1" x14ac:dyDescent="0.25">
      <c r="B6649" t="str">
        <v>Zenon Finance</v>
      </c>
      <c r="C6649" t="str">
        <v>Dexs</v>
      </c>
      <c r="D6649" t="str">
        <v>-</v>
      </c>
      <c r="E6649">
        <v>0</v>
      </c>
      <c r="F6649">
        <v>0</v>
      </c>
    </row>
    <row r="6650" spans="2:6" ht="15.75" customHeight="1" x14ac:dyDescent="0.25">
      <c r="B6650" t="str">
        <v>Zenrock Bridge</v>
      </c>
      <c r="C6650" t="str">
        <v>Bridge</v>
      </c>
      <c r="D6650" t="str">
        <v>ROCK</v>
      </c>
      <c r="E6650">
        <v>4740311.0058532711</v>
      </c>
      <c r="F6650">
        <v>0</v>
      </c>
    </row>
    <row r="6651" spans="2:6" ht="15.75" customHeight="1" x14ac:dyDescent="0.25">
      <c r="B6651" t="str">
        <v>Zerion Wallet</v>
      </c>
      <c r="C6651" t="str">
        <v>Wallets</v>
      </c>
      <c r="D6651" t="str">
        <v>-</v>
      </c>
      <c r="E6651">
        <v>0</v>
      </c>
      <c r="F6651">
        <v>0</v>
      </c>
    </row>
    <row r="6652" spans="2:6" ht="15.75" customHeight="1" x14ac:dyDescent="0.25">
      <c r="B6652" t="str">
        <v>Zero Network</v>
      </c>
      <c r="C6652" t="str">
        <v>Canonical Bridge</v>
      </c>
      <c r="D6652" t="str">
        <v>-</v>
      </c>
      <c r="E6652">
        <v>3352244.1701146136</v>
      </c>
      <c r="F6652">
        <v>0</v>
      </c>
    </row>
    <row r="6653" spans="2:6" ht="15.75" customHeight="1" x14ac:dyDescent="0.25">
      <c r="B6653" t="str">
        <v>Zero-G Finance</v>
      </c>
      <c r="C6653" t="str">
        <v>Liquid Restaking</v>
      </c>
      <c r="D6653" t="str">
        <v>-</v>
      </c>
      <c r="E6653">
        <v>3310.6841230477021</v>
      </c>
      <c r="F6653">
        <v>0</v>
      </c>
    </row>
    <row r="6654" spans="2:6" ht="15.75" customHeight="1" x14ac:dyDescent="0.25">
      <c r="B6654" t="str">
        <v>Zero1 Labs</v>
      </c>
      <c r="C6654" t="str">
        <v>Developer Tools</v>
      </c>
      <c r="D6654" t="str">
        <v>DEAI</v>
      </c>
      <c r="E6654">
        <v>0</v>
      </c>
      <c r="F6654">
        <v>1451612.8433030033</v>
      </c>
    </row>
    <row r="6655" spans="2:6" ht="15.75" customHeight="1" x14ac:dyDescent="0.25">
      <c r="B6655" t="str">
        <v>ZEROBASE CeDeFi</v>
      </c>
      <c r="C6655" t="str">
        <v>Basis Trading</v>
      </c>
      <c r="D6655" t="str">
        <v>ZBT</v>
      </c>
      <c r="E6655">
        <v>59840619.021645308</v>
      </c>
      <c r="F6655">
        <v>30586574.30311814</v>
      </c>
    </row>
    <row r="6656" spans="2:6" ht="15.75" customHeight="1" x14ac:dyDescent="0.25">
      <c r="B6656" t="str">
        <v>ZeroFi</v>
      </c>
      <c r="C6656" t="str">
        <v>Dexs</v>
      </c>
      <c r="D6656" t="str">
        <v>-</v>
      </c>
      <c r="E6656">
        <v>0</v>
      </c>
      <c r="F6656">
        <v>0</v>
      </c>
    </row>
    <row r="6657" spans="2:6" ht="15.75" customHeight="1" x14ac:dyDescent="0.25">
      <c r="B6657" t="str">
        <v>ZeroLend Lending</v>
      </c>
      <c r="C6657" t="str">
        <v>Lending</v>
      </c>
      <c r="D6657" t="str">
        <v>ZERO</v>
      </c>
      <c r="E6657">
        <v>7815134.2958002687</v>
      </c>
      <c r="F6657">
        <v>793620.96205354016</v>
      </c>
    </row>
    <row r="6658" spans="2:6" ht="15.75" customHeight="1" x14ac:dyDescent="0.25">
      <c r="B6658" t="str">
        <v>ZeroLend Vaults</v>
      </c>
      <c r="C6658" t="str">
        <v>Risk Curators</v>
      </c>
      <c r="D6658" t="str">
        <v>-</v>
      </c>
      <c r="E6658">
        <v>2208040.1161811291</v>
      </c>
      <c r="F6658">
        <v>0</v>
      </c>
    </row>
    <row r="6659" spans="2:6" ht="15.75" customHeight="1" x14ac:dyDescent="0.25">
      <c r="B6659" t="str">
        <v>ZeroLiquid</v>
      </c>
      <c r="C6659" t="str">
        <v>Synthetics</v>
      </c>
      <c r="D6659" t="str">
        <v>ZERO</v>
      </c>
      <c r="E6659">
        <v>6436.0736665093709</v>
      </c>
      <c r="F6659">
        <v>933311.98946400289</v>
      </c>
    </row>
    <row r="6660" spans="2:6" ht="15.75" customHeight="1" x14ac:dyDescent="0.25">
      <c r="B6660" t="str">
        <v>ZeroShift</v>
      </c>
      <c r="C6660" t="str">
        <v>Reserve Currency</v>
      </c>
      <c r="D6660" t="str">
        <v>ZRST</v>
      </c>
      <c r="E6660">
        <v>1.6233046219067378E-11</v>
      </c>
      <c r="F6660">
        <v>0</v>
      </c>
    </row>
    <row r="6661" spans="2:6" ht="15.75" customHeight="1" x14ac:dyDescent="0.25">
      <c r="B6661" t="str">
        <v>ZeroSwap</v>
      </c>
      <c r="C6661" t="str">
        <v>Dexs</v>
      </c>
      <c r="D6661" t="str">
        <v>ZEE</v>
      </c>
      <c r="E6661">
        <v>0</v>
      </c>
      <c r="F6661">
        <v>26869.594157667088</v>
      </c>
    </row>
    <row r="6662" spans="2:6" ht="15.75" customHeight="1" x14ac:dyDescent="0.25">
      <c r="B6662" t="str">
        <v>Zest</v>
      </c>
      <c r="C6662" t="str">
        <v>Lending</v>
      </c>
      <c r="D6662" t="str">
        <v>-</v>
      </c>
      <c r="E6662">
        <v>79499461.371024877</v>
      </c>
      <c r="F6662">
        <v>0</v>
      </c>
    </row>
    <row r="6663" spans="2:6" ht="15.75" customHeight="1" x14ac:dyDescent="0.25">
      <c r="B6663" t="str">
        <v>Zest Protocol</v>
      </c>
      <c r="C6663" t="str">
        <v>Synthetics</v>
      </c>
      <c r="D6663" t="str">
        <v>ZSP</v>
      </c>
      <c r="E6663">
        <v>0</v>
      </c>
      <c r="F6663">
        <v>0</v>
      </c>
    </row>
    <row r="6664" spans="2:6" ht="15.75" customHeight="1" x14ac:dyDescent="0.25">
      <c r="B6664" t="str">
        <v>Zeta</v>
      </c>
      <c r="C6664" t="str">
        <v>Derivatives</v>
      </c>
      <c r="D6664" t="str">
        <v>ZEX</v>
      </c>
      <c r="E6664">
        <v>0</v>
      </c>
      <c r="F6664">
        <v>12266075.123904195</v>
      </c>
    </row>
    <row r="6665" spans="2:6" ht="15.75" customHeight="1" x14ac:dyDescent="0.25">
      <c r="B6665" t="str">
        <v>Zethr</v>
      </c>
      <c r="C6665" t="str">
        <v>Prediction Market</v>
      </c>
      <c r="D6665" t="str">
        <v>-</v>
      </c>
      <c r="E6665">
        <v>876088.03784361854</v>
      </c>
      <c r="F6665">
        <v>0</v>
      </c>
    </row>
    <row r="6666" spans="2:6" ht="15.75" customHeight="1" x14ac:dyDescent="0.25">
      <c r="B6666" t="str">
        <v>Zeus btcSOL</v>
      </c>
      <c r="C6666" t="str">
        <v>Liquid Restaking</v>
      </c>
      <c r="D6666" t="str">
        <v>-</v>
      </c>
      <c r="E6666">
        <v>1409527.6787774991</v>
      </c>
      <c r="F6666">
        <v>0</v>
      </c>
    </row>
    <row r="6667" spans="2:6" ht="15.75" customHeight="1" x14ac:dyDescent="0.25">
      <c r="B6667" t="str">
        <v>Zeus Finance</v>
      </c>
      <c r="C6667" t="str">
        <v>Yield</v>
      </c>
      <c r="D6667" t="str">
        <v>ZEU$</v>
      </c>
      <c r="E6667">
        <v>1043.0851700102614</v>
      </c>
      <c r="F6667">
        <v>0</v>
      </c>
    </row>
    <row r="6668" spans="2:6" ht="15.75" customHeight="1" x14ac:dyDescent="0.25">
      <c r="B6668" t="str">
        <v>Zeus Network</v>
      </c>
      <c r="C6668" t="str">
        <v>Decentralized BTC</v>
      </c>
      <c r="D6668" t="str">
        <v>ZEUS</v>
      </c>
      <c r="E6668">
        <v>19379951.254382938</v>
      </c>
      <c r="F6668">
        <v>17301701.930823792</v>
      </c>
    </row>
    <row r="6669" spans="2:6" ht="15.75" customHeight="1" x14ac:dyDescent="0.25">
      <c r="B6669" t="str">
        <v>Zharta</v>
      </c>
      <c r="C6669" t="str">
        <v>NFT Lending</v>
      </c>
      <c r="D6669" t="str">
        <v>-</v>
      </c>
      <c r="E6669">
        <v>5.7058911561639443</v>
      </c>
      <c r="F6669">
        <v>0</v>
      </c>
    </row>
    <row r="6670" spans="2:6" ht="15.75" customHeight="1" x14ac:dyDescent="0.25">
      <c r="B6670" t="str">
        <v>ZigZag</v>
      </c>
      <c r="C6670" t="str">
        <v>Dexs</v>
      </c>
      <c r="D6670" t="str">
        <v>ZZ</v>
      </c>
      <c r="E6670">
        <v>2873.8577461012669</v>
      </c>
      <c r="F6670">
        <v>0</v>
      </c>
    </row>
    <row r="6671" spans="2:6" ht="15.75" customHeight="1" x14ac:dyDescent="0.25">
      <c r="B6671" t="str">
        <v>Zilch Capital</v>
      </c>
      <c r="C6671" t="str">
        <v>Dexs</v>
      </c>
      <c r="D6671" t="str">
        <v>ZCH</v>
      </c>
      <c r="E6671">
        <v>0</v>
      </c>
      <c r="F6671">
        <v>0</v>
      </c>
    </row>
    <row r="6672" spans="2:6" ht="15.75" customHeight="1" x14ac:dyDescent="0.25">
      <c r="B6672" t="str">
        <v>ZilSwap</v>
      </c>
      <c r="C6672" t="str">
        <v>Dexs</v>
      </c>
      <c r="D6672" t="str">
        <v>ZWAP</v>
      </c>
      <c r="E6672">
        <v>301778.15456060297</v>
      </c>
      <c r="F6672">
        <v>0</v>
      </c>
    </row>
    <row r="6673" spans="2:6" ht="15.75" customHeight="1" x14ac:dyDescent="0.25">
      <c r="B6673" t="str">
        <v>Zinax DAO</v>
      </c>
      <c r="C6673" t="str">
        <v>Farm</v>
      </c>
      <c r="D6673" t="str">
        <v>ZINAX</v>
      </c>
      <c r="E6673">
        <v>1201.5323904031775</v>
      </c>
      <c r="F6673">
        <v>0</v>
      </c>
    </row>
    <row r="6674" spans="2:6" ht="15.75" customHeight="1" x14ac:dyDescent="0.25">
      <c r="B6674" t="str">
        <v>Zino Finance</v>
      </c>
      <c r="C6674" t="str">
        <v>Yield Aggregator</v>
      </c>
      <c r="D6674" t="str">
        <v>-</v>
      </c>
      <c r="E6674">
        <v>48615.678551403878</v>
      </c>
      <c r="F6674">
        <v>0</v>
      </c>
    </row>
    <row r="6675" spans="2:6" ht="15.75" customHeight="1" x14ac:dyDescent="0.25">
      <c r="B6675" t="str">
        <v>ZipSwap</v>
      </c>
      <c r="C6675" t="str">
        <v>Dexs</v>
      </c>
      <c r="D6675" t="str">
        <v>ZIP</v>
      </c>
      <c r="E6675">
        <v>114414.03002642399</v>
      </c>
      <c r="F6675">
        <v>0</v>
      </c>
    </row>
    <row r="6676" spans="2:6" ht="15.75" customHeight="1" x14ac:dyDescent="0.25">
      <c r="B6676" t="str">
        <v>Zircon Gamma</v>
      </c>
      <c r="C6676" t="str">
        <v>Dexs</v>
      </c>
      <c r="D6676" t="str">
        <v>ZRG</v>
      </c>
      <c r="E6676">
        <v>2.5479919906180601</v>
      </c>
      <c r="F6676">
        <v>0</v>
      </c>
    </row>
    <row r="6677" spans="2:6" ht="15.75" customHeight="1" x14ac:dyDescent="0.25">
      <c r="B6677" t="str">
        <v>Zircuit</v>
      </c>
      <c r="C6677" t="str">
        <v>Canonical Bridge</v>
      </c>
      <c r="D6677" t="str">
        <v>ZRC</v>
      </c>
      <c r="E6677">
        <v>10649407.117834114</v>
      </c>
      <c r="F6677">
        <v>8763180.9253359176</v>
      </c>
    </row>
    <row r="6678" spans="2:6" ht="15.75" customHeight="1" x14ac:dyDescent="0.25">
      <c r="B6678" t="str">
        <v>Zircuit Staking</v>
      </c>
      <c r="C6678" t="str">
        <v>Farm</v>
      </c>
      <c r="D6678" t="str">
        <v>-</v>
      </c>
      <c r="E6678">
        <v>301655535.21264589</v>
      </c>
      <c r="F6678">
        <v>0</v>
      </c>
    </row>
    <row r="6679" spans="2:6" ht="15.75" customHeight="1" x14ac:dyDescent="0.25">
      <c r="B6679" t="str">
        <v>Zivoe</v>
      </c>
      <c r="C6679" t="str">
        <v>RWA</v>
      </c>
      <c r="D6679" t="str">
        <v>ZVE</v>
      </c>
      <c r="E6679">
        <v>289690.27938730334</v>
      </c>
      <c r="F6679">
        <v>0</v>
      </c>
    </row>
    <row r="6680" spans="2:6" ht="15.75" customHeight="1" x14ac:dyDescent="0.25">
      <c r="B6680" t="str">
        <v>zk-Swap</v>
      </c>
      <c r="C6680" t="str">
        <v>Dexs</v>
      </c>
      <c r="D6680" t="str">
        <v>ZKSP</v>
      </c>
      <c r="E6680">
        <v>4536.4814667800656</v>
      </c>
      <c r="F6680">
        <v>0</v>
      </c>
    </row>
    <row r="6681" spans="2:6" ht="15.75" customHeight="1" x14ac:dyDescent="0.25">
      <c r="B6681" t="str">
        <v>ZKasino</v>
      </c>
      <c r="C6681" t="str">
        <v>Prediction Market</v>
      </c>
      <c r="D6681" t="str">
        <v>-</v>
      </c>
      <c r="E6681">
        <v>987.00618523681828</v>
      </c>
      <c r="F6681">
        <v>0</v>
      </c>
    </row>
    <row r="6682" spans="2:6" ht="15.75" customHeight="1" x14ac:dyDescent="0.25">
      <c r="B6682" t="str">
        <v>ZKBase</v>
      </c>
      <c r="C6682" t="str">
        <v>Dexs</v>
      </c>
      <c r="D6682" t="str">
        <v>ZKB</v>
      </c>
      <c r="E6682">
        <v>40153.032115681592</v>
      </c>
      <c r="F6682">
        <v>44666.912523001622</v>
      </c>
    </row>
    <row r="6683" spans="2:6" ht="15.75" customHeight="1" x14ac:dyDescent="0.25">
      <c r="B6683" t="str">
        <v>zkBob</v>
      </c>
      <c r="C6683" t="str">
        <v>Privacy</v>
      </c>
      <c r="D6683" t="str">
        <v>-</v>
      </c>
      <c r="E6683">
        <v>319766.12485618866</v>
      </c>
      <c r="F6683">
        <v>0</v>
      </c>
    </row>
    <row r="6684" spans="2:6" ht="15.75" customHeight="1" x14ac:dyDescent="0.25">
      <c r="B6684" t="str">
        <v>zkBoost</v>
      </c>
      <c r="C6684" t="str">
        <v>Launchpad</v>
      </c>
      <c r="D6684" t="str">
        <v>ZKB</v>
      </c>
      <c r="E6684">
        <v>10563.464548700817</v>
      </c>
      <c r="F6684">
        <v>0</v>
      </c>
    </row>
    <row r="6685" spans="2:6" ht="15.75" customHeight="1" x14ac:dyDescent="0.25">
      <c r="B6685" t="str">
        <v>ZKcandy Bridge</v>
      </c>
      <c r="C6685" t="str">
        <v>Canonical Bridge</v>
      </c>
      <c r="D6685" t="str">
        <v>-</v>
      </c>
      <c r="E6685">
        <v>80117.851144490225</v>
      </c>
      <c r="F6685">
        <v>0</v>
      </c>
    </row>
    <row r="6686" spans="2:6" ht="15.75" customHeight="1" x14ac:dyDescent="0.25">
      <c r="B6686" t="str">
        <v>zkDefi</v>
      </c>
      <c r="C6686" t="str">
        <v>Dexs</v>
      </c>
      <c r="D6686" t="str">
        <v>-</v>
      </c>
      <c r="E6686">
        <v>61.228514095782607</v>
      </c>
      <c r="F6686">
        <v>0</v>
      </c>
    </row>
    <row r="6687" spans="2:6" ht="15.75" customHeight="1" x14ac:dyDescent="0.25">
      <c r="B6687" t="str">
        <v>zkDX</v>
      </c>
      <c r="C6687" t="str">
        <v>Farm</v>
      </c>
      <c r="D6687" t="str">
        <v>ZKDLP</v>
      </c>
      <c r="E6687">
        <v>77734.486626996048</v>
      </c>
      <c r="F6687">
        <v>0</v>
      </c>
    </row>
    <row r="6688" spans="2:6" ht="15.75" customHeight="1" x14ac:dyDescent="0.25">
      <c r="B6688" t="str">
        <v>zkEra Finance</v>
      </c>
      <c r="C6688" t="str">
        <v>Derivatives</v>
      </c>
      <c r="D6688" t="str">
        <v>ZKE</v>
      </c>
      <c r="E6688">
        <v>10178.741731760829</v>
      </c>
      <c r="F6688">
        <v>0</v>
      </c>
    </row>
    <row r="6689" spans="2:6" ht="15.75" customHeight="1" x14ac:dyDescent="0.25">
      <c r="B6689" t="str">
        <v>zkEVMSwap</v>
      </c>
      <c r="C6689" t="str">
        <v>Dexs</v>
      </c>
      <c r="D6689" t="str">
        <v>-</v>
      </c>
      <c r="E6689">
        <v>3526.7615697572783</v>
      </c>
      <c r="F6689">
        <v>0</v>
      </c>
    </row>
    <row r="6690" spans="2:6" ht="15.75" customHeight="1" x14ac:dyDescent="0.25">
      <c r="B6690" t="str">
        <v>ZKEX</v>
      </c>
      <c r="C6690" t="str">
        <v>Dexs</v>
      </c>
      <c r="D6690" t="str">
        <v>-</v>
      </c>
      <c r="E6690">
        <v>2.0458722980490127</v>
      </c>
      <c r="F6690">
        <v>0</v>
      </c>
    </row>
    <row r="6691" spans="2:6" ht="15.75" customHeight="1" x14ac:dyDescent="0.25">
      <c r="B6691" t="str">
        <v>Zkfair</v>
      </c>
      <c r="C6691" t="str">
        <v>Canonical Bridge</v>
      </c>
      <c r="D6691" t="str">
        <v>ZKF</v>
      </c>
      <c r="E6691">
        <v>77.858433517478929</v>
      </c>
      <c r="F6691">
        <v>214935.5</v>
      </c>
    </row>
    <row r="6692" spans="2:6" ht="15.75" customHeight="1" x14ac:dyDescent="0.25">
      <c r="B6692" t="str">
        <v>ZKFairSwap</v>
      </c>
      <c r="C6692" t="str">
        <v>Dexs</v>
      </c>
      <c r="D6692" t="str">
        <v>ZKS</v>
      </c>
      <c r="E6692">
        <v>264.46676531060928</v>
      </c>
      <c r="F6692">
        <v>0</v>
      </c>
    </row>
    <row r="6693" spans="2:6" ht="15.75" customHeight="1" x14ac:dyDescent="0.25">
      <c r="B6693" t="str">
        <v>zkFinance</v>
      </c>
      <c r="C6693" t="str">
        <v>Lending</v>
      </c>
      <c r="D6693" t="str">
        <v>ZGT</v>
      </c>
      <c r="E6693">
        <v>24989.516525260431</v>
      </c>
      <c r="F6693">
        <v>0</v>
      </c>
    </row>
    <row r="6694" spans="2:6" ht="15.75" customHeight="1" x14ac:dyDescent="0.25">
      <c r="B6694" t="str">
        <v>zkFox</v>
      </c>
      <c r="C6694" t="str">
        <v>Leveraged Farming</v>
      </c>
      <c r="D6694" t="str">
        <v>ZKFOX</v>
      </c>
      <c r="E6694">
        <v>47.948889791195256</v>
      </c>
      <c r="F6694">
        <v>0</v>
      </c>
    </row>
    <row r="6695" spans="2:6" ht="15.75" customHeight="1" x14ac:dyDescent="0.25">
      <c r="B6695" t="str">
        <v>zkLend</v>
      </c>
      <c r="C6695" t="str">
        <v>Lending</v>
      </c>
      <c r="D6695" t="str">
        <v>ZEND</v>
      </c>
      <c r="E6695">
        <v>0</v>
      </c>
      <c r="F6695">
        <v>0</v>
      </c>
    </row>
    <row r="6696" spans="2:6" ht="15.75" customHeight="1" x14ac:dyDescent="0.25">
      <c r="B6696" t="str">
        <v>zkLend LST</v>
      </c>
      <c r="C6696" t="str">
        <v>Liquid Staking</v>
      </c>
      <c r="D6696" t="str">
        <v>ZEND</v>
      </c>
      <c r="E6696">
        <v>387.26683570679359</v>
      </c>
      <c r="F6696">
        <v>0</v>
      </c>
    </row>
    <row r="6697" spans="2:6" ht="15.75" customHeight="1" x14ac:dyDescent="0.25">
      <c r="B6697" t="str">
        <v>zkLite Exchange</v>
      </c>
      <c r="C6697" t="str">
        <v>Dexs</v>
      </c>
      <c r="D6697" t="str">
        <v>-</v>
      </c>
      <c r="E6697">
        <v>0</v>
      </c>
      <c r="F6697">
        <v>0</v>
      </c>
    </row>
    <row r="6698" spans="2:6" ht="15.75" customHeight="1" x14ac:dyDescent="0.25">
      <c r="B6698" t="str">
        <v>zkMoonSwap</v>
      </c>
      <c r="C6698" t="str">
        <v>Dexs</v>
      </c>
      <c r="D6698" t="str">
        <v>MOON</v>
      </c>
      <c r="E6698">
        <v>25449.036366800618</v>
      </c>
      <c r="F6698">
        <v>0</v>
      </c>
    </row>
    <row r="6699" spans="2:6" ht="15.75" customHeight="1" x14ac:dyDescent="0.25">
      <c r="B6699" t="str">
        <v>ZKP2P</v>
      </c>
      <c r="C6699" t="str">
        <v>Payments</v>
      </c>
      <c r="D6699" t="str">
        <v>-</v>
      </c>
      <c r="E6699">
        <v>102580.23520045106</v>
      </c>
      <c r="F6699">
        <v>0</v>
      </c>
    </row>
    <row r="6700" spans="2:6" ht="15.75" customHeight="1" x14ac:dyDescent="0.25">
      <c r="B6700" t="str">
        <v>Zks Miner</v>
      </c>
      <c r="C6700" t="str">
        <v>Ponzi</v>
      </c>
      <c r="D6700" t="str">
        <v>-</v>
      </c>
      <c r="E6700">
        <v>0</v>
      </c>
      <c r="F6700">
        <v>0</v>
      </c>
    </row>
    <row r="6701" spans="2:6" ht="15.75" customHeight="1" x14ac:dyDescent="0.25">
      <c r="B6701" t="str">
        <v>zkSwap Era</v>
      </c>
      <c r="C6701" t="str">
        <v>Dexs</v>
      </c>
      <c r="D6701" t="str">
        <v>ZKS</v>
      </c>
      <c r="E6701">
        <v>698.92826049629252</v>
      </c>
      <c r="F6701">
        <v>0</v>
      </c>
    </row>
    <row r="6702" spans="2:6" ht="15.75" customHeight="1" x14ac:dyDescent="0.25">
      <c r="B6702" t="str">
        <v>zkSwap StableSwap</v>
      </c>
      <c r="C6702" t="str">
        <v>Dexs</v>
      </c>
      <c r="D6702" t="str">
        <v>ZF</v>
      </c>
      <c r="E6702">
        <v>86631.039665705001</v>
      </c>
      <c r="F6702">
        <v>0</v>
      </c>
    </row>
    <row r="6703" spans="2:6" ht="15.75" customHeight="1" x14ac:dyDescent="0.25">
      <c r="B6703" t="str">
        <v>zkSwap V2</v>
      </c>
      <c r="C6703" t="str">
        <v>Dexs</v>
      </c>
      <c r="D6703" t="str">
        <v>ZF</v>
      </c>
      <c r="E6703">
        <v>1096584.8510590226</v>
      </c>
      <c r="F6703">
        <v>0</v>
      </c>
    </row>
    <row r="6704" spans="2:6" ht="15.75" customHeight="1" x14ac:dyDescent="0.25">
      <c r="B6704" t="str">
        <v>zkSwap V3</v>
      </c>
      <c r="C6704" t="str">
        <v>Dexs</v>
      </c>
      <c r="D6704" t="str">
        <v>ZF</v>
      </c>
      <c r="E6704">
        <v>741971.41810243856</v>
      </c>
      <c r="F6704">
        <v>0</v>
      </c>
    </row>
    <row r="6705" spans="2:6" ht="15.75" customHeight="1" x14ac:dyDescent="0.25">
      <c r="B6705" t="str">
        <v>zkSync Era txBridge</v>
      </c>
      <c r="C6705" t="str">
        <v>Canonical Bridge</v>
      </c>
      <c r="D6705" t="str">
        <v>-</v>
      </c>
      <c r="E6705">
        <v>177684130.73663288</v>
      </c>
      <c r="F6705">
        <v>0</v>
      </c>
    </row>
    <row r="6706" spans="2:6" ht="15.75" customHeight="1" x14ac:dyDescent="0.25">
      <c r="B6706" t="str">
        <v>zkSync Lite Bridge</v>
      </c>
      <c r="C6706" t="str">
        <v>Canonical Bridge</v>
      </c>
      <c r="D6706" t="str">
        <v>-</v>
      </c>
      <c r="E6706">
        <v>48358836.008050494</v>
      </c>
      <c r="F6706">
        <v>0</v>
      </c>
    </row>
    <row r="6707" spans="2:6" ht="15.75" customHeight="1" x14ac:dyDescent="0.25">
      <c r="B6707" t="str">
        <v>ZKSynth</v>
      </c>
      <c r="C6707" t="str">
        <v>Synthetics</v>
      </c>
      <c r="D6707" t="str">
        <v>-</v>
      </c>
      <c r="E6707">
        <v>0</v>
      </c>
      <c r="F6707">
        <v>0</v>
      </c>
    </row>
    <row r="6708" spans="2:6" ht="15.75" customHeight="1" x14ac:dyDescent="0.25">
      <c r="B6708" t="str">
        <v>zkUSD</v>
      </c>
      <c r="C6708" t="str">
        <v>CDP</v>
      </c>
      <c r="D6708" t="str">
        <v>-</v>
      </c>
      <c r="E6708">
        <v>9926.6307091175604</v>
      </c>
      <c r="F6708">
        <v>0</v>
      </c>
    </row>
    <row r="6709" spans="2:6" ht="15.75" customHeight="1" x14ac:dyDescent="0.25">
      <c r="B6709" t="str">
        <v>ZKX</v>
      </c>
      <c r="C6709" t="str">
        <v>Derivatives</v>
      </c>
      <c r="D6709" t="str">
        <v>-</v>
      </c>
      <c r="E6709">
        <v>754.48074436946979</v>
      </c>
      <c r="F6709">
        <v>0</v>
      </c>
    </row>
    <row r="6710" spans="2:6" ht="15.75" customHeight="1" x14ac:dyDescent="0.25">
      <c r="B6710" t="str">
        <v>zLot</v>
      </c>
      <c r="C6710" t="str">
        <v>Liquid Staking</v>
      </c>
      <c r="D6710" t="str">
        <v>-</v>
      </c>
      <c r="E6710">
        <v>43572.380613830253</v>
      </c>
      <c r="F6710">
        <v>0</v>
      </c>
    </row>
    <row r="6711" spans="2:6" ht="15.75" customHeight="1" x14ac:dyDescent="0.25">
      <c r="B6711" t="str">
        <v>ZNS Connect</v>
      </c>
      <c r="C6711" t="str">
        <v>Domains</v>
      </c>
      <c r="D6711" t="str">
        <v>-</v>
      </c>
      <c r="E6711">
        <v>0</v>
      </c>
      <c r="F6711">
        <v>0</v>
      </c>
    </row>
    <row r="6712" spans="2:6" ht="15.75" customHeight="1" x14ac:dyDescent="0.25">
      <c r="B6712" t="str">
        <v>ZO Perps</v>
      </c>
      <c r="C6712" t="str">
        <v>Derivatives</v>
      </c>
      <c r="D6712" t="str">
        <v>-</v>
      </c>
      <c r="E6712">
        <v>959892.34376544447</v>
      </c>
      <c r="F6712">
        <v>0</v>
      </c>
    </row>
    <row r="6713" spans="2:6" ht="15.75" customHeight="1" x14ac:dyDescent="0.25">
      <c r="B6713" t="str">
        <v>ZodiacDAO</v>
      </c>
      <c r="C6713" t="str">
        <v>Reserve Currency</v>
      </c>
      <c r="D6713" t="str">
        <v>ZD</v>
      </c>
      <c r="E6713">
        <v>0</v>
      </c>
      <c r="F6713">
        <v>0</v>
      </c>
    </row>
    <row r="6714" spans="2:6" ht="15.75" customHeight="1" x14ac:dyDescent="0.25">
      <c r="B6714" t="str">
        <v>Zolidly Finance</v>
      </c>
      <c r="C6714" t="str">
        <v>Dexs</v>
      </c>
      <c r="D6714" t="str">
        <v>ZOLID</v>
      </c>
      <c r="E6714">
        <v>437.2262650454295</v>
      </c>
      <c r="F6714">
        <v>0</v>
      </c>
    </row>
    <row r="6715" spans="2:6" ht="15.75" customHeight="1" x14ac:dyDescent="0.25">
      <c r="B6715" t="str">
        <v>Zomb2 Finance</v>
      </c>
      <c r="C6715" t="str">
        <v>Algo-Stables</v>
      </c>
      <c r="D6715" t="str">
        <v>ZOMB2</v>
      </c>
      <c r="E6715">
        <v>0</v>
      </c>
      <c r="F6715">
        <v>0</v>
      </c>
    </row>
    <row r="6716" spans="2:6" ht="15.75" customHeight="1" x14ac:dyDescent="0.25">
      <c r="B6716" t="str">
        <v>Zombi Finance</v>
      </c>
      <c r="C6716" t="str">
        <v>Algo-Stables</v>
      </c>
      <c r="D6716" t="str">
        <v>ZOMB</v>
      </c>
      <c r="E6716">
        <v>0</v>
      </c>
      <c r="F6716">
        <v>0</v>
      </c>
    </row>
    <row r="6717" spans="2:6" ht="15.75" customHeight="1" x14ac:dyDescent="0.25">
      <c r="B6717" t="str">
        <v>Zombie Network</v>
      </c>
      <c r="C6717" t="str">
        <v>Yield</v>
      </c>
      <c r="D6717" t="str">
        <v>BLOOD</v>
      </c>
      <c r="E6717">
        <v>0</v>
      </c>
      <c r="F6717">
        <v>0</v>
      </c>
    </row>
    <row r="6718" spans="2:6" ht="15.75" customHeight="1" x14ac:dyDescent="0.25">
      <c r="B6718" t="str">
        <v>Zomma Protocol</v>
      </c>
      <c r="C6718" t="str">
        <v>Options</v>
      </c>
      <c r="D6718" t="str">
        <v>-</v>
      </c>
      <c r="E6718">
        <v>377520.90616150113</v>
      </c>
      <c r="F6718">
        <v>0</v>
      </c>
    </row>
    <row r="6719" spans="2:6" ht="15.75" customHeight="1" x14ac:dyDescent="0.25">
      <c r="B6719" t="str">
        <v>Zonic</v>
      </c>
      <c r="C6719" t="str">
        <v>NFT Marketplace</v>
      </c>
      <c r="D6719" t="str">
        <v>-</v>
      </c>
      <c r="E6719">
        <v>0</v>
      </c>
      <c r="F6719">
        <v>0</v>
      </c>
    </row>
    <row r="6720" spans="2:6" ht="15.75" customHeight="1" x14ac:dyDescent="0.25">
      <c r="B6720" t="str">
        <v>Zoo Finance</v>
      </c>
      <c r="C6720" t="str">
        <v>Yield</v>
      </c>
      <c r="D6720" t="str">
        <v>-</v>
      </c>
      <c r="E6720">
        <v>29259040.509180378</v>
      </c>
      <c r="F6720">
        <v>0</v>
      </c>
    </row>
    <row r="6721" spans="2:6" ht="15.75" customHeight="1" x14ac:dyDescent="0.25">
      <c r="B6721" t="str">
        <v>ZOO.FUN</v>
      </c>
      <c r="C6721" t="str">
        <v>Launchpad</v>
      </c>
      <c r="D6721" t="str">
        <v>-</v>
      </c>
      <c r="E6721">
        <v>25682.392395635492</v>
      </c>
      <c r="F6721">
        <v>0</v>
      </c>
    </row>
    <row r="6722" spans="2:6" ht="15.75" customHeight="1" x14ac:dyDescent="0.25">
      <c r="B6722" t="str">
        <v>ZooCoin</v>
      </c>
      <c r="C6722" t="str">
        <v>Dexs</v>
      </c>
      <c r="D6722" t="str">
        <v>ZOO</v>
      </c>
      <c r="E6722">
        <v>8934.0589649257399</v>
      </c>
      <c r="F6722">
        <v>0</v>
      </c>
    </row>
    <row r="6723" spans="2:6" ht="15.75" customHeight="1" x14ac:dyDescent="0.25">
      <c r="B6723" t="str">
        <v>ZooDAO</v>
      </c>
      <c r="C6723" t="str">
        <v>Yield</v>
      </c>
      <c r="D6723" t="str">
        <v>ZOO</v>
      </c>
      <c r="E6723">
        <v>9044.6737158274154</v>
      </c>
      <c r="F6723">
        <v>0</v>
      </c>
    </row>
    <row r="6724" spans="2:6" ht="15.75" customHeight="1" x14ac:dyDescent="0.25">
      <c r="B6724" t="str">
        <v>Zookeeper</v>
      </c>
      <c r="C6724" t="str">
        <v>Yield</v>
      </c>
      <c r="D6724" t="str">
        <v>ZOO</v>
      </c>
      <c r="E6724">
        <v>0</v>
      </c>
      <c r="F6724">
        <v>127314.07566928386</v>
      </c>
    </row>
    <row r="6725" spans="2:6" ht="15.75" customHeight="1" x14ac:dyDescent="0.25">
      <c r="B6725" t="str">
        <v>ZoomSwap</v>
      </c>
      <c r="C6725" t="str">
        <v>Farm</v>
      </c>
      <c r="D6725" t="str">
        <v>ZM</v>
      </c>
      <c r="E6725">
        <v>961881.85706070391</v>
      </c>
      <c r="F6725">
        <v>0.40867968450238745</v>
      </c>
    </row>
    <row r="6726" spans="2:6" ht="15.75" customHeight="1" x14ac:dyDescent="0.25">
      <c r="B6726" t="str">
        <v>Zootopia Finance</v>
      </c>
      <c r="C6726" t="str">
        <v>Dexs</v>
      </c>
      <c r="D6726" t="str">
        <v>ZTP</v>
      </c>
      <c r="E6726">
        <v>0</v>
      </c>
      <c r="F6726">
        <v>0</v>
      </c>
    </row>
    <row r="6727" spans="2:6" ht="15.75" customHeight="1" x14ac:dyDescent="0.25">
      <c r="B6727" t="str">
        <v>Zora Bridge</v>
      </c>
      <c r="C6727" t="str">
        <v>Canonical Bridge</v>
      </c>
      <c r="D6727" t="str">
        <v>ZORA</v>
      </c>
      <c r="E6727">
        <v>8881776.014093915</v>
      </c>
      <c r="F6727">
        <v>0</v>
      </c>
    </row>
    <row r="6728" spans="2:6" ht="15.75" customHeight="1" x14ac:dyDescent="0.25">
      <c r="B6728" t="str">
        <v>ZORA Coins</v>
      </c>
      <c r="C6728" t="str">
        <v>Launchpad</v>
      </c>
      <c r="D6728" t="str">
        <v>ZORA</v>
      </c>
      <c r="E6728">
        <v>0</v>
      </c>
      <c r="F6728">
        <v>0</v>
      </c>
    </row>
    <row r="6729" spans="2:6" ht="15.75" customHeight="1" x14ac:dyDescent="0.25">
      <c r="B6729" t="str">
        <v>ZORA Marketplace</v>
      </c>
      <c r="C6729" t="str">
        <v>NFT Marketplace</v>
      </c>
      <c r="D6729" t="str">
        <v>ZORA</v>
      </c>
      <c r="E6729">
        <v>0</v>
      </c>
      <c r="F6729">
        <v>0</v>
      </c>
    </row>
    <row r="6730" spans="2:6" ht="15.75" customHeight="1" x14ac:dyDescent="0.25">
      <c r="B6730" t="str">
        <v>ZORB</v>
      </c>
      <c r="C6730" t="str">
        <v>Gamified Mining</v>
      </c>
      <c r="D6730" t="str">
        <v>ZORB</v>
      </c>
      <c r="E6730">
        <v>0</v>
      </c>
      <c r="F6730">
        <v>0</v>
      </c>
    </row>
    <row r="6731" spans="2:6" ht="15.75" customHeight="1" x14ac:dyDescent="0.25">
      <c r="B6731" t="str">
        <v>Zoro Protocol</v>
      </c>
      <c r="C6731" t="str">
        <v>Lending</v>
      </c>
      <c r="D6731" t="str">
        <v>-</v>
      </c>
      <c r="E6731">
        <v>20928.763485421037</v>
      </c>
      <c r="F6731">
        <v>0</v>
      </c>
    </row>
    <row r="6732" spans="2:6" ht="15.75" customHeight="1" x14ac:dyDescent="0.25">
      <c r="B6732" t="str">
        <v>Zoth ZeUSD</v>
      </c>
      <c r="C6732" t="str">
        <v>CDP</v>
      </c>
      <c r="D6732" t="str">
        <v>-</v>
      </c>
      <c r="E6732">
        <v>3.5596420490761123E-5</v>
      </c>
      <c r="F6732">
        <v>0</v>
      </c>
    </row>
    <row r="6733" spans="2:6" ht="15.75" customHeight="1" x14ac:dyDescent="0.25">
      <c r="B6733" t="str">
        <v>Zoth ZTLN</v>
      </c>
      <c r="C6733" t="str">
        <v>RWA</v>
      </c>
      <c r="D6733" t="str">
        <v>ZTLN</v>
      </c>
      <c r="E6733">
        <v>0</v>
      </c>
      <c r="F6733">
        <v>0</v>
      </c>
    </row>
    <row r="6734" spans="2:6" ht="15.75" customHeight="1" x14ac:dyDescent="0.25">
      <c r="B6734" t="str">
        <v>ZTLN-P</v>
      </c>
      <c r="C6734" t="str">
        <v>RWA</v>
      </c>
      <c r="D6734" t="str">
        <v>-</v>
      </c>
      <c r="E6734">
        <v>2198599.8155305726</v>
      </c>
      <c r="F6734">
        <v>0</v>
      </c>
    </row>
    <row r="6735" spans="2:6" ht="15.75" customHeight="1" x14ac:dyDescent="0.25">
      <c r="B6735" t="str">
        <v>Zuit Swap</v>
      </c>
      <c r="C6735" t="str">
        <v>Dexs</v>
      </c>
      <c r="D6735" t="str">
        <v>-</v>
      </c>
      <c r="E6735">
        <v>545336.08678920905</v>
      </c>
      <c r="F6735">
        <v>0</v>
      </c>
    </row>
    <row r="6736" spans="2:6" ht="15.75" customHeight="1" x14ac:dyDescent="0.25">
      <c r="B6736" t="str">
        <v>ZukeSwap</v>
      </c>
      <c r="C6736" t="str">
        <v>Dexs</v>
      </c>
      <c r="D6736" t="str">
        <v>ZUKE</v>
      </c>
      <c r="E6736">
        <v>298.23613262255282</v>
      </c>
      <c r="F6736">
        <v>0</v>
      </c>
    </row>
    <row r="6737" spans="2:6" ht="15.75" customHeight="1" x14ac:dyDescent="0.25">
      <c r="B6737" t="str">
        <v>Zunami Protocol</v>
      </c>
      <c r="C6737" t="str">
        <v>Yield Aggregator</v>
      </c>
      <c r="D6737" t="str">
        <v>-</v>
      </c>
      <c r="E6737">
        <v>606729.78479444655</v>
      </c>
      <c r="F6737">
        <v>0</v>
      </c>
    </row>
    <row r="6738" spans="2:6" ht="15.75" customHeight="1" x14ac:dyDescent="0.25">
      <c r="B6738" t="str">
        <v>zuno</v>
      </c>
      <c r="C6738" t="str">
        <v>Dexs</v>
      </c>
      <c r="D6738" t="str">
        <v>-</v>
      </c>
      <c r="E6738">
        <v>71326.123872376265</v>
      </c>
      <c r="F6738">
        <v>0</v>
      </c>
    </row>
    <row r="6739" spans="2:6" ht="15.75" customHeight="1" x14ac:dyDescent="0.25">
      <c r="B6739" t="str">
        <v>Zyberswap AMM</v>
      </c>
      <c r="C6739" t="str">
        <v>Dexs</v>
      </c>
      <c r="D6739" t="str">
        <v>ZYB</v>
      </c>
      <c r="E6739">
        <v>41899.15685125794</v>
      </c>
      <c r="F6739">
        <v>0</v>
      </c>
    </row>
    <row r="6740" spans="2:6" ht="15.75" customHeight="1" x14ac:dyDescent="0.25">
      <c r="B6740" t="str">
        <v>ZyberSwap Stableswap</v>
      </c>
      <c r="C6740" t="str">
        <v>Dexs</v>
      </c>
      <c r="D6740" t="str">
        <v>ZYB</v>
      </c>
      <c r="E6740">
        <v>1833.6474951826749</v>
      </c>
      <c r="F6740">
        <v>0</v>
      </c>
    </row>
    <row r="6741" spans="2:6" ht="15.75" customHeight="1" x14ac:dyDescent="0.25">
      <c r="B6741" t="str">
        <v>Zyberswap V3</v>
      </c>
      <c r="C6741" t="str">
        <v>Dexs</v>
      </c>
      <c r="D6741" t="str">
        <v>ZYB</v>
      </c>
      <c r="E6741">
        <v>48764.635785055689</v>
      </c>
      <c r="F6741">
        <v>0</v>
      </c>
    </row>
    <row r="6742" spans="2:6" ht="15.75" customHeight="1" x14ac:dyDescent="0.25">
      <c r="B6742" t="str">
        <v>ZyFAI</v>
      </c>
      <c r="C6742" t="str">
        <v>Yield</v>
      </c>
      <c r="D6742" t="str">
        <v>ZFI</v>
      </c>
      <c r="E6742">
        <v>10576177.415597964</v>
      </c>
      <c r="F6742">
        <v>3814687.227140001</v>
      </c>
    </row>
    <row r="6743" spans="2:6" ht="15.75" customHeight="1" x14ac:dyDescent="0.25">
      <c r="B6743" t="str">
        <v>ZYXSwap</v>
      </c>
      <c r="C6743" t="str">
        <v>Dexs</v>
      </c>
      <c r="D6743" t="str">
        <v>-</v>
      </c>
      <c r="E6743">
        <v>0</v>
      </c>
      <c r="F6743">
        <v>0</v>
      </c>
    </row>
    <row r="6744" spans="2:6" ht="15.75" customHeight="1" x14ac:dyDescent="0.25"/>
    <row r="6745" spans="2:6" ht="15.75" customHeight="1" x14ac:dyDescent="0.25"/>
    <row r="6746" spans="2:6" ht="15.75" customHeight="1" x14ac:dyDescent="0.25"/>
    <row r="6747" spans="2:6" ht="15.75" customHeight="1" x14ac:dyDescent="0.25"/>
    <row r="6748" spans="2:6" ht="15.75" customHeight="1" x14ac:dyDescent="0.25"/>
    <row r="6749" spans="2:6" ht="15.75" customHeight="1" x14ac:dyDescent="0.25"/>
    <row r="6750" spans="2:6" ht="15.75" customHeight="1" x14ac:dyDescent="0.25"/>
    <row r="6751" spans="2:6" ht="15.75" customHeight="1" x14ac:dyDescent="0.25"/>
    <row r="6752" spans="2:6" ht="15.75" customHeight="1" x14ac:dyDescent="0.25"/>
    <row r="6753" ht="15.75" customHeight="1" x14ac:dyDescent="0.25"/>
    <row r="6754" ht="15.75" customHeight="1" x14ac:dyDescent="0.25"/>
    <row r="6755" ht="15.75" customHeight="1" x14ac:dyDescent="0.25"/>
    <row r="6756" ht="15.75" customHeight="1" x14ac:dyDescent="0.25"/>
    <row r="6757" ht="15.75" customHeight="1" x14ac:dyDescent="0.25"/>
    <row r="6758" ht="15.75" customHeight="1" x14ac:dyDescent="0.25"/>
    <row r="6759" ht="15.75" customHeight="1" x14ac:dyDescent="0.25"/>
    <row r="6760" ht="15.75" customHeight="1" x14ac:dyDescent="0.25"/>
    <row r="6761" ht="15.75" customHeight="1" x14ac:dyDescent="0.25"/>
    <row r="6762" ht="15.75" customHeight="1" x14ac:dyDescent="0.25"/>
    <row r="6763" ht="15.75" customHeight="1" x14ac:dyDescent="0.25"/>
    <row r="6764" ht="15.75" customHeight="1" x14ac:dyDescent="0.25"/>
    <row r="6765" ht="15.75" customHeight="1" x14ac:dyDescent="0.25"/>
    <row r="6766" ht="15.75" customHeight="1" x14ac:dyDescent="0.25"/>
    <row r="6767" ht="15.75" customHeight="1" x14ac:dyDescent="0.25"/>
    <row r="6768" ht="15.75" customHeight="1" x14ac:dyDescent="0.25"/>
    <row r="6769" ht="15.75" customHeight="1" x14ac:dyDescent="0.25"/>
    <row r="6770" ht="15.75" customHeight="1" x14ac:dyDescent="0.25"/>
    <row r="6771" ht="15.75" customHeight="1" x14ac:dyDescent="0.25"/>
    <row r="6772" ht="15.75" customHeight="1" x14ac:dyDescent="0.25"/>
    <row r="6773" ht="15.75" customHeight="1" x14ac:dyDescent="0.25"/>
    <row r="6774" ht="15.75" customHeight="1" x14ac:dyDescent="0.25"/>
    <row r="6775" ht="15.75" customHeight="1" x14ac:dyDescent="0.25"/>
    <row r="6776" ht="15.75" customHeight="1" x14ac:dyDescent="0.25"/>
    <row r="6777" ht="15.75" customHeight="1" x14ac:dyDescent="0.25"/>
    <row r="6778" ht="15.75" customHeight="1" x14ac:dyDescent="0.25"/>
    <row r="6779" ht="15.75" customHeight="1" x14ac:dyDescent="0.25"/>
    <row r="6780" ht="15.75" customHeight="1" x14ac:dyDescent="0.25"/>
    <row r="6781" ht="15.75" customHeight="1" x14ac:dyDescent="0.25"/>
    <row r="6782" ht="15.75" customHeight="1" x14ac:dyDescent="0.25"/>
    <row r="6783" ht="15.75" customHeight="1" x14ac:dyDescent="0.25"/>
    <row r="6784" ht="15.75" customHeight="1" x14ac:dyDescent="0.25"/>
    <row r="6785" ht="15.75" customHeight="1" x14ac:dyDescent="0.25"/>
    <row r="6786" ht="15.75" customHeight="1" x14ac:dyDescent="0.25"/>
    <row r="6787" ht="15.75" customHeight="1" x14ac:dyDescent="0.25"/>
    <row r="6788" ht="15.75" customHeight="1" x14ac:dyDescent="0.25"/>
    <row r="6789" ht="15.75" customHeight="1" x14ac:dyDescent="0.25"/>
    <row r="6790" ht="15.75" customHeight="1" x14ac:dyDescent="0.25"/>
    <row r="6791" ht="15.75" customHeight="1" x14ac:dyDescent="0.25"/>
    <row r="6792" ht="15.75" customHeight="1" x14ac:dyDescent="0.25"/>
    <row r="6793" ht="15.75" customHeight="1" x14ac:dyDescent="0.25"/>
    <row r="6794" ht="15.75" customHeight="1" x14ac:dyDescent="0.25"/>
    <row r="6795" ht="15.75" customHeight="1" x14ac:dyDescent="0.25"/>
    <row r="6796" ht="15.75" customHeight="1" x14ac:dyDescent="0.25"/>
    <row r="6797" ht="15.75" customHeight="1" x14ac:dyDescent="0.25"/>
    <row r="6798" ht="15.75" customHeight="1" x14ac:dyDescent="0.25"/>
    <row r="6799" ht="15.75" customHeight="1" x14ac:dyDescent="0.25"/>
    <row r="6800" ht="15.75" customHeight="1" x14ac:dyDescent="0.25"/>
    <row r="6801" ht="15.75" customHeight="1" x14ac:dyDescent="0.25"/>
    <row r="6802" ht="15.75" customHeight="1" x14ac:dyDescent="0.25"/>
    <row r="6803" ht="15.75" customHeight="1" x14ac:dyDescent="0.25"/>
    <row r="6804" ht="15.75" customHeight="1" x14ac:dyDescent="0.25"/>
    <row r="6805" ht="15.75" customHeight="1" x14ac:dyDescent="0.25"/>
    <row r="6806" ht="15.75" customHeight="1" x14ac:dyDescent="0.25"/>
    <row r="6807" ht="15.75" customHeight="1" x14ac:dyDescent="0.25"/>
    <row r="6808" ht="15.75" customHeight="1" x14ac:dyDescent="0.25"/>
    <row r="6809" ht="15.75" customHeight="1" x14ac:dyDescent="0.25"/>
    <row r="6810" ht="15.75" customHeight="1" x14ac:dyDescent="0.25"/>
    <row r="6811" ht="15.75" customHeight="1" x14ac:dyDescent="0.25"/>
    <row r="6812" ht="15.75" customHeight="1" x14ac:dyDescent="0.25"/>
    <row r="6813" ht="15.75" customHeight="1" x14ac:dyDescent="0.25"/>
    <row r="6814" ht="15.75" customHeight="1" x14ac:dyDescent="0.25"/>
    <row r="6815" ht="15.75" customHeight="1" x14ac:dyDescent="0.25"/>
    <row r="6816" ht="15.75" customHeight="1" x14ac:dyDescent="0.25"/>
    <row r="6817" ht="15.75" customHeight="1" x14ac:dyDescent="0.25"/>
    <row r="6818" ht="15.75" customHeight="1" x14ac:dyDescent="0.25"/>
    <row r="6819" ht="15.75" customHeight="1" x14ac:dyDescent="0.25"/>
    <row r="6820" ht="15.75" customHeight="1" x14ac:dyDescent="0.25"/>
    <row r="6821" ht="15.75" customHeight="1" x14ac:dyDescent="0.25"/>
    <row r="6822" ht="15.75" customHeight="1" x14ac:dyDescent="0.25"/>
    <row r="6823" ht="15.75" customHeight="1" x14ac:dyDescent="0.25"/>
    <row r="6824" ht="15.75" customHeight="1" x14ac:dyDescent="0.25"/>
    <row r="6825" ht="15.75" customHeight="1" x14ac:dyDescent="0.25"/>
    <row r="6826" ht="15.75" customHeight="1" x14ac:dyDescent="0.25"/>
    <row r="6827" ht="15.75" customHeight="1" x14ac:dyDescent="0.25"/>
    <row r="6828" ht="15.75" customHeight="1" x14ac:dyDescent="0.25"/>
    <row r="6829" ht="15.75" customHeight="1" x14ac:dyDescent="0.25"/>
    <row r="6830" ht="15.75" customHeight="1" x14ac:dyDescent="0.25"/>
    <row r="6831" ht="15.75" customHeight="1" x14ac:dyDescent="0.25"/>
    <row r="6832" ht="15.75" customHeight="1" x14ac:dyDescent="0.25"/>
    <row r="6833" ht="15.75" customHeight="1" x14ac:dyDescent="0.25"/>
    <row r="6834" ht="15.75" customHeight="1" x14ac:dyDescent="0.25"/>
    <row r="6835" ht="15.75" customHeight="1" x14ac:dyDescent="0.25"/>
    <row r="6836" ht="15.75" customHeight="1" x14ac:dyDescent="0.25"/>
    <row r="6837" ht="15.75" customHeight="1" x14ac:dyDescent="0.25"/>
    <row r="6838" ht="15.75" customHeight="1" x14ac:dyDescent="0.25"/>
    <row r="6839" ht="15.75" customHeight="1" x14ac:dyDescent="0.25"/>
    <row r="6840" ht="15.75" customHeight="1" x14ac:dyDescent="0.25"/>
    <row r="6841" ht="15.75" customHeight="1" x14ac:dyDescent="0.25"/>
    <row r="6842" ht="15.75" customHeight="1" x14ac:dyDescent="0.25"/>
    <row r="6843" ht="15.75" customHeight="1" x14ac:dyDescent="0.25"/>
    <row r="6844" ht="15.75" customHeight="1" x14ac:dyDescent="0.25"/>
    <row r="6845" ht="15.75" customHeight="1" x14ac:dyDescent="0.25"/>
    <row r="6846" ht="15.75" customHeight="1" x14ac:dyDescent="0.25"/>
    <row r="6847" ht="15.75" customHeight="1" x14ac:dyDescent="0.25"/>
    <row r="6848" ht="15.75" customHeight="1" x14ac:dyDescent="0.25"/>
    <row r="6849" ht="15.75" customHeight="1" x14ac:dyDescent="0.25"/>
    <row r="6850" ht="15.75" customHeight="1" x14ac:dyDescent="0.25"/>
    <row r="6851" ht="15.75" customHeight="1" x14ac:dyDescent="0.25"/>
    <row r="6852" ht="15.75" customHeight="1" x14ac:dyDescent="0.25"/>
    <row r="6853" ht="15.75" customHeight="1" x14ac:dyDescent="0.25"/>
    <row r="6854" ht="15.75" customHeight="1" x14ac:dyDescent="0.25"/>
    <row r="6855" ht="15.75" customHeight="1" x14ac:dyDescent="0.25"/>
    <row r="6856" ht="15.75" customHeight="1" x14ac:dyDescent="0.25"/>
    <row r="6857" ht="15.75" customHeight="1" x14ac:dyDescent="0.25"/>
    <row r="6858" ht="15.75" customHeight="1" x14ac:dyDescent="0.25"/>
    <row r="6859" ht="15.75" customHeight="1" x14ac:dyDescent="0.25"/>
    <row r="6860" ht="15.75" customHeight="1" x14ac:dyDescent="0.25"/>
    <row r="6861" ht="15.75" customHeight="1" x14ac:dyDescent="0.25"/>
    <row r="6862" ht="15.75" customHeight="1" x14ac:dyDescent="0.25"/>
    <row r="6863" ht="15.75" customHeight="1" x14ac:dyDescent="0.25"/>
    <row r="6864" ht="15.75" customHeight="1" x14ac:dyDescent="0.25"/>
    <row r="6865" ht="15.75" customHeight="1" x14ac:dyDescent="0.25"/>
    <row r="6866" ht="15.75" customHeight="1" x14ac:dyDescent="0.25"/>
    <row r="6867" ht="15.75" customHeight="1" x14ac:dyDescent="0.25"/>
    <row r="6868" ht="15.75" customHeight="1" x14ac:dyDescent="0.25"/>
    <row r="6869" ht="15.75" customHeight="1" x14ac:dyDescent="0.25"/>
    <row r="6870" ht="15.75" customHeight="1" x14ac:dyDescent="0.25"/>
    <row r="6871" ht="15.75" customHeight="1" x14ac:dyDescent="0.25"/>
    <row r="6872" ht="15.75" customHeight="1" x14ac:dyDescent="0.25"/>
    <row r="6873" ht="15.75" customHeight="1" x14ac:dyDescent="0.25"/>
    <row r="6874" ht="15.75" customHeight="1" x14ac:dyDescent="0.25"/>
    <row r="6875" ht="15.75" customHeight="1" x14ac:dyDescent="0.25"/>
    <row r="6876" ht="15.75" customHeight="1" x14ac:dyDescent="0.25"/>
    <row r="6877" ht="15.75" customHeight="1" x14ac:dyDescent="0.25"/>
    <row r="6878" ht="15.75" customHeight="1" x14ac:dyDescent="0.25"/>
    <row r="6879" ht="15.75" customHeight="1" x14ac:dyDescent="0.25"/>
    <row r="6880" ht="15.75" customHeight="1" x14ac:dyDescent="0.25"/>
    <row r="6881" ht="15.75" customHeight="1" x14ac:dyDescent="0.25"/>
    <row r="6882" ht="15.75" customHeight="1" x14ac:dyDescent="0.25"/>
    <row r="6883" ht="15.75" customHeight="1" x14ac:dyDescent="0.25"/>
    <row r="6884" ht="15.75" customHeight="1" x14ac:dyDescent="0.25"/>
    <row r="6885" ht="15.75" customHeight="1" x14ac:dyDescent="0.25"/>
    <row r="6886" ht="15.75" customHeight="1" x14ac:dyDescent="0.25"/>
    <row r="6887" ht="15.75" customHeight="1" x14ac:dyDescent="0.25"/>
    <row r="6888" ht="15.75" customHeight="1" x14ac:dyDescent="0.25"/>
    <row r="6889" ht="15.75" customHeight="1" x14ac:dyDescent="0.25"/>
    <row r="6890" ht="15.75" customHeight="1" x14ac:dyDescent="0.25"/>
    <row r="6891" ht="15.75" customHeight="1" x14ac:dyDescent="0.25"/>
    <row r="6892" ht="15.75" customHeight="1" x14ac:dyDescent="0.25"/>
    <row r="6893" ht="15.75" customHeight="1" x14ac:dyDescent="0.25"/>
    <row r="6894" ht="15.75" customHeight="1" x14ac:dyDescent="0.25"/>
    <row r="6895" ht="15.75" customHeight="1" x14ac:dyDescent="0.25"/>
    <row r="6896" ht="15.75" customHeight="1" x14ac:dyDescent="0.25"/>
    <row r="6897" ht="15.75" customHeight="1" x14ac:dyDescent="0.25"/>
    <row r="6898" ht="15.75" customHeight="1" x14ac:dyDescent="0.25"/>
    <row r="6899" ht="15.75" customHeight="1" x14ac:dyDescent="0.25"/>
    <row r="6900" ht="15.75" customHeight="1" x14ac:dyDescent="0.25"/>
    <row r="6901" ht="15.75" customHeight="1" x14ac:dyDescent="0.25"/>
    <row r="6902" ht="15.75" customHeight="1" x14ac:dyDescent="0.25"/>
    <row r="6903" ht="15.75" customHeight="1" x14ac:dyDescent="0.25"/>
    <row r="6904" ht="15.75" customHeight="1" x14ac:dyDescent="0.25"/>
    <row r="6905" ht="15.75" customHeight="1" x14ac:dyDescent="0.25"/>
    <row r="6906" ht="15.75" customHeight="1" x14ac:dyDescent="0.25"/>
    <row r="6907" ht="15.75" customHeight="1" x14ac:dyDescent="0.25"/>
    <row r="6908" ht="15.75" customHeight="1" x14ac:dyDescent="0.25"/>
    <row r="6909" ht="15.75" customHeight="1" x14ac:dyDescent="0.25"/>
    <row r="6910" ht="15.75" customHeight="1" x14ac:dyDescent="0.25"/>
    <row r="6911" ht="15.75" customHeight="1" x14ac:dyDescent="0.25"/>
    <row r="6912" ht="15.75" customHeight="1" x14ac:dyDescent="0.25"/>
    <row r="6913" ht="15.75" customHeight="1" x14ac:dyDescent="0.25"/>
    <row r="6914" ht="15.75" customHeight="1" x14ac:dyDescent="0.25"/>
    <row r="6915" ht="15.75" customHeight="1" x14ac:dyDescent="0.25"/>
    <row r="6916" ht="15.75" customHeight="1" x14ac:dyDescent="0.25"/>
    <row r="6917" ht="15.75" customHeight="1" x14ac:dyDescent="0.25"/>
    <row r="6918" ht="15.75" customHeight="1" x14ac:dyDescent="0.25"/>
    <row r="6919" ht="15.75" customHeight="1" x14ac:dyDescent="0.25"/>
    <row r="6920" ht="15.75" customHeight="1" x14ac:dyDescent="0.25"/>
    <row r="6921" ht="15.75" customHeight="1" x14ac:dyDescent="0.25"/>
    <row r="6922" ht="15.75" customHeight="1" x14ac:dyDescent="0.25"/>
    <row r="6923" ht="15.75" customHeight="1" x14ac:dyDescent="0.25"/>
    <row r="6924" ht="15.75" customHeight="1" x14ac:dyDescent="0.25"/>
    <row r="6925" ht="15.75" customHeight="1" x14ac:dyDescent="0.25"/>
    <row r="6926" ht="15.75" customHeight="1" x14ac:dyDescent="0.25"/>
    <row r="6927" ht="15.75" customHeight="1" x14ac:dyDescent="0.25"/>
    <row r="6928" ht="15.75" customHeight="1" x14ac:dyDescent="0.25"/>
    <row r="6929" ht="15.75" customHeight="1" x14ac:dyDescent="0.25"/>
    <row r="6930" ht="15.75" customHeight="1" x14ac:dyDescent="0.25"/>
    <row r="6931" ht="15.75" customHeight="1" x14ac:dyDescent="0.25"/>
    <row r="6932" ht="15.75" customHeight="1" x14ac:dyDescent="0.25"/>
    <row r="6933" ht="15.75" customHeight="1" x14ac:dyDescent="0.25"/>
    <row r="6934" ht="15.75" customHeight="1" x14ac:dyDescent="0.25"/>
    <row r="6935" ht="15.75" customHeight="1" x14ac:dyDescent="0.25"/>
    <row r="6936" ht="15.75" customHeight="1" x14ac:dyDescent="0.25"/>
    <row r="6937" ht="15.75" customHeight="1" x14ac:dyDescent="0.25"/>
    <row r="6938" ht="15.75" customHeight="1" x14ac:dyDescent="0.25"/>
    <row r="6939" ht="15.75" customHeight="1" x14ac:dyDescent="0.25"/>
    <row r="6940" ht="15.75" customHeight="1" x14ac:dyDescent="0.25"/>
    <row r="6941" ht="15.75" customHeight="1" x14ac:dyDescent="0.25"/>
    <row r="6942" ht="15.75" customHeight="1" x14ac:dyDescent="0.25"/>
    <row r="6943" ht="15.75" customHeight="1" x14ac:dyDescent="0.25"/>
    <row r="6944" ht="15.75" customHeight="1" x14ac:dyDescent="0.25"/>
    <row r="6945" ht="15.75" customHeight="1" x14ac:dyDescent="0.25"/>
    <row r="6946" ht="15.75" customHeight="1" x14ac:dyDescent="0.25"/>
    <row r="6947" ht="15.75" customHeight="1" x14ac:dyDescent="0.25"/>
    <row r="6948" ht="15.75" customHeight="1" x14ac:dyDescent="0.25"/>
    <row r="6949" ht="15.75" customHeight="1" x14ac:dyDescent="0.25"/>
    <row r="6950" ht="15.75" customHeight="1" x14ac:dyDescent="0.25"/>
    <row r="6951" ht="15.75" customHeight="1" x14ac:dyDescent="0.25"/>
    <row r="6952" ht="15.75" customHeight="1" x14ac:dyDescent="0.25"/>
    <row r="6953" ht="15.75" customHeight="1" x14ac:dyDescent="0.25"/>
    <row r="6954" ht="15.75" customHeight="1" x14ac:dyDescent="0.25"/>
    <row r="6955" ht="15.75" customHeight="1" x14ac:dyDescent="0.25"/>
    <row r="6956" ht="15.75" customHeight="1" x14ac:dyDescent="0.25"/>
    <row r="6957" ht="15.75" customHeight="1" x14ac:dyDescent="0.25"/>
    <row r="6958" ht="15.75" customHeight="1" x14ac:dyDescent="0.25"/>
    <row r="6959" ht="15.75" customHeight="1" x14ac:dyDescent="0.25"/>
    <row r="6960" ht="15.75" customHeight="1" x14ac:dyDescent="0.25"/>
    <row r="6961" ht="15.75" customHeight="1" x14ac:dyDescent="0.25"/>
    <row r="6962" ht="15.75" customHeight="1" x14ac:dyDescent="0.25"/>
    <row r="6963" ht="15.75" customHeight="1" x14ac:dyDescent="0.25"/>
    <row r="6964" ht="15.75" customHeight="1" x14ac:dyDescent="0.25"/>
    <row r="6965" ht="15.75" customHeight="1" x14ac:dyDescent="0.25"/>
    <row r="6966" ht="15.75" customHeight="1" x14ac:dyDescent="0.25"/>
    <row r="6967" ht="15.75" customHeight="1" x14ac:dyDescent="0.25"/>
    <row r="6968" ht="15.75" customHeight="1" x14ac:dyDescent="0.25"/>
    <row r="6969" ht="15.75" customHeight="1" x14ac:dyDescent="0.25"/>
    <row r="6970" ht="15.75" customHeight="1" x14ac:dyDescent="0.25"/>
    <row r="6971" ht="15.75" customHeight="1" x14ac:dyDescent="0.25"/>
    <row r="6972" ht="15.75" customHeight="1" x14ac:dyDescent="0.25"/>
    <row r="6973" ht="15.75" customHeight="1" x14ac:dyDescent="0.25"/>
    <row r="6974" ht="15.75" customHeight="1" x14ac:dyDescent="0.25"/>
    <row r="6975" ht="15.75" customHeight="1" x14ac:dyDescent="0.25"/>
    <row r="6976" ht="15.75" customHeight="1" x14ac:dyDescent="0.25"/>
    <row r="6977" ht="15.75" customHeight="1" x14ac:dyDescent="0.25"/>
    <row r="6978" ht="15.75" customHeight="1" x14ac:dyDescent="0.25"/>
    <row r="6979" ht="15.75" customHeight="1" x14ac:dyDescent="0.25"/>
    <row r="6980" ht="15.75" customHeight="1" x14ac:dyDescent="0.25"/>
    <row r="6981" ht="15.75" customHeight="1" x14ac:dyDescent="0.25"/>
    <row r="6982" ht="15.75" customHeight="1" x14ac:dyDescent="0.25"/>
    <row r="6983" ht="15.75" customHeight="1" x14ac:dyDescent="0.25"/>
    <row r="6984" ht="15.75" customHeight="1" x14ac:dyDescent="0.25"/>
    <row r="6985" ht="15.75" customHeight="1" x14ac:dyDescent="0.25"/>
    <row r="6986" ht="15.75" customHeight="1" x14ac:dyDescent="0.25"/>
    <row r="6987" ht="15.75" customHeight="1" x14ac:dyDescent="0.25"/>
    <row r="6988" ht="15.75" customHeight="1" x14ac:dyDescent="0.25"/>
    <row r="6989" ht="15.75" customHeight="1" x14ac:dyDescent="0.25"/>
    <row r="6990" ht="15.75" customHeight="1" x14ac:dyDescent="0.25"/>
    <row r="6991" ht="15.75" customHeight="1" x14ac:dyDescent="0.25"/>
    <row r="6992" ht="15.75" customHeight="1" x14ac:dyDescent="0.25"/>
    <row r="6993" ht="15.75" customHeight="1" x14ac:dyDescent="0.25"/>
    <row r="6994" ht="15.75" customHeight="1" x14ac:dyDescent="0.25"/>
    <row r="6995" ht="15.75" customHeight="1" x14ac:dyDescent="0.25"/>
    <row r="6996" ht="15.75" customHeight="1" x14ac:dyDescent="0.25"/>
    <row r="6997" ht="15.75" customHeight="1" x14ac:dyDescent="0.25"/>
    <row r="6998" ht="15.75" customHeight="1" x14ac:dyDescent="0.25"/>
    <row r="6999" ht="15.75" customHeight="1" x14ac:dyDescent="0.25"/>
    <row r="7000" ht="15.75" customHeight="1" x14ac:dyDescent="0.25"/>
    <row r="7001" ht="15.75" customHeight="1" x14ac:dyDescent="0.25"/>
    <row r="7002" ht="15.75" customHeight="1" x14ac:dyDescent="0.25"/>
    <row r="7003" ht="15.75" customHeight="1" x14ac:dyDescent="0.25"/>
    <row r="7004" ht="15.75" customHeight="1" x14ac:dyDescent="0.25"/>
    <row r="7005" ht="15.75" customHeight="1" x14ac:dyDescent="0.25"/>
    <row r="7006" ht="15.75" customHeight="1" x14ac:dyDescent="0.25"/>
    <row r="7007" ht="15.75" customHeight="1" x14ac:dyDescent="0.25"/>
    <row r="7008" ht="15.75" customHeight="1" x14ac:dyDescent="0.25"/>
    <row r="7009" ht="15.75" customHeight="1" x14ac:dyDescent="0.25"/>
    <row r="7010" ht="15.75" customHeight="1" x14ac:dyDescent="0.25"/>
    <row r="7011" ht="15.75" customHeight="1" x14ac:dyDescent="0.25"/>
    <row r="7012" ht="15.75" customHeight="1" x14ac:dyDescent="0.25"/>
    <row r="7013" ht="15.75" customHeight="1" x14ac:dyDescent="0.25"/>
    <row r="7014" ht="15.75" customHeight="1" x14ac:dyDescent="0.25"/>
    <row r="7015" ht="15.75" customHeight="1" x14ac:dyDescent="0.25"/>
    <row r="7016" ht="15.75" customHeight="1" x14ac:dyDescent="0.25"/>
    <row r="7017" ht="15.75" customHeight="1" x14ac:dyDescent="0.25"/>
    <row r="7018" ht="15.75" customHeight="1" x14ac:dyDescent="0.25"/>
    <row r="7019" ht="15.75" customHeight="1" x14ac:dyDescent="0.25"/>
    <row r="7020" ht="15.75" customHeight="1" x14ac:dyDescent="0.25"/>
    <row r="7021" ht="15.75" customHeight="1" x14ac:dyDescent="0.25"/>
    <row r="7022" ht="15.75" customHeight="1" x14ac:dyDescent="0.25"/>
    <row r="7023" ht="15.75" customHeight="1" x14ac:dyDescent="0.25"/>
    <row r="7024" ht="15.75" customHeight="1" x14ac:dyDescent="0.25"/>
    <row r="7025" ht="15.75" customHeight="1" x14ac:dyDescent="0.25"/>
    <row r="7026" ht="15.75" customHeight="1" x14ac:dyDescent="0.25"/>
    <row r="7027" ht="15.75" customHeight="1" x14ac:dyDescent="0.25"/>
    <row r="7028" ht="15.75" customHeight="1" x14ac:dyDescent="0.25"/>
    <row r="7029" ht="15.75" customHeight="1" x14ac:dyDescent="0.25"/>
    <row r="7030" ht="15.75" customHeight="1" x14ac:dyDescent="0.25"/>
    <row r="7031" ht="15.75" customHeight="1" x14ac:dyDescent="0.25"/>
    <row r="7032" ht="15.75" customHeight="1" x14ac:dyDescent="0.25"/>
    <row r="7033" ht="15.75" customHeight="1" x14ac:dyDescent="0.25"/>
    <row r="7034" ht="15.75" customHeight="1" x14ac:dyDescent="0.25"/>
    <row r="7035" ht="15.75" customHeight="1" x14ac:dyDescent="0.25"/>
    <row r="7036" ht="15.75" customHeight="1" x14ac:dyDescent="0.25"/>
    <row r="7037" ht="15.75" customHeight="1" x14ac:dyDescent="0.25"/>
    <row r="7038" ht="15.75" customHeight="1" x14ac:dyDescent="0.25"/>
    <row r="7039" ht="15.75" customHeight="1" x14ac:dyDescent="0.25"/>
    <row r="7040" ht="15.75" customHeight="1" x14ac:dyDescent="0.25"/>
    <row r="7041" ht="15.75" customHeight="1" x14ac:dyDescent="0.25"/>
    <row r="7042" ht="15.75" customHeight="1" x14ac:dyDescent="0.25"/>
    <row r="7043" ht="15.75" customHeight="1" x14ac:dyDescent="0.25"/>
    <row r="7044" ht="15.75" customHeight="1" x14ac:dyDescent="0.25"/>
    <row r="7045" ht="15.75" customHeight="1" x14ac:dyDescent="0.25"/>
    <row r="7046" ht="15.75" customHeight="1" x14ac:dyDescent="0.25"/>
    <row r="7047" ht="15.75" customHeight="1" x14ac:dyDescent="0.25"/>
    <row r="7048" ht="15.75" customHeight="1" x14ac:dyDescent="0.25"/>
    <row r="7049" ht="15.75" customHeight="1" x14ac:dyDescent="0.25"/>
    <row r="7050" ht="15.75" customHeight="1" x14ac:dyDescent="0.25"/>
    <row r="7051" ht="15.75" customHeight="1" x14ac:dyDescent="0.25"/>
    <row r="7052" ht="15.75" customHeight="1" x14ac:dyDescent="0.25"/>
    <row r="7053" ht="15.75" customHeight="1" x14ac:dyDescent="0.25"/>
    <row r="7054" ht="15.75" customHeight="1" x14ac:dyDescent="0.25"/>
    <row r="7055" ht="15.75" customHeight="1" x14ac:dyDescent="0.25"/>
    <row r="7056" ht="15.75" customHeight="1" x14ac:dyDescent="0.25"/>
    <row r="7057" ht="15.75" customHeight="1" x14ac:dyDescent="0.25"/>
    <row r="7058" ht="15.75" customHeight="1" x14ac:dyDescent="0.25"/>
    <row r="7059" ht="15.75" customHeight="1" x14ac:dyDescent="0.25"/>
    <row r="7060" ht="15.75" customHeight="1" x14ac:dyDescent="0.25"/>
    <row r="7061" ht="15.75" customHeight="1" x14ac:dyDescent="0.25"/>
    <row r="7062" ht="15.75" customHeight="1" x14ac:dyDescent="0.25"/>
    <row r="7063" ht="15.75" customHeight="1" x14ac:dyDescent="0.25"/>
    <row r="7064" ht="15.75" customHeight="1" x14ac:dyDescent="0.25"/>
    <row r="7065" ht="15.75" customHeight="1" x14ac:dyDescent="0.25"/>
    <row r="7066" ht="15.75" customHeight="1" x14ac:dyDescent="0.25"/>
    <row r="7067" ht="15.75" customHeight="1" x14ac:dyDescent="0.25"/>
    <row r="7068" ht="15.75" customHeight="1" x14ac:dyDescent="0.25"/>
    <row r="7069" ht="15.75" customHeight="1" x14ac:dyDescent="0.25"/>
    <row r="7070" ht="15.75" customHeight="1" x14ac:dyDescent="0.25"/>
    <row r="7071" ht="15.75" customHeight="1" x14ac:dyDescent="0.25"/>
    <row r="7072" ht="15.75" customHeight="1" x14ac:dyDescent="0.25"/>
    <row r="7073" ht="15.75" customHeight="1" x14ac:dyDescent="0.25"/>
    <row r="7074" ht="15.75" customHeight="1" x14ac:dyDescent="0.25"/>
    <row r="7075" ht="15.75" customHeight="1" x14ac:dyDescent="0.25"/>
    <row r="7076" ht="15.75" customHeight="1" x14ac:dyDescent="0.25"/>
    <row r="7077" ht="15.75" customHeight="1" x14ac:dyDescent="0.25"/>
    <row r="7078" ht="15.75" customHeight="1" x14ac:dyDescent="0.25"/>
    <row r="7079" ht="15.75" customHeight="1" x14ac:dyDescent="0.25"/>
    <row r="7080" ht="15.75" customHeight="1" x14ac:dyDescent="0.25"/>
    <row r="7081" ht="15.75" customHeight="1" x14ac:dyDescent="0.25"/>
    <row r="7082" ht="15.75" customHeight="1" x14ac:dyDescent="0.25"/>
    <row r="7083" ht="15.75" customHeight="1" x14ac:dyDescent="0.25"/>
    <row r="7084" ht="15.75" customHeight="1" x14ac:dyDescent="0.25"/>
    <row r="7085" ht="15.75" customHeight="1" x14ac:dyDescent="0.25"/>
    <row r="7086" ht="15.75" customHeight="1" x14ac:dyDescent="0.25"/>
    <row r="7087" ht="15.75" customHeight="1" x14ac:dyDescent="0.25"/>
    <row r="7088" ht="15.75" customHeight="1" x14ac:dyDescent="0.25"/>
    <row r="7089" ht="15.75" customHeight="1" x14ac:dyDescent="0.25"/>
    <row r="7090" ht="15.75" customHeight="1" x14ac:dyDescent="0.25"/>
    <row r="7091" ht="15.75" customHeight="1" x14ac:dyDescent="0.25"/>
    <row r="7092" ht="15.75" customHeight="1" x14ac:dyDescent="0.25"/>
    <row r="7093" ht="15.75" customHeight="1" x14ac:dyDescent="0.25"/>
    <row r="7094" ht="15.75" customHeight="1" x14ac:dyDescent="0.25"/>
    <row r="7095" ht="15.75" customHeight="1" x14ac:dyDescent="0.25"/>
    <row r="7096" ht="15.75" customHeight="1" x14ac:dyDescent="0.25"/>
    <row r="7097" ht="15.75" customHeight="1" x14ac:dyDescent="0.25"/>
    <row r="7098" ht="15.75" customHeight="1" x14ac:dyDescent="0.25"/>
    <row r="7099" ht="15.75" customHeight="1" x14ac:dyDescent="0.25"/>
    <row r="7100" ht="15.75" customHeight="1" x14ac:dyDescent="0.25"/>
    <row r="7101" ht="15.75" customHeight="1" x14ac:dyDescent="0.25"/>
    <row r="7102" ht="15.75" customHeight="1" x14ac:dyDescent="0.25"/>
    <row r="7103" ht="15.75" customHeight="1" x14ac:dyDescent="0.25"/>
    <row r="7104" ht="15.75" customHeight="1" x14ac:dyDescent="0.25"/>
    <row r="7105" ht="15.75" customHeight="1" x14ac:dyDescent="0.25"/>
    <row r="7106" ht="15.75" customHeight="1" x14ac:dyDescent="0.25"/>
    <row r="7107" ht="15.75" customHeight="1" x14ac:dyDescent="0.25"/>
    <row r="7108" ht="15.75" customHeight="1" x14ac:dyDescent="0.25"/>
    <row r="7109" ht="15.75" customHeight="1" x14ac:dyDescent="0.25"/>
    <row r="7110" ht="15.75" customHeight="1" x14ac:dyDescent="0.25"/>
    <row r="7111" ht="15.75" customHeight="1" x14ac:dyDescent="0.25"/>
    <row r="7112" ht="15.75" customHeight="1" x14ac:dyDescent="0.25"/>
    <row r="7113" ht="15.75" customHeight="1" x14ac:dyDescent="0.25"/>
    <row r="7114" ht="15.75" customHeight="1" x14ac:dyDescent="0.25"/>
    <row r="7115" ht="15.75" customHeight="1" x14ac:dyDescent="0.25"/>
    <row r="7116" ht="15.75" customHeight="1" x14ac:dyDescent="0.25"/>
    <row r="7117" ht="15.75" customHeight="1" x14ac:dyDescent="0.25"/>
    <row r="7118" ht="15.75" customHeight="1" x14ac:dyDescent="0.25"/>
    <row r="7119" ht="15.75" customHeight="1" x14ac:dyDescent="0.25"/>
    <row r="7120" ht="15.75" customHeight="1" x14ac:dyDescent="0.25"/>
    <row r="7121" ht="15.75" customHeight="1" x14ac:dyDescent="0.25"/>
    <row r="7122" ht="15.75" customHeight="1" x14ac:dyDescent="0.25"/>
    <row r="7123" ht="15.75" customHeight="1" x14ac:dyDescent="0.25"/>
    <row r="7124" ht="15.75" customHeight="1" x14ac:dyDescent="0.25"/>
    <row r="7125" ht="15.75" customHeight="1" x14ac:dyDescent="0.25"/>
    <row r="7126" ht="15.75" customHeight="1" x14ac:dyDescent="0.25"/>
    <row r="7127" ht="15.75" customHeight="1" x14ac:dyDescent="0.25"/>
    <row r="7128" ht="15.75" customHeight="1" x14ac:dyDescent="0.25"/>
    <row r="7129" ht="15.75" customHeight="1" x14ac:dyDescent="0.25"/>
    <row r="7130" ht="15.75" customHeight="1" x14ac:dyDescent="0.25"/>
    <row r="7131" ht="15.75" customHeight="1" x14ac:dyDescent="0.25"/>
    <row r="7132" ht="15.75" customHeight="1" x14ac:dyDescent="0.25"/>
    <row r="7133" ht="15.75" customHeight="1" x14ac:dyDescent="0.25"/>
    <row r="7134" ht="15.75" customHeight="1" x14ac:dyDescent="0.25"/>
    <row r="7135" ht="15.75" customHeight="1" x14ac:dyDescent="0.25"/>
    <row r="7136" ht="15.75" customHeight="1" x14ac:dyDescent="0.25"/>
    <row r="7137" ht="15.75" customHeight="1" x14ac:dyDescent="0.25"/>
    <row r="7138" ht="15.75" customHeight="1" x14ac:dyDescent="0.25"/>
    <row r="7139" ht="15.75" customHeight="1" x14ac:dyDescent="0.25"/>
    <row r="7140" ht="15.75" customHeight="1" x14ac:dyDescent="0.25"/>
    <row r="7141" ht="15.75" customHeight="1" x14ac:dyDescent="0.25"/>
    <row r="7142" ht="15.75" customHeight="1" x14ac:dyDescent="0.25"/>
    <row r="7143" ht="15.75" customHeight="1" x14ac:dyDescent="0.25"/>
    <row r="7144" ht="15.75" customHeight="1" x14ac:dyDescent="0.25"/>
    <row r="7145" ht="15.75" customHeight="1" x14ac:dyDescent="0.25"/>
    <row r="7146" ht="15.75" customHeight="1" x14ac:dyDescent="0.25"/>
    <row r="7147" ht="15.75" customHeight="1" x14ac:dyDescent="0.25"/>
    <row r="7148" ht="15.75" customHeight="1" x14ac:dyDescent="0.25"/>
    <row r="7149" ht="15.75" customHeight="1" x14ac:dyDescent="0.25"/>
    <row r="7150" ht="15.75" customHeight="1" x14ac:dyDescent="0.25"/>
    <row r="7151" ht="15.75" customHeight="1" x14ac:dyDescent="0.25"/>
    <row r="7152" ht="15.75" customHeight="1" x14ac:dyDescent="0.25"/>
    <row r="7153" ht="15.75" customHeight="1" x14ac:dyDescent="0.25"/>
    <row r="7154" ht="15.75" customHeight="1" x14ac:dyDescent="0.25"/>
    <row r="7155" ht="15.75" customHeight="1" x14ac:dyDescent="0.25"/>
    <row r="7156" ht="15.75" customHeight="1" x14ac:dyDescent="0.25"/>
    <row r="7157" ht="15.75" customHeight="1" x14ac:dyDescent="0.25"/>
    <row r="7158" ht="15.75" customHeight="1" x14ac:dyDescent="0.25"/>
    <row r="7159" ht="15.75" customHeight="1" x14ac:dyDescent="0.25"/>
    <row r="7160" ht="15.75" customHeight="1" x14ac:dyDescent="0.25"/>
    <row r="7161" ht="15.75" customHeight="1" x14ac:dyDescent="0.25"/>
    <row r="7162" ht="15.75" customHeight="1" x14ac:dyDescent="0.25"/>
    <row r="7163" ht="15.75" customHeight="1" x14ac:dyDescent="0.25"/>
    <row r="7164" ht="15.75" customHeight="1" x14ac:dyDescent="0.25"/>
    <row r="7165" ht="15.75" customHeight="1" x14ac:dyDescent="0.25"/>
    <row r="7166" ht="15.75" customHeight="1" x14ac:dyDescent="0.25"/>
    <row r="7167" ht="15.75" customHeight="1" x14ac:dyDescent="0.25"/>
    <row r="7168" ht="15.75" customHeight="1" x14ac:dyDescent="0.25"/>
    <row r="7169" ht="15.75" customHeight="1" x14ac:dyDescent="0.25"/>
    <row r="7170" ht="15.75" customHeight="1" x14ac:dyDescent="0.25"/>
    <row r="7171" ht="15.75" customHeight="1" x14ac:dyDescent="0.25"/>
    <row r="7172" ht="15.75" customHeight="1" x14ac:dyDescent="0.25"/>
    <row r="7173" ht="15.75" customHeight="1" x14ac:dyDescent="0.25"/>
    <row r="7174" ht="15.75" customHeight="1" x14ac:dyDescent="0.25"/>
    <row r="7175" ht="15.75" customHeight="1" x14ac:dyDescent="0.25"/>
    <row r="7176" ht="15.75" customHeight="1" x14ac:dyDescent="0.25"/>
    <row r="7177" ht="15.75" customHeight="1" x14ac:dyDescent="0.25"/>
    <row r="7178" ht="15.75" customHeight="1" x14ac:dyDescent="0.25"/>
    <row r="7179" ht="15.75" customHeight="1" x14ac:dyDescent="0.25"/>
    <row r="7180" ht="15.75" customHeight="1" x14ac:dyDescent="0.25"/>
    <row r="7181" ht="15.75" customHeight="1" x14ac:dyDescent="0.25"/>
    <row r="7182" ht="15.75" customHeight="1" x14ac:dyDescent="0.25"/>
    <row r="7183" ht="15.75" customHeight="1" x14ac:dyDescent="0.25"/>
    <row r="7184" ht="15.75" customHeight="1" x14ac:dyDescent="0.25"/>
    <row r="7185" ht="15.75" customHeight="1" x14ac:dyDescent="0.25"/>
    <row r="7186" ht="15.75" customHeight="1" x14ac:dyDescent="0.25"/>
    <row r="7187" ht="15.75" customHeight="1" x14ac:dyDescent="0.25"/>
    <row r="7188" ht="15.75" customHeight="1" x14ac:dyDescent="0.25"/>
    <row r="7189" ht="15.75" customHeight="1" x14ac:dyDescent="0.25"/>
    <row r="7190" ht="15.75" customHeight="1" x14ac:dyDescent="0.25"/>
    <row r="7191" ht="15.75" customHeight="1" x14ac:dyDescent="0.25"/>
    <row r="7192" ht="15.75" customHeight="1" x14ac:dyDescent="0.25"/>
    <row r="7193" ht="15.75" customHeight="1" x14ac:dyDescent="0.25"/>
    <row r="7194" ht="15.75" customHeight="1" x14ac:dyDescent="0.25"/>
    <row r="7195" ht="15.75" customHeight="1" x14ac:dyDescent="0.25"/>
    <row r="7196" ht="15.75" customHeight="1" x14ac:dyDescent="0.25"/>
    <row r="7197" ht="15.75" customHeight="1" x14ac:dyDescent="0.25"/>
    <row r="7198" ht="15.75" customHeight="1" x14ac:dyDescent="0.25"/>
    <row r="7199" ht="15.75" customHeight="1" x14ac:dyDescent="0.25"/>
    <row r="7200" ht="15.75" customHeight="1" x14ac:dyDescent="0.25"/>
    <row r="7201" ht="15.75" customHeight="1" x14ac:dyDescent="0.25"/>
    <row r="7202" ht="15.75" customHeight="1" x14ac:dyDescent="0.25"/>
    <row r="7203" ht="15.75" customHeight="1" x14ac:dyDescent="0.25"/>
    <row r="7204" ht="15.75" customHeight="1" x14ac:dyDescent="0.25"/>
    <row r="7205" ht="15.75" customHeight="1" x14ac:dyDescent="0.25"/>
    <row r="7206" ht="15.75" customHeight="1" x14ac:dyDescent="0.25"/>
    <row r="7207" ht="15.75" customHeight="1" x14ac:dyDescent="0.25"/>
    <row r="7208" ht="15.75" customHeight="1" x14ac:dyDescent="0.25"/>
    <row r="7209" ht="15.75" customHeight="1" x14ac:dyDescent="0.25"/>
    <row r="7210" ht="15.75" customHeight="1" x14ac:dyDescent="0.25"/>
    <row r="7211" ht="15.75" customHeight="1" x14ac:dyDescent="0.25"/>
    <row r="7212" ht="15.75" customHeight="1" x14ac:dyDescent="0.25"/>
    <row r="7213" ht="15.75" customHeight="1" x14ac:dyDescent="0.25"/>
    <row r="7214" ht="15.75" customHeight="1" x14ac:dyDescent="0.25"/>
    <row r="7215" ht="15.75" customHeight="1" x14ac:dyDescent="0.25"/>
    <row r="7216" ht="15.75" customHeight="1" x14ac:dyDescent="0.25"/>
    <row r="7217" ht="15.75" customHeight="1" x14ac:dyDescent="0.25"/>
    <row r="7218" ht="15.75" customHeight="1" x14ac:dyDescent="0.25"/>
    <row r="7219" ht="15.75" customHeight="1" x14ac:dyDescent="0.25"/>
    <row r="7220" ht="15.75" customHeight="1" x14ac:dyDescent="0.25"/>
    <row r="7221" ht="15.75" customHeight="1" x14ac:dyDescent="0.25"/>
    <row r="7222" ht="15.75" customHeight="1" x14ac:dyDescent="0.25"/>
    <row r="7223" ht="15.75" customHeight="1" x14ac:dyDescent="0.25"/>
    <row r="7224" ht="15.75" customHeight="1" x14ac:dyDescent="0.25"/>
    <row r="7225" ht="15.75" customHeight="1" x14ac:dyDescent="0.25"/>
    <row r="7226" ht="15.75" customHeight="1" x14ac:dyDescent="0.25"/>
    <row r="7227" ht="15.75" customHeight="1" x14ac:dyDescent="0.25"/>
    <row r="7228" ht="15.75" customHeight="1" x14ac:dyDescent="0.25"/>
    <row r="7229" ht="15.75" customHeight="1" x14ac:dyDescent="0.25"/>
    <row r="7230" ht="15.75" customHeight="1" x14ac:dyDescent="0.25"/>
    <row r="7231" ht="15.75" customHeight="1" x14ac:dyDescent="0.25"/>
    <row r="7232" ht="15.75" customHeight="1" x14ac:dyDescent="0.25"/>
    <row r="7233" ht="15.75" customHeight="1" x14ac:dyDescent="0.25"/>
    <row r="7234" ht="15.75" customHeight="1" x14ac:dyDescent="0.25"/>
    <row r="7235" ht="15.75" customHeight="1" x14ac:dyDescent="0.25"/>
    <row r="7236" ht="15.75" customHeight="1" x14ac:dyDescent="0.25"/>
    <row r="7237" ht="15.75" customHeight="1" x14ac:dyDescent="0.25"/>
    <row r="7238" ht="15.75" customHeight="1" x14ac:dyDescent="0.25"/>
    <row r="7239" ht="15.75" customHeight="1" x14ac:dyDescent="0.25"/>
    <row r="7240" ht="15.75" customHeight="1" x14ac:dyDescent="0.25"/>
    <row r="7241" ht="15.75" customHeight="1" x14ac:dyDescent="0.25"/>
    <row r="7242" ht="15.75" customHeight="1" x14ac:dyDescent="0.25"/>
    <row r="7243" ht="15.75" customHeight="1" x14ac:dyDescent="0.25"/>
    <row r="7244" ht="15.75" customHeight="1" x14ac:dyDescent="0.25"/>
    <row r="7245" ht="15.75" customHeight="1" x14ac:dyDescent="0.25"/>
    <row r="7246" ht="15.75" customHeight="1" x14ac:dyDescent="0.25"/>
    <row r="7247" ht="15.75" customHeight="1" x14ac:dyDescent="0.25"/>
    <row r="7248" ht="15.75" customHeight="1" x14ac:dyDescent="0.25"/>
    <row r="7249" ht="15.75" customHeight="1" x14ac:dyDescent="0.25"/>
    <row r="7250" ht="15.75" customHeight="1" x14ac:dyDescent="0.25"/>
    <row r="7251" ht="15.75" customHeight="1" x14ac:dyDescent="0.25"/>
    <row r="7252" ht="15.75" customHeight="1" x14ac:dyDescent="0.25"/>
    <row r="7253" ht="15.75" customHeight="1" x14ac:dyDescent="0.25"/>
    <row r="7254" ht="15.75" customHeight="1" x14ac:dyDescent="0.25"/>
    <row r="7255" ht="15.75" customHeight="1" x14ac:dyDescent="0.25"/>
    <row r="7256" ht="15.75" customHeight="1" x14ac:dyDescent="0.25"/>
    <row r="7257" ht="15.75" customHeight="1" x14ac:dyDescent="0.25"/>
    <row r="7258" ht="15.75" customHeight="1" x14ac:dyDescent="0.25"/>
    <row r="7259" ht="15.75" customHeight="1" x14ac:dyDescent="0.25"/>
    <row r="7260" ht="15.75" customHeight="1" x14ac:dyDescent="0.25"/>
    <row r="7261" ht="15.75" customHeight="1" x14ac:dyDescent="0.25"/>
    <row r="7262" ht="15.75" customHeight="1" x14ac:dyDescent="0.25"/>
    <row r="7263" ht="15.75" customHeight="1" x14ac:dyDescent="0.25"/>
    <row r="7264" ht="15.75" customHeight="1" x14ac:dyDescent="0.25"/>
    <row r="7265" ht="15.75" customHeight="1" x14ac:dyDescent="0.25"/>
    <row r="7266" ht="15.75" customHeight="1" x14ac:dyDescent="0.25"/>
    <row r="7267" ht="15.75" customHeight="1" x14ac:dyDescent="0.25"/>
    <row r="7268" ht="15.75" customHeight="1" x14ac:dyDescent="0.25"/>
    <row r="7269" ht="15.75" customHeight="1" x14ac:dyDescent="0.25"/>
    <row r="7270" ht="15.75" customHeight="1" x14ac:dyDescent="0.25"/>
    <row r="7271" ht="15.75" customHeight="1" x14ac:dyDescent="0.25"/>
    <row r="7272" ht="15.75" customHeight="1" x14ac:dyDescent="0.25"/>
    <row r="7273" ht="15.75" customHeight="1" x14ac:dyDescent="0.25"/>
    <row r="7274" ht="15.75" customHeight="1" x14ac:dyDescent="0.25"/>
    <row r="7275" ht="15.75" customHeight="1" x14ac:dyDescent="0.25"/>
    <row r="7276" ht="15.75" customHeight="1" x14ac:dyDescent="0.25"/>
    <row r="7277" ht="15.75" customHeight="1" x14ac:dyDescent="0.25"/>
    <row r="7278" ht="15.75" customHeight="1" x14ac:dyDescent="0.25"/>
    <row r="7279" ht="15.75" customHeight="1" x14ac:dyDescent="0.25"/>
    <row r="7280" ht="15.75" customHeight="1" x14ac:dyDescent="0.25"/>
    <row r="7281" ht="15.75" customHeight="1" x14ac:dyDescent="0.25"/>
    <row r="7282" ht="15.75" customHeight="1" x14ac:dyDescent="0.25"/>
    <row r="7283" ht="15.75" customHeight="1" x14ac:dyDescent="0.25"/>
    <row r="7284" ht="15.75" customHeight="1" x14ac:dyDescent="0.25"/>
    <row r="7285" ht="15.75" customHeight="1" x14ac:dyDescent="0.25"/>
    <row r="7286" ht="15.75" customHeight="1" x14ac:dyDescent="0.25"/>
    <row r="7287" ht="15.75" customHeight="1" x14ac:dyDescent="0.25"/>
    <row r="7288" ht="15.75" customHeight="1" x14ac:dyDescent="0.25"/>
    <row r="7289" ht="15.75" customHeight="1" x14ac:dyDescent="0.25"/>
    <row r="7290" ht="15.75" customHeight="1" x14ac:dyDescent="0.25"/>
    <row r="7291" ht="15.75" customHeight="1" x14ac:dyDescent="0.25"/>
    <row r="7292" ht="15.75" customHeight="1" x14ac:dyDescent="0.25"/>
    <row r="7293" ht="15.75" customHeight="1" x14ac:dyDescent="0.25"/>
    <row r="7294" ht="15.75" customHeight="1" x14ac:dyDescent="0.25"/>
    <row r="7295" ht="15.75" customHeight="1" x14ac:dyDescent="0.25"/>
    <row r="7296" ht="15.75" customHeight="1" x14ac:dyDescent="0.25"/>
    <row r="7297" ht="15.75" customHeight="1" x14ac:dyDescent="0.25"/>
    <row r="7298" ht="15.75" customHeight="1" x14ac:dyDescent="0.25"/>
    <row r="7299" ht="15.75" customHeight="1" x14ac:dyDescent="0.25"/>
    <row r="7300" ht="15.75" customHeight="1" x14ac:dyDescent="0.25"/>
    <row r="7301" ht="15.75" customHeight="1" x14ac:dyDescent="0.25"/>
    <row r="7302" ht="15.75" customHeight="1" x14ac:dyDescent="0.25"/>
    <row r="7303" ht="15.75" customHeight="1" x14ac:dyDescent="0.25"/>
    <row r="7304" ht="15.75" customHeight="1" x14ac:dyDescent="0.25"/>
    <row r="7305" ht="15.75" customHeight="1" x14ac:dyDescent="0.25"/>
    <row r="7306" ht="15.75" customHeight="1" x14ac:dyDescent="0.25"/>
    <row r="7307" ht="15.75" customHeight="1" x14ac:dyDescent="0.25"/>
    <row r="7308" ht="15.75" customHeight="1" x14ac:dyDescent="0.25"/>
    <row r="7309" ht="15.75" customHeight="1" x14ac:dyDescent="0.25"/>
    <row r="7310" ht="15.75" customHeight="1" x14ac:dyDescent="0.25"/>
    <row r="7311" ht="15.75" customHeight="1" x14ac:dyDescent="0.25"/>
    <row r="7312" ht="15.75" customHeight="1" x14ac:dyDescent="0.25"/>
    <row r="7313" ht="15.75" customHeight="1" x14ac:dyDescent="0.25"/>
    <row r="7314" ht="15.75" customHeight="1" x14ac:dyDescent="0.25"/>
    <row r="7315" ht="15.75" customHeight="1" x14ac:dyDescent="0.25"/>
    <row r="7316" ht="15.75" customHeight="1" x14ac:dyDescent="0.25"/>
    <row r="7317" ht="15.75" customHeight="1" x14ac:dyDescent="0.25"/>
    <row r="7318" ht="15.75" customHeight="1" x14ac:dyDescent="0.25"/>
  </sheetData>
  <mergeCells count="2">
    <mergeCell ref="B1:F1"/>
    <mergeCell ref="B2:F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 Comparison</vt:lpstr>
      <vt:lpstr>Instructions</vt:lpstr>
      <vt:lpstr>Top Protocols (Live)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Margida</cp:lastModifiedBy>
  <dcterms:created xsi:type="dcterms:W3CDTF">2026-01-08T15:52:52Z</dcterms:created>
  <dcterms:modified xsi:type="dcterms:W3CDTF">2026-01-08T21:29:25Z</dcterms:modified>
</cp:coreProperties>
</file>