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marg\Downloads\"/>
    </mc:Choice>
  </mc:AlternateContent>
  <xr:revisionPtr revIDLastSave="0" documentId="8_{3F12E776-D881-425F-B3E8-7732E0C8F9D9}" xr6:coauthVersionLast="47" xr6:coauthVersionMax="47" xr10:uidLastSave="{00000000-0000-0000-0000-000000000000}"/>
  <bookViews>
    <workbookView xWindow="780" yWindow="780" windowWidth="27930" windowHeight="16590" xr2:uid="{00000000-000D-0000-FFFF-FFFF00000000}"/>
  </bookViews>
  <sheets>
    <sheet name="Multi-Chain Yield Finder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B5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C9" i="1" a="1"/>
  <c r="C9" i="1" s="1"/>
  <c r="B39" i="1"/>
  <c r="B38" i="1"/>
  <c r="K37" i="1"/>
  <c r="B37" i="1"/>
  <c r="K36" i="1"/>
  <c r="B36" i="1"/>
  <c r="K35" i="1"/>
  <c r="B35" i="1"/>
  <c r="B34" i="1"/>
  <c r="B33" i="1"/>
  <c r="B32" i="1"/>
  <c r="B31" i="1"/>
  <c r="B30" i="1"/>
  <c r="B29" i="1"/>
  <c r="B28" i="1"/>
  <c r="K27" i="1"/>
  <c r="M27" i="1" s="1"/>
  <c r="B27" i="1"/>
  <c r="K26" i="1"/>
  <c r="M26" i="1" s="1"/>
  <c r="B26" i="1"/>
  <c r="K25" i="1"/>
  <c r="M25" i="1" s="1"/>
  <c r="B25" i="1"/>
  <c r="K24" i="1"/>
  <c r="M24" i="1" s="1"/>
  <c r="B24" i="1"/>
  <c r="K23" i="1"/>
  <c r="M23" i="1" s="1"/>
  <c r="B23" i="1"/>
  <c r="B22" i="1"/>
  <c r="B21" i="1"/>
  <c r="B20" i="1"/>
  <c r="B19" i="1"/>
  <c r="K18" i="1"/>
  <c r="B18" i="1"/>
  <c r="B17" i="1"/>
  <c r="K16" i="1"/>
  <c r="B16" i="1"/>
  <c r="K15" i="1"/>
  <c r="B15" i="1"/>
  <c r="K14" i="1"/>
  <c r="B14" i="1"/>
  <c r="K13" i="1"/>
  <c r="K32" i="1" s="1"/>
  <c r="B13" i="1"/>
  <c r="B12" i="1"/>
  <c r="B11" i="1"/>
  <c r="B10" i="1"/>
  <c r="L24" i="1" l="1"/>
  <c r="L26" i="1"/>
  <c r="K31" i="1"/>
  <c r="L23" i="1"/>
  <c r="L25" i="1"/>
  <c r="L2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<sst xmlns="http://schemas.openxmlformats.org/spreadsheetml/2006/main" count="97" uniqueCount="95">
  <si>
    <t>Multi-Chain Yield Finder + Earnings Calculator</t>
  </si>
  <si>
    <t>Find the best yields across ALL chains and calculate your potential earnings</t>
  </si>
  <si>
    <t>🔍 STEP 1: FIND BEST YIELDS</t>
  </si>
  <si>
    <t>💰 STEP 2: CALCULATE EARNINGS</t>
  </si>
  <si>
    <t>Enter APY manually to calculate potential earnings</t>
  </si>
  <si>
    <t>Token:</t>
  </si>
  <si>
    <t>Sort By:</t>
  </si>
  <si>
    <t>apy</t>
  </si>
  <si>
    <t>Max Results:</t>
  </si>
  <si>
    <t>Options:</t>
  </si>
  <si>
    <t>USDC, USDT, DAI, ETH, WBTC, etc.</t>
  </si>
  <si>
    <t>apy, tvl</t>
  </si>
  <si>
    <t>YOUR INPUTS:</t>
  </si>
  <si>
    <t>Investment Amount ($):</t>
  </si>
  <si>
    <t>Rank</t>
  </si>
  <si>
    <t>APY (%):</t>
  </si>
  <si>
    <t>APY Assumes Daily Compounding</t>
  </si>
  <si>
    <t>PROJECTED EARNINGS:</t>
  </si>
  <si>
    <t>Daily Earnings:</t>
  </si>
  <si>
    <t>Weekly Earnings:</t>
  </si>
  <si>
    <t>Monthly Earnings:</t>
  </si>
  <si>
    <t>Yearly Earnings:</t>
  </si>
  <si>
    <t>Value After 1 Year:</t>
  </si>
  <si>
    <t>TIME HORIZON PROJECTIONS:</t>
  </si>
  <si>
    <t>Time Period</t>
  </si>
  <si>
    <t>Total Earned</t>
  </si>
  <si>
    <t>Total Value</t>
  </si>
  <si>
    <t>Effective APY</t>
  </si>
  <si>
    <t>1 Month</t>
  </si>
  <si>
    <t>3 Months</t>
  </si>
  <si>
    <t>6 Months</t>
  </si>
  <si>
    <t>1 Year</t>
  </si>
  <si>
    <t>2 Years</t>
  </si>
  <si>
    <t>GAS FEE CALCULATOR:</t>
  </si>
  <si>
    <t>Est. Gas Fee ($):</t>
  </si>
  <si>
    <t>Days to Break Even:</t>
  </si>
  <si>
    <t>Net Profit (30 days):</t>
  </si>
  <si>
    <t>QUICK COMPARISON:</t>
  </si>
  <si>
    <t>If APY was 10%:</t>
  </si>
  <si>
    <t>If APY was 20%:</t>
  </si>
  <si>
    <t>If APY was 50%:</t>
  </si>
  <si>
    <t>HOW TO USE THIS TOOL:</t>
  </si>
  <si>
    <t>STEP 1: FIND BEST YIELDS</t>
  </si>
  <si>
    <t>1. Enter the token you want to earn yield on (e.g., USDC, ETH, WBTC)</t>
  </si>
  <si>
    <t>2. Choose how to sort results (by APY or by TVL)</t>
  </si>
  <si>
    <t>3. Set max results (default: 30 pools)</t>
  </si>
  <si>
    <t>4. The table automatically populates with yields from ALL chains</t>
  </si>
  <si>
    <t>5. Look at the Rank, Chain, Project, APY, and TVL columns</t>
  </si>
  <si>
    <t>STEP 2: CALCULATE YOUR EARNINGS</t>
  </si>
  <si>
    <t>1. Enter your investment amount (in USD)</t>
  </si>
  <si>
    <t>2. Enter the APY %</t>
  </si>
  <si>
    <t>3. Daily compounding is baked into APY</t>
  </si>
  <si>
    <t>4. See projected earnings: Daily, Weekly, Monthly, Yearly</t>
  </si>
  <si>
    <t>5. Review time horizon projections (1 month to 2 years)</t>
  </si>
  <si>
    <t>6. Calculate gas fee break-even point</t>
  </si>
  <si>
    <t>UNDERSTANDING THE RESULTS:</t>
  </si>
  <si>
    <t>Yield Finder Table:</t>
  </si>
  <si>
    <t>• Rank - Ordered by your sort preference (APY or TVL)</t>
  </si>
  <si>
    <t>• Chain - Which blockchain the pool is on</t>
  </si>
  <si>
    <t>• Project - The protocol (Aave, Uniswap, Curve, etc.)</t>
  </si>
  <si>
    <t>• APY % - Annual percentage yield</t>
  </si>
  <si>
    <t>• TVL - Total value locked (higher = generally safer)</t>
  </si>
  <si>
    <t>• Pool ID - Unique identifier for detailed lookup</t>
  </si>
  <si>
    <t>Earnings Calculator:</t>
  </si>
  <si>
    <t>• Daily/Weekly/Monthly/Yearly Earnings - How much you'll earn over time</t>
  </si>
  <si>
    <t>• Value After 1 Year - Your total position value</t>
  </si>
  <si>
    <t>• Time Horizon Projections - Earnings over different periods</t>
  </si>
  <si>
    <t>• Effective APY - Actual yield with compounding</t>
  </si>
  <si>
    <t>• Gas Fee Calculator - How long to recover deployment costs</t>
  </si>
  <si>
    <t>EXAMPLE USE CASES:</t>
  </si>
  <si>
    <t>Example 1: Find Best USDC Yield Anywhere</t>
  </si>
  <si>
    <t xml:space="preserve">  Token: USDC</t>
  </si>
  <si>
    <t xml:space="preserve">  Sort By: apy</t>
  </si>
  <si>
    <t xml:space="preserve">  Result: See top 30 USDC yields across all chains</t>
  </si>
  <si>
    <t xml:space="preserve">  Action: Pick the best APY with reasonable TVL</t>
  </si>
  <si>
    <t>Example 2: Is It Worth Moving for 2% Extra Yield?</t>
  </si>
  <si>
    <t xml:space="preserve">  Current: 5% APY on $10k = $500/year</t>
  </si>
  <si>
    <t xml:space="preserve">  New: 7% APY on $10k = $700/year</t>
  </si>
  <si>
    <t xml:space="preserve">  Gas Fee: $50</t>
  </si>
  <si>
    <t xml:space="preserve">  Extra Earnings: $200/year</t>
  </si>
  <si>
    <t xml:space="preserve">  Break Even: 25 days</t>
  </si>
  <si>
    <t xml:space="preserve">  Decision: Worth it if staying &gt;1 month</t>
  </si>
  <si>
    <t>SAFETY TIPS:</t>
  </si>
  <si>
    <t>1. Higher TVL generally means safer/more established pools</t>
  </si>
  <si>
    <t>2. Very high APY (&gt;100%) often comes with high risk</t>
  </si>
  <si>
    <t>3. Check the project reputation</t>
  </si>
  <si>
    <t>4. Consider gas fees before moving small amounts</t>
  </si>
  <si>
    <t>5. Diversify across multiple pools to reduce risk</t>
  </si>
  <si>
    <t>IMPORTANT NOTES:</t>
  </si>
  <si>
    <t>• Projected earnings assume APY stays constant, update often for most accurate projections</t>
  </si>
  <si>
    <t>• Gas fees vary by chain and network congestion</t>
  </si>
  <si>
    <t>• Always verify pool details before depositing</t>
  </si>
  <si>
    <t>• Past performance doesn't guarantee future results</t>
  </si>
  <si>
    <t>• This tool is for estimation only, not financial advice</t>
  </si>
  <si>
    <t>WBTC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</si>
</sst>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_(&quot;$&quot;* #,##0_);_(&quot;$&quot;* \(#,##0\);_(&quot;$&quot;* &quot;-&quot;??_);_(@_)"/>
    <numFmt numFmtId="166" formatCode="\$#,##0.00"/>
    <numFmt numFmtId="167" formatCode="0.0&quot; days&quot;"/>
  </numFmts>
  <fonts count="2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5"/>
      <color rgb="FFFFFFFF"/>
      <name val="Calibri"/>
    </font>
    <font>
      <i/>
      <sz val="10"/>
      <color theme="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i/>
      <sz val="9"/>
      <color theme="1"/>
      <name val="Calibri"/>
    </font>
    <font>
      <b/>
      <sz val="11"/>
      <color theme="1"/>
      <name val="Calibri"/>
    </font>
    <font>
      <sz val="11"/>
      <color rgb="FF0000FF"/>
      <name val="Calibri"/>
    </font>
    <font>
      <b/>
      <sz val="11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rgb="FF006600"/>
      <name val="Calibri"/>
    </font>
    <font>
      <b/>
      <sz val="14"/>
      <color rgb="FF1F4E78"/>
      <name val="Calibri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4" borderId="0" xfId="0" applyFont="1" applyFill="1"/>
    <xf numFmtId="0" fontId="7" fillId="4" borderId="0" xfId="0" applyFont="1" applyFill="1"/>
    <xf numFmtId="0" fontId="8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6" fillId="4" borderId="0" xfId="0" applyFont="1" applyFill="1"/>
    <xf numFmtId="0" fontId="1" fillId="4" borderId="0" xfId="0" applyFont="1" applyFill="1" applyAlignment="1">
      <alignment horizontal="center"/>
    </xf>
    <xf numFmtId="0" fontId="9" fillId="4" borderId="0" xfId="0" applyFont="1" applyFill="1"/>
    <xf numFmtId="0" fontId="7" fillId="0" borderId="0" xfId="0" applyFont="1"/>
    <xf numFmtId="164" fontId="8" fillId="5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5" fontId="11" fillId="0" borderId="0" xfId="0" applyNumberFormat="1" applyFont="1"/>
    <xf numFmtId="0" fontId="11" fillId="0" borderId="0" xfId="0" applyFont="1" applyAlignment="1">
      <alignment horizontal="right"/>
    </xf>
    <xf numFmtId="0" fontId="3" fillId="0" borderId="0" xfId="0" applyFont="1"/>
    <xf numFmtId="166" fontId="7" fillId="6" borderId="0" xfId="0" applyNumberFormat="1" applyFont="1" applyFill="1"/>
    <xf numFmtId="166" fontId="12" fillId="6" borderId="0" xfId="0" applyNumberFormat="1" applyFont="1" applyFill="1"/>
    <xf numFmtId="166" fontId="13" fillId="6" borderId="0" xfId="0" applyNumberFormat="1" applyFont="1" applyFill="1"/>
    <xf numFmtId="166" fontId="14" fillId="6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2" fillId="0" borderId="0" xfId="0" applyFont="1"/>
    <xf numFmtId="166" fontId="12" fillId="0" borderId="0" xfId="0" applyNumberFormat="1" applyFont="1"/>
    <xf numFmtId="10" fontId="12" fillId="0" borderId="0" xfId="0" applyNumberFormat="1" applyFont="1"/>
    <xf numFmtId="166" fontId="8" fillId="5" borderId="0" xfId="0" applyNumberFormat="1" applyFont="1" applyFill="1" applyAlignment="1">
      <alignment horizontal="center"/>
    </xf>
    <xf numFmtId="167" fontId="7" fillId="6" borderId="0" xfId="0" applyNumberFormat="1" applyFont="1" applyFill="1"/>
    <xf numFmtId="0" fontId="15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2">
    <dxf>
      <font>
        <color rgb="FF0000FF"/>
      </font>
      <fill>
        <patternFill patternType="solid">
          <fgColor rgb="FFFFF2CC"/>
          <bgColor rgb="FFFFF2CC"/>
        </patternFill>
      </fill>
    </dxf>
    <dxf>
      <font>
        <color rgb="FF0000FF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677A08-826E-4E81-A64F-BEF1D514D152}">
  <we:reference id="wa200009711" version="1.0.0.0" store="en-US" storeType="OMEX"/>
  <we:alternateReferences>
    <we:reference id="WA20000971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_xldudf_DEFILLAMA</we:customFunctionIds>
        <we:customFunctionIds>_xldudf_DEFILLAMA_INFO</we:customFunctionIds>
        <we:customFunctionIds>_xldudf_DEFILLAMA_METRICS</we:customFunctionIds>
        <we:customFunctionIds>_xldudf_DEFILLAMA_CHAINS</we:customFunctionIds>
        <we:customFunctionIds>_xldudf_DEFILLAMA_PROTOCOLS</we:customFunctionIds>
        <we:customFunctionIds>_xldudf_DEFILLAMA_HISTORICAL</we:customFunctionIds>
        <we:customFunctionIds>_xldudf_DEFILLAMA_YIELD</we:customFunctionIds>
        <we:customFunctionIds>_xldudf_DEFILLAMA_YIELD_POOL</we:customFunctionIds>
        <we:customFunctionIds>_xldudf_DEFILLAMA_YIELD_TOP_POOLS</we:customFunctionIds>
        <we:customFunctionIds>_xldudf_DEFILLAMA_YIELD_CHAINS</we:customFunctionIds>
        <we:customFunctionIds>_xldudf_DEFILLAMA_YIELD_PROJECTS</we:customFunctionIds>
        <we:customFunctionIds>_xldudf_DEFILLAMA_STABLECOINS</we:customFunctionIds>
        <we:customFunctionIds>_xldudf_DEFILLAMA_STABLECOIN_MCAP</we:customFunctionIds>
        <we:customFunctionIds>_xldudf_DEFILLAMA_STABLECOIN_HISTORY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workbookViewId="0">
      <selection activeCell="I6" sqref="I6"/>
    </sheetView>
  </sheetViews>
  <sheetFormatPr defaultColWidth="14.42578125" defaultRowHeight="15" customHeight="1" x14ac:dyDescent="0.25"/>
  <cols>
    <col min="1" max="1" width="5" customWidth="1"/>
    <col min="2" max="2" width="15" customWidth="1"/>
    <col min="3" max="3" width="18" customWidth="1"/>
    <col min="4" max="4" width="21.7109375" customWidth="1"/>
    <col min="5" max="5" width="17.5703125" customWidth="1"/>
    <col min="6" max="6" width="15" customWidth="1"/>
    <col min="7" max="7" width="14.5703125" customWidth="1"/>
    <col min="8" max="8" width="39" customWidth="1"/>
    <col min="9" max="9" width="5" customWidth="1"/>
    <col min="10" max="10" width="27.85546875" customWidth="1"/>
    <col min="11" max="13" width="15" customWidth="1"/>
    <col min="14" max="27" width="8.7109375" customWidth="1"/>
  </cols>
  <sheetData>
    <row r="1" spans="1:27" ht="24.75" customHeight="1" x14ac:dyDescent="0.25">
      <c r="A1" s="1"/>
      <c r="B1" s="34" t="s">
        <v>0</v>
      </c>
      <c r="C1" s="35"/>
      <c r="D1" s="35"/>
      <c r="E1" s="35"/>
      <c r="F1" s="35"/>
      <c r="G1" s="35"/>
      <c r="H1" s="3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36" t="s">
        <v>1</v>
      </c>
      <c r="C2" s="35"/>
      <c r="D2" s="35"/>
      <c r="E2" s="35"/>
      <c r="F2" s="35"/>
      <c r="G2" s="35"/>
      <c r="H2" s="3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9.5" customHeight="1" x14ac:dyDescent="0.25">
      <c r="A4" s="1"/>
      <c r="B4" s="37" t="s">
        <v>2</v>
      </c>
      <c r="C4" s="35"/>
      <c r="D4" s="35"/>
      <c r="E4" s="35"/>
      <c r="F4" s="35"/>
      <c r="G4" s="35"/>
      <c r="H4" s="35"/>
      <c r="I4" s="1"/>
      <c r="J4" s="38" t="s">
        <v>3</v>
      </c>
      <c r="K4" s="35"/>
      <c r="L4" s="35"/>
      <c r="M4" s="3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1"/>
      <c r="B5" s="2"/>
      <c r="C5" s="2"/>
      <c r="D5" s="2"/>
      <c r="E5" s="2"/>
      <c r="F5" s="2"/>
      <c r="G5" s="2"/>
      <c r="H5" s="2"/>
      <c r="I5" s="1"/>
      <c r="J5" s="39" t="s">
        <v>4</v>
      </c>
      <c r="K5" s="35"/>
      <c r="L5" s="35"/>
      <c r="M5" s="3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/>
      <c r="B6" s="3" t="s">
        <v>5</v>
      </c>
      <c r="C6" s="4" t="s">
        <v>94</v>
      </c>
      <c r="D6" s="5" t="s">
        <v>6</v>
      </c>
      <c r="E6" s="4" t="s">
        <v>7</v>
      </c>
      <c r="F6" s="5" t="s">
        <v>8</v>
      </c>
      <c r="G6" s="4">
        <v>50</v>
      </c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2" t="s">
        <v>9</v>
      </c>
      <c r="C7" s="6" t="s">
        <v>10</v>
      </c>
      <c r="D7" s="7" t="s">
        <v>9</v>
      </c>
      <c r="E7" s="6" t="s">
        <v>11</v>
      </c>
      <c r="F7" s="2"/>
      <c r="G7" s="2"/>
      <c r="H7" s="2"/>
      <c r="I7" s="1"/>
      <c r="J7" s="8" t="s">
        <v>12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/>
      <c r="B8" s="2"/>
      <c r="C8" s="2"/>
      <c r="D8" s="2"/>
      <c r="E8" s="2"/>
      <c r="F8" s="2"/>
      <c r="G8" s="2"/>
      <c r="H8" s="2"/>
      <c r="I8" s="1"/>
      <c r="J8" s="9" t="s">
        <v>13</v>
      </c>
      <c r="K8" s="10">
        <v>10000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25">
      <c r="A9" s="1"/>
      <c r="B9" s="11" t="s">
        <v>14</v>
      </c>
      <c r="C9" s="11" t="str" cm="1">
        <f t="array" ref="C9:H59">_xldudf_DEFILLAMA_YIELD("",C6,E6,G6)</f>
        <v>Chain</v>
      </c>
      <c r="D9" s="11" t="str">
        <v>Project</v>
      </c>
      <c r="E9" s="11" t="str">
        <v>Symbol</v>
      </c>
      <c r="F9" s="11" t="str">
        <v>APY %</v>
      </c>
      <c r="G9" s="11" t="str">
        <v>TVL (USD)</v>
      </c>
      <c r="H9" s="11" t="str">
        <v>PoolId</v>
      </c>
      <c r="I9" s="1"/>
      <c r="J9" s="9" t="s">
        <v>15</v>
      </c>
      <c r="K9" s="12">
        <v>0.18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/>
      <c r="B10" s="13">
        <f t="shared" ref="B10:B73" si="0">ROW()-9</f>
        <v>1</v>
      </c>
      <c r="C10" s="14" t="str">
        <v>Aptos</v>
      </c>
      <c r="D10" s="14" t="str">
        <v>hyperion</v>
      </c>
      <c r="E10" s="14" t="str">
        <v>WBTC-USDC</v>
      </c>
      <c r="F10" s="13">
        <v>1475.7477799999999</v>
      </c>
      <c r="G10" s="15">
        <v>450655</v>
      </c>
      <c r="H10" s="16" t="str">
        <v>698ed2c1-a0cf-4ea6-965e-579b7297e3da</v>
      </c>
      <c r="I10" s="1"/>
      <c r="J10" s="17" t="s">
        <v>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/>
      <c r="B11" s="13">
        <f t="shared" si="0"/>
        <v>2</v>
      </c>
      <c r="C11" s="14" t="str">
        <v>Berachain</v>
      </c>
      <c r="D11" s="14" t="str">
        <v>berapaw</v>
      </c>
      <c r="E11" s="14" t="str">
        <v>KODIWBTC-KDK</v>
      </c>
      <c r="F11" s="13">
        <v>219.89533</v>
      </c>
      <c r="G11" s="15">
        <v>12370</v>
      </c>
      <c r="H11" s="16" t="str">
        <v>f98f4cb5-7e5c-4281-ae93-ac1a0688308e</v>
      </c>
      <c r="I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/>
      <c r="B12" s="13">
        <f t="shared" si="0"/>
        <v>3</v>
      </c>
      <c r="C12" s="14" t="str">
        <v>Move</v>
      </c>
      <c r="D12" s="14" t="str">
        <v>yuzu-finance</v>
      </c>
      <c r="E12" s="14" t="str">
        <v>USDC.E-WBTC.E</v>
      </c>
      <c r="F12" s="13">
        <v>159.73990000000001</v>
      </c>
      <c r="G12" s="15">
        <v>16872</v>
      </c>
      <c r="H12" s="16" t="str">
        <v>9f447212-218e-4acc-91e9-ba6f71be817a</v>
      </c>
      <c r="I12" s="1"/>
      <c r="J12" s="8" t="s">
        <v>17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3">
        <f t="shared" si="0"/>
        <v>4</v>
      </c>
      <c r="C13" s="14" t="str">
        <v>Monad</v>
      </c>
      <c r="D13" s="14" t="str">
        <v>merkl</v>
      </c>
      <c r="E13" s="14" t="str">
        <v>WBTC-WMON</v>
      </c>
      <c r="F13" s="13">
        <v>127.82067000000001</v>
      </c>
      <c r="G13" s="15">
        <v>22854</v>
      </c>
      <c r="H13" s="16" t="str">
        <v>6df76e68-36e8-4f65-b8f9-78e1eb224228</v>
      </c>
      <c r="I13" s="1"/>
      <c r="J13" s="1" t="s">
        <v>18</v>
      </c>
      <c r="K13" s="18">
        <f>$K$8*((1+$K$9)^(1/365)-1)</f>
        <v>4.5356704544685655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/>
      <c r="B14" s="13">
        <f t="shared" si="0"/>
        <v>5</v>
      </c>
      <c r="C14" s="14" t="str">
        <v>Aptos</v>
      </c>
      <c r="D14" s="14" t="str">
        <v>thalaswap</v>
      </c>
      <c r="E14" s="14" t="str">
        <v>WBTC-USDC</v>
      </c>
      <c r="F14" s="13">
        <v>121.25697</v>
      </c>
      <c r="G14" s="15">
        <v>53369</v>
      </c>
      <c r="H14" s="16" t="str">
        <v>3b09ff06-1dbe-48a6-aea9-1356367bfbfd</v>
      </c>
      <c r="I14" s="1"/>
      <c r="J14" s="1" t="s">
        <v>19</v>
      </c>
      <c r="K14" s="19">
        <f>$K$8*((1+$K$9)^(7/365)-1)</f>
        <v>31.7929276979112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/>
      <c r="B15" s="13">
        <f t="shared" si="0"/>
        <v>6</v>
      </c>
      <c r="C15" s="14" t="str">
        <v>Sui</v>
      </c>
      <c r="D15" s="14" t="str">
        <v>bluefin-spot</v>
      </c>
      <c r="E15" s="14" t="str">
        <v>SUI-WBTC</v>
      </c>
      <c r="F15" s="13">
        <v>112.47547</v>
      </c>
      <c r="G15" s="15">
        <v>104845</v>
      </c>
      <c r="H15" s="16" t="str">
        <v>4ccbfe28-3a6c-4618-bfb7-a2de1e6dc59e</v>
      </c>
      <c r="I15" s="1"/>
      <c r="J15" s="1" t="s">
        <v>20</v>
      </c>
      <c r="K15" s="19">
        <f>$K$8*((1+$K$9)^(30/365)-1)</f>
        <v>136.96880894495945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x14ac:dyDescent="0.25">
      <c r="A16" s="1"/>
      <c r="B16" s="13">
        <f t="shared" si="0"/>
        <v>7</v>
      </c>
      <c r="C16" s="14" t="str">
        <v>Polygon</v>
      </c>
      <c r="D16" s="14" t="str">
        <v>clipper</v>
      </c>
      <c r="E16" s="14" t="str">
        <v>USDC-ETH-USDT-POL-DAI-WBTC</v>
      </c>
      <c r="F16" s="13">
        <v>108.58982</v>
      </c>
      <c r="G16" s="15">
        <v>44982</v>
      </c>
      <c r="H16" s="16" t="str">
        <v>69519709-c16a-4b4c-a4b7-50309ef9f832</v>
      </c>
      <c r="I16" s="1"/>
      <c r="J16" s="1" t="s">
        <v>21</v>
      </c>
      <c r="K16" s="20">
        <f>$K$8*$K$9</f>
        <v>1800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/>
      <c r="B17" s="13">
        <f t="shared" si="0"/>
        <v>8</v>
      </c>
      <c r="C17" s="14" t="str">
        <v>Linea</v>
      </c>
      <c r="D17" s="14" t="str">
        <v>etherex-cl</v>
      </c>
      <c r="E17" s="14" t="str">
        <v>USDC-WBTC</v>
      </c>
      <c r="F17" s="13">
        <v>98.213629999999995</v>
      </c>
      <c r="G17" s="15">
        <v>84019</v>
      </c>
      <c r="H17" s="16" t="str">
        <v>d601ec75-5c7f-4b1f-b5bd-a3154fe20577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x14ac:dyDescent="0.25">
      <c r="A18" s="1"/>
      <c r="B18" s="13">
        <f t="shared" si="0"/>
        <v>9</v>
      </c>
      <c r="C18" s="14" t="str">
        <v>Sui</v>
      </c>
      <c r="D18" s="14" t="str">
        <v>cetus-clmm</v>
      </c>
      <c r="E18" s="14" t="str">
        <v>USDC-WBTC</v>
      </c>
      <c r="F18" s="13">
        <v>91.9148</v>
      </c>
      <c r="G18" s="15">
        <v>141865</v>
      </c>
      <c r="H18" s="16" t="str">
        <v>c70fee3a-ee0c-47b7-9231-4a0e2acb878f</v>
      </c>
      <c r="I18" s="1"/>
      <c r="J18" s="1" t="s">
        <v>22</v>
      </c>
      <c r="K18" s="21">
        <f>$K$8*(1+$K$9)</f>
        <v>11800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/>
      <c r="B19" s="13">
        <f t="shared" si="0"/>
        <v>10</v>
      </c>
      <c r="C19" s="14" t="str">
        <v>Optimism</v>
      </c>
      <c r="D19" s="14" t="str">
        <v>clipper</v>
      </c>
      <c r="E19" s="14" t="str">
        <v>ETH-USDC-USDT-WBTC-DAI-OP</v>
      </c>
      <c r="F19" s="13">
        <v>58.091259999999998</v>
      </c>
      <c r="G19" s="15">
        <v>126577</v>
      </c>
      <c r="H19" s="16" t="str">
        <v>d9c5ad98-0130-41be-a041-9e2555424326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/>
      <c r="B20" s="13">
        <f t="shared" si="0"/>
        <v>11</v>
      </c>
      <c r="C20" s="14" t="str">
        <v>Sui</v>
      </c>
      <c r="D20" s="14" t="str">
        <v>bluefin-spot</v>
      </c>
      <c r="E20" s="14" t="str">
        <v>WBTC-USDC</v>
      </c>
      <c r="F20" s="13">
        <v>54.289180000000002</v>
      </c>
      <c r="G20" s="15">
        <v>272940</v>
      </c>
      <c r="H20" s="16" t="str">
        <v>28c886c4-86c9-42cd-88d3-893048402305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3">
        <f t="shared" si="0"/>
        <v>12</v>
      </c>
      <c r="C21" s="14" t="str">
        <v>Sui</v>
      </c>
      <c r="D21" s="14" t="str">
        <v>full-sail</v>
      </c>
      <c r="E21" s="14" t="str">
        <v>USDC-WBTC</v>
      </c>
      <c r="F21" s="13">
        <v>51.63</v>
      </c>
      <c r="G21" s="15">
        <v>1023871</v>
      </c>
      <c r="H21" s="16" t="str">
        <v>984d63f5-1760-4f39-b846-c464d041c514</v>
      </c>
      <c r="I21" s="1"/>
      <c r="J21" s="8" t="s">
        <v>23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3">
        <f t="shared" si="0"/>
        <v>13</v>
      </c>
      <c r="C22" s="14" t="str">
        <v>Sui</v>
      </c>
      <c r="D22" s="14" t="str">
        <v>kai-finance</v>
      </c>
      <c r="E22" s="14" t="str">
        <v>WBTC</v>
      </c>
      <c r="F22" s="13">
        <v>49.48939</v>
      </c>
      <c r="G22" s="15">
        <v>70401</v>
      </c>
      <c r="H22" s="16" t="str">
        <v>910550f2-d590-4981-82a3-00cb81496e94</v>
      </c>
      <c r="I22" s="1"/>
      <c r="J22" s="8" t="s">
        <v>24</v>
      </c>
      <c r="K22" s="22" t="s">
        <v>25</v>
      </c>
      <c r="L22" s="22" t="s">
        <v>26</v>
      </c>
      <c r="M22" s="22" t="s">
        <v>27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3">
        <f t="shared" si="0"/>
        <v>14</v>
      </c>
      <c r="C23" s="14" t="str">
        <v>Core</v>
      </c>
      <c r="D23" s="14" t="str">
        <v>colend-protocol</v>
      </c>
      <c r="E23" s="14" t="str">
        <v>WBTC</v>
      </c>
      <c r="F23" s="13">
        <v>47.676340000000003</v>
      </c>
      <c r="G23" s="15">
        <v>11609</v>
      </c>
      <c r="H23" s="16" t="str">
        <v>c4087661-7b52-4151-a287-538da14c34b6</v>
      </c>
      <c r="I23" s="1"/>
      <c r="J23" s="23" t="s">
        <v>28</v>
      </c>
      <c r="K23" s="24">
        <f>$K$8*((1+$K$9)^(30/365)-1)</f>
        <v>136.96880894495945</v>
      </c>
      <c r="L23" s="24">
        <f>K8+K23</f>
        <v>10136.968808944959</v>
      </c>
      <c r="M23" s="25">
        <f>(K23/K8)*12</f>
        <v>0.16436257073395133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3">
        <f t="shared" si="0"/>
        <v>15</v>
      </c>
      <c r="C24" s="14" t="str">
        <v>Berachain</v>
      </c>
      <c r="D24" s="14" t="str">
        <v>berapaw</v>
      </c>
      <c r="E24" s="14" t="str">
        <v>KODIWBTC-WBERA</v>
      </c>
      <c r="F24" s="13">
        <v>46.972929999999998</v>
      </c>
      <c r="G24" s="15">
        <v>818153</v>
      </c>
      <c r="H24" s="16" t="str">
        <v>18329564-f261-4b1a-ac91-b77c7e8e9fb8</v>
      </c>
      <c r="I24" s="1"/>
      <c r="J24" s="23" t="s">
        <v>29</v>
      </c>
      <c r="K24" s="24">
        <f>$K$8*((1+$K$9)^(90/365)-1)</f>
        <v>416.56025919327044</v>
      </c>
      <c r="L24" s="24">
        <f>K8+K24</f>
        <v>10416.560259193271</v>
      </c>
      <c r="M24" s="25">
        <f>(K24/K8)*4</f>
        <v>0.16662410367730818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3">
        <f t="shared" si="0"/>
        <v>16</v>
      </c>
      <c r="C25" s="14" t="str">
        <v>Polygon</v>
      </c>
      <c r="D25" s="14" t="str">
        <v>steer-protocol</v>
      </c>
      <c r="E25" s="14" t="str">
        <v>WBTC-USDC</v>
      </c>
      <c r="F25" s="13">
        <v>46.21</v>
      </c>
      <c r="G25" s="15">
        <v>20299</v>
      </c>
      <c r="H25" s="16" t="str">
        <v>556bcd74-efea-46af-ad57-75134a930824</v>
      </c>
      <c r="I25" s="1"/>
      <c r="J25" s="23" t="s">
        <v>30</v>
      </c>
      <c r="K25" s="24">
        <f>$K$8*((1+$K$9)^(180/365)-1)</f>
        <v>850.47276334045966</v>
      </c>
      <c r="L25" s="24">
        <f>K8+K25</f>
        <v>10850.47276334046</v>
      </c>
      <c r="M25" s="25">
        <f>(K25/K8)*2</f>
        <v>0.17009455266809193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3">
        <f t="shared" si="0"/>
        <v>17</v>
      </c>
      <c r="C26" s="14" t="str">
        <v>Arbitrum</v>
      </c>
      <c r="D26" s="14" t="str">
        <v>beefy</v>
      </c>
      <c r="E26" s="14" t="str">
        <v>WBTC-USDC</v>
      </c>
      <c r="F26" s="13">
        <v>45.055709999999998</v>
      </c>
      <c r="G26" s="15">
        <v>991787</v>
      </c>
      <c r="H26" s="16" t="str">
        <v>016d7542-9b1a-4d58-bfe4-c9d81d1f5629</v>
      </c>
      <c r="I26" s="1"/>
      <c r="J26" s="23" t="s">
        <v>31</v>
      </c>
      <c r="K26" s="24">
        <f>$K$8*$K$9</f>
        <v>1800</v>
      </c>
      <c r="L26" s="24">
        <f>K8+K26</f>
        <v>11800</v>
      </c>
      <c r="M26" s="25">
        <f>K26/K8</f>
        <v>0.18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3">
        <f t="shared" si="0"/>
        <v>18</v>
      </c>
      <c r="C27" s="14" t="str">
        <v>Arbitrum</v>
      </c>
      <c r="D27" s="14" t="str">
        <v>pancakeswap-amm-v3</v>
      </c>
      <c r="E27" s="14" t="str">
        <v>WBTC-USDC</v>
      </c>
      <c r="F27" s="13">
        <v>41.955120000000001</v>
      </c>
      <c r="G27" s="15">
        <v>665064</v>
      </c>
      <c r="H27" s="16" t="str">
        <v>517b3d98-d516-4f5f-8ab8-da61691fe5df</v>
      </c>
      <c r="I27" s="1"/>
      <c r="J27" s="23" t="s">
        <v>32</v>
      </c>
      <c r="K27" s="24">
        <f>$K$8*((1+$K$9)^(730/365)-1)</f>
        <v>3923.9999999999986</v>
      </c>
      <c r="L27" s="24">
        <f>K8+K27</f>
        <v>13923.999999999998</v>
      </c>
      <c r="M27" s="25">
        <f>(K27/K8)/2</f>
        <v>0.19619999999999993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3">
        <f t="shared" si="0"/>
        <v>19</v>
      </c>
      <c r="C28" s="14" t="str">
        <v>Arbitrum</v>
      </c>
      <c r="D28" s="14" t="str">
        <v>beefy</v>
      </c>
      <c r="E28" s="14" t="str">
        <v>WBTC-USDT0</v>
      </c>
      <c r="F28" s="13">
        <v>40.347529999999999</v>
      </c>
      <c r="G28" s="15">
        <v>923588</v>
      </c>
      <c r="H28" s="16" t="str">
        <v>c1ee2630-098d-4854-a814-364c655d1106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3">
        <f t="shared" si="0"/>
        <v>20</v>
      </c>
      <c r="C29" s="14" t="str">
        <v>Ethereum</v>
      </c>
      <c r="D29" s="14" t="str">
        <v>balancer-v3</v>
      </c>
      <c r="E29" s="14" t="str">
        <v>PPWBTCSTR</v>
      </c>
      <c r="F29" s="13">
        <v>39.539059999999999</v>
      </c>
      <c r="G29" s="15">
        <v>58990</v>
      </c>
      <c r="H29" s="16" t="str">
        <v>12038e0f-0991-425e-a2b7-6e1c46135e6c</v>
      </c>
      <c r="I29" s="1"/>
      <c r="J29" s="8" t="s">
        <v>33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3">
        <f t="shared" si="0"/>
        <v>21</v>
      </c>
      <c r="C30" s="14" t="str">
        <v>Polygon</v>
      </c>
      <c r="D30" s="14" t="str">
        <v>uniswap-v3</v>
      </c>
      <c r="E30" s="14" t="str">
        <v>WBTC-USDC</v>
      </c>
      <c r="F30" s="13">
        <v>39.232840000000003</v>
      </c>
      <c r="G30" s="15">
        <v>735350</v>
      </c>
      <c r="H30" s="16" t="str">
        <v>7c0f68a7-5459-43a0-82ee-7a79ab1f8fb0</v>
      </c>
      <c r="I30" s="1"/>
      <c r="J30" s="9" t="s">
        <v>34</v>
      </c>
      <c r="K30" s="26">
        <v>50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3">
        <f t="shared" si="0"/>
        <v>22</v>
      </c>
      <c r="C31" s="14" t="str">
        <v>Arbitrum</v>
      </c>
      <c r="D31" s="14" t="str">
        <v>uniswap-v4</v>
      </c>
      <c r="E31" s="14" t="str">
        <v>WBTC-USDC</v>
      </c>
      <c r="F31" s="13">
        <v>37.664279999999998</v>
      </c>
      <c r="G31" s="15">
        <v>56042</v>
      </c>
      <c r="H31" s="16" t="str">
        <v>b55dc023-692d-4b8c-9ef7-f2928f135cd0</v>
      </c>
      <c r="I31" s="1"/>
      <c r="J31" s="1" t="s">
        <v>35</v>
      </c>
      <c r="K31" s="27">
        <f>IF(K13=0,"N/A",K30/K13)</f>
        <v>11.023728575946198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3">
        <f t="shared" si="0"/>
        <v>23</v>
      </c>
      <c r="C32" s="14" t="str">
        <v>Arbitrum</v>
      </c>
      <c r="D32" s="14" t="str">
        <v>uniswap-v3</v>
      </c>
      <c r="E32" s="14" t="str">
        <v>WBTC-USDC.E</v>
      </c>
      <c r="F32" s="13">
        <v>36.772190000000002</v>
      </c>
      <c r="G32" s="15">
        <v>20756</v>
      </c>
      <c r="H32" s="16" t="str">
        <v>9497e447-3a4a-4103-9059-6dbd36a5c616</v>
      </c>
      <c r="I32" s="1"/>
      <c r="J32" s="1" t="s">
        <v>36</v>
      </c>
      <c r="K32" s="19">
        <f>(K13*30)-K30</f>
        <v>86.070113634056952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3">
        <f t="shared" si="0"/>
        <v>24</v>
      </c>
      <c r="C33" s="14" t="str">
        <v>Arbitrum</v>
      </c>
      <c r="D33" s="14" t="str">
        <v>beefy</v>
      </c>
      <c r="E33" s="14" t="str">
        <v>WBTC-USDC</v>
      </c>
      <c r="F33" s="13">
        <v>36.430149999999998</v>
      </c>
      <c r="G33" s="15">
        <v>292087</v>
      </c>
      <c r="H33" s="16" t="str">
        <v>6924c07a-e30c-4c63-ab84-baab60b8db36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3">
        <f t="shared" si="0"/>
        <v>25</v>
      </c>
      <c r="C34" s="14" t="str">
        <v>Arbitrum</v>
      </c>
      <c r="D34" s="14" t="str">
        <v>beefy</v>
      </c>
      <c r="E34" s="14" t="str">
        <v>WBTC-USDC</v>
      </c>
      <c r="F34" s="13">
        <v>35.22457</v>
      </c>
      <c r="G34" s="15">
        <v>21873</v>
      </c>
      <c r="H34" s="16" t="str">
        <v>02883b42-aff4-4bbf-b326-f4d0f6022781</v>
      </c>
      <c r="I34" s="1"/>
      <c r="J34" s="8" t="s">
        <v>37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3">
        <f t="shared" si="0"/>
        <v>26</v>
      </c>
      <c r="C35" s="14" t="str">
        <v>Polygon</v>
      </c>
      <c r="D35" s="14" t="str">
        <v>uniswap-v4</v>
      </c>
      <c r="E35" s="14" t="str">
        <v>WBTC-WETH</v>
      </c>
      <c r="F35" s="13">
        <v>33.071930000000002</v>
      </c>
      <c r="G35" s="15">
        <v>123591</v>
      </c>
      <c r="H35" s="16" t="str">
        <v>e89ff8b2-cec7-43df-a4d5-0dee6ff65c86</v>
      </c>
      <c r="I35" s="1"/>
      <c r="J35" s="1" t="s">
        <v>38</v>
      </c>
      <c r="K35" s="24">
        <f>K8*0.1</f>
        <v>1000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3">
        <f t="shared" si="0"/>
        <v>27</v>
      </c>
      <c r="C36" s="14" t="str">
        <v>Sui</v>
      </c>
      <c r="D36" s="14" t="str">
        <v>bluefin-spot</v>
      </c>
      <c r="E36" s="14" t="str">
        <v>SUI-WBTC</v>
      </c>
      <c r="F36" s="13">
        <v>32.560130000000001</v>
      </c>
      <c r="G36" s="15">
        <v>84929</v>
      </c>
      <c r="H36" s="16" t="str">
        <v>d171da13-4dce-4dc5-9d08-92a4fe90658d</v>
      </c>
      <c r="I36" s="1"/>
      <c r="J36" s="1" t="s">
        <v>39</v>
      </c>
      <c r="K36" s="24">
        <f>K8*0.2</f>
        <v>2000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3">
        <f t="shared" si="0"/>
        <v>28</v>
      </c>
      <c r="C37" s="14" t="str">
        <v>Polygon</v>
      </c>
      <c r="D37" s="14" t="str">
        <v>steer-protocol</v>
      </c>
      <c r="E37" s="14" t="str">
        <v>WBTC-USDC</v>
      </c>
      <c r="F37" s="13">
        <v>32.14</v>
      </c>
      <c r="G37" s="15">
        <v>98144</v>
      </c>
      <c r="H37" s="16" t="str">
        <v>04072567-c1d4-4d0f-b794-a9e30fea96bb</v>
      </c>
      <c r="I37" s="1"/>
      <c r="J37" s="1" t="s">
        <v>40</v>
      </c>
      <c r="K37" s="24">
        <f>K8*0.5</f>
        <v>5000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3">
        <f t="shared" si="0"/>
        <v>29</v>
      </c>
      <c r="C38" s="14" t="str">
        <v>Polygon</v>
      </c>
      <c r="D38" s="14" t="str">
        <v>gt3</v>
      </c>
      <c r="E38" s="14" t="str">
        <v>GT3-WBTC</v>
      </c>
      <c r="F38" s="13">
        <v>32.003549999999997</v>
      </c>
      <c r="G38" s="15">
        <v>173961</v>
      </c>
      <c r="H38" s="16" t="str">
        <v>21ba7a14-13ca-4e9b-a484-54c14ad18730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3">
        <f t="shared" si="0"/>
        <v>30</v>
      </c>
      <c r="C39" s="14" t="str">
        <v>Neo</v>
      </c>
      <c r="D39" s="14" t="str">
        <v>flamingo-finance</v>
      </c>
      <c r="E39" s="14" t="str">
        <v>FLM-FWBTC</v>
      </c>
      <c r="F39" s="13">
        <v>31.96378</v>
      </c>
      <c r="G39" s="15">
        <v>88503</v>
      </c>
      <c r="H39" s="16" t="str">
        <v>4a00e2bc-9c2a-4556-a33e-205391bcde4e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3">
        <f t="shared" si="0"/>
        <v>31</v>
      </c>
      <c r="C40" s="14" t="str">
        <v>Arbitrum</v>
      </c>
      <c r="D40" s="14" t="str">
        <v>clipper</v>
      </c>
      <c r="E40" s="14" t="str">
        <v>USDT-ETH-WBTC-USDC-DAI-ARB</v>
      </c>
      <c r="F40" s="13">
        <v>31.14526</v>
      </c>
      <c r="G40" s="15">
        <v>41906</v>
      </c>
      <c r="H40" s="16" t="str">
        <v>c1d75243-d56e-47a5-a9f8-c03ce5f1e62b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3">
        <f t="shared" si="0"/>
        <v>32</v>
      </c>
      <c r="C41" s="14" t="str">
        <v>Solana</v>
      </c>
      <c r="D41" s="14" t="str">
        <v>orca-dex</v>
      </c>
      <c r="E41" s="14" t="str">
        <v>SOL-WBTC</v>
      </c>
      <c r="F41" s="13">
        <v>30.804939999999998</v>
      </c>
      <c r="G41" s="15">
        <v>2232399</v>
      </c>
      <c r="H41" s="16" t="str">
        <v>ab47588f-831d-489b-9520-095663bbea59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3">
        <f t="shared" si="0"/>
        <v>33</v>
      </c>
      <c r="C42" s="14" t="str">
        <v>Polygon</v>
      </c>
      <c r="D42" s="14" t="str">
        <v>steer-protocol</v>
      </c>
      <c r="E42" s="14" t="str">
        <v>WBTC-USDC</v>
      </c>
      <c r="F42" s="13">
        <v>29.82</v>
      </c>
      <c r="G42" s="15">
        <v>67862</v>
      </c>
      <c r="H42" s="16" t="str">
        <v>675a7eda-0c72-4a17-9265-56e07cd0da87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3">
        <f t="shared" si="0"/>
        <v>34</v>
      </c>
      <c r="C43" s="14" t="str">
        <v>Arbitrum</v>
      </c>
      <c r="D43" s="14" t="str">
        <v>uniswap-v4</v>
      </c>
      <c r="E43" s="14" t="str">
        <v>WBTC-USDC</v>
      </c>
      <c r="F43" s="13">
        <v>29.75806</v>
      </c>
      <c r="G43" s="15">
        <v>9350284</v>
      </c>
      <c r="H43" s="16" t="str">
        <v>76b2b84f-45f1-40e5-9b29-2cb365c4a7f8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3">
        <f t="shared" si="0"/>
        <v>35</v>
      </c>
      <c r="C44" s="14" t="str">
        <v>Solana</v>
      </c>
      <c r="D44" s="14" t="str">
        <v>orca-dex</v>
      </c>
      <c r="E44" s="14" t="str">
        <v>WBTC-JITOSOL</v>
      </c>
      <c r="F44" s="13">
        <v>28.19286</v>
      </c>
      <c r="G44" s="15">
        <v>37349</v>
      </c>
      <c r="H44" s="16" t="str">
        <v>d490b981-8aef-4bbf-b3c6-d3958236df2c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3">
        <f t="shared" si="0"/>
        <v>36</v>
      </c>
      <c r="C45" s="14" t="str">
        <v>Sui</v>
      </c>
      <c r="D45" s="14" t="str">
        <v>bluefin-spot</v>
      </c>
      <c r="E45" s="14" t="str">
        <v>LBTC-WBTC</v>
      </c>
      <c r="F45" s="13">
        <v>27.70204</v>
      </c>
      <c r="G45" s="15">
        <v>172798</v>
      </c>
      <c r="H45" s="16" t="str">
        <v>485a8e0f-8df5-46cc-b3ce-3459f5af4af8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3">
        <f t="shared" si="0"/>
        <v>37</v>
      </c>
      <c r="C46" s="14" t="str">
        <v>Arbitrum</v>
      </c>
      <c r="D46" s="14" t="str">
        <v>pancakeswap-amm-v3</v>
      </c>
      <c r="E46" s="14" t="str">
        <v>WBTC-USDC</v>
      </c>
      <c r="F46" s="13">
        <v>27.41038</v>
      </c>
      <c r="G46" s="15">
        <v>84284</v>
      </c>
      <c r="H46" s="16" t="str">
        <v>11a092be-a95c-464d-b68c-e7f257e29f8c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3">
        <f t="shared" si="0"/>
        <v>38</v>
      </c>
      <c r="C47" s="14" t="str">
        <v>Arbitrum</v>
      </c>
      <c r="D47" s="14" t="str">
        <v>gmx-v2-perps</v>
      </c>
      <c r="E47" s="14" t="str">
        <v>WBTC.B-USDC</v>
      </c>
      <c r="F47" s="13">
        <v>27.363130000000002</v>
      </c>
      <c r="G47" s="15">
        <v>491589</v>
      </c>
      <c r="H47" s="16" t="str">
        <v>f26c1104-f827-424e-98c7-a977fa0f7a9a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3">
        <f t="shared" si="0"/>
        <v>39</v>
      </c>
      <c r="C48" s="14" t="str">
        <v>Optimism</v>
      </c>
      <c r="D48" s="14" t="str">
        <v>uniswap-v3</v>
      </c>
      <c r="E48" s="14" t="str">
        <v>OP-WBTC</v>
      </c>
      <c r="F48" s="13">
        <v>27.223240000000001</v>
      </c>
      <c r="G48" s="15">
        <v>10012</v>
      </c>
      <c r="H48" s="16" t="str">
        <v>6110facf-5a21-4c0a-b43a-5be06992e42c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3">
        <f t="shared" si="0"/>
        <v>40</v>
      </c>
      <c r="C49" s="14" t="str">
        <v>Ethereum</v>
      </c>
      <c r="D49" s="14" t="str">
        <v>uniswap-v4</v>
      </c>
      <c r="E49" s="14" t="str">
        <v>WBTC-USDT</v>
      </c>
      <c r="F49" s="13">
        <v>26.583960000000001</v>
      </c>
      <c r="G49" s="15">
        <v>2470769</v>
      </c>
      <c r="H49" s="16" t="str">
        <v>c1c71e8c-070d-40b9-9bbd-49af29478fdd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3">
        <f t="shared" si="0"/>
        <v>41</v>
      </c>
      <c r="C50" s="14" t="str">
        <v>Bob</v>
      </c>
      <c r="D50" s="14" t="str">
        <v>uniswap-v3</v>
      </c>
      <c r="E50" s="14" t="str">
        <v>WBTC-BABY</v>
      </c>
      <c r="F50" s="13">
        <v>26.231179999999998</v>
      </c>
      <c r="G50" s="15">
        <v>275953</v>
      </c>
      <c r="H50" s="16" t="str">
        <v>d2eec6d5-db39-466a-a546-1720ff6f0de6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3">
        <f t="shared" si="0"/>
        <v>42</v>
      </c>
      <c r="C51" s="14" t="str">
        <v>Arbitrum</v>
      </c>
      <c r="D51" s="14" t="str">
        <v>uniswap-v3</v>
      </c>
      <c r="E51" s="14" t="str">
        <v>WBTC-USDT</v>
      </c>
      <c r="F51" s="13">
        <v>25.63261</v>
      </c>
      <c r="G51" s="15">
        <v>16080</v>
      </c>
      <c r="H51" s="16" t="str">
        <v>800b020e-9531-44f4-9319-4821f892ddc8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3">
        <f t="shared" si="0"/>
        <v>43</v>
      </c>
      <c r="C52" s="14" t="str">
        <v>Optimism</v>
      </c>
      <c r="D52" s="14" t="str">
        <v>uniswap-v3</v>
      </c>
      <c r="E52" s="14" t="str">
        <v>USDC-WBTC</v>
      </c>
      <c r="F52" s="13">
        <v>25.29336</v>
      </c>
      <c r="G52" s="15">
        <v>144342</v>
      </c>
      <c r="H52" s="16" t="str">
        <v>8294e8b2-88ff-4ad0-8e5d-c2d0b156e6a6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3">
        <f t="shared" si="0"/>
        <v>44</v>
      </c>
      <c r="C53" s="14" t="str">
        <v>Arbitrum</v>
      </c>
      <c r="D53" s="14" t="str">
        <v>gmx-v2-perps</v>
      </c>
      <c r="E53" s="14" t="str">
        <v>WBTC.B-USDC</v>
      </c>
      <c r="F53" s="13">
        <v>25.247509999999998</v>
      </c>
      <c r="G53" s="15">
        <v>805788</v>
      </c>
      <c r="H53" s="16" t="str">
        <v>b321cd14-b7eb-4347-85d5-fe7f9720b2d8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3">
        <f t="shared" si="0"/>
        <v>45</v>
      </c>
      <c r="C54" s="14" t="str">
        <v>Sui</v>
      </c>
      <c r="D54" s="14" t="str">
        <v>bluefin-spot</v>
      </c>
      <c r="E54" s="14" t="str">
        <v>XBTC-WBTC</v>
      </c>
      <c r="F54" s="13">
        <v>25.179510000000001</v>
      </c>
      <c r="G54" s="15">
        <v>844109</v>
      </c>
      <c r="H54" s="16" t="str">
        <v>87bf2211-3545-4894-9a22-019372cecf09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3">
        <f t="shared" si="0"/>
        <v>46</v>
      </c>
      <c r="C55" s="14" t="str">
        <v>Arbitrum</v>
      </c>
      <c r="D55" s="14" t="str">
        <v>uniswap-v3</v>
      </c>
      <c r="E55" s="14" t="str">
        <v>WBTC-USDT</v>
      </c>
      <c r="F55" s="13">
        <v>24.985379999999999</v>
      </c>
      <c r="G55" s="15">
        <v>7891900</v>
      </c>
      <c r="H55" s="16" t="str">
        <v>af3cd3a9-a9b8-483e-82c6-bf4fceb66584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3">
        <f t="shared" si="0"/>
        <v>47</v>
      </c>
      <c r="C56" s="14" t="str">
        <v>Sui</v>
      </c>
      <c r="D56" s="14" t="str">
        <v>bluefin-spot</v>
      </c>
      <c r="E56" s="14" t="str">
        <v>TBTC-WBTC</v>
      </c>
      <c r="F56" s="13">
        <v>24.051100000000002</v>
      </c>
      <c r="G56" s="15">
        <v>359217</v>
      </c>
      <c r="H56" s="16" t="str">
        <v>60dee18a-757d-4502-a6d9-496a07ba0e49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3">
        <f t="shared" si="0"/>
        <v>48</v>
      </c>
      <c r="C57" s="14" t="str">
        <v>Sui</v>
      </c>
      <c r="D57" s="14" t="str">
        <v>cetus-clmm</v>
      </c>
      <c r="E57" s="14" t="str">
        <v>ETH-WBTC</v>
      </c>
      <c r="F57" s="13">
        <v>23.94875</v>
      </c>
      <c r="G57" s="15">
        <v>76587</v>
      </c>
      <c r="H57" s="16" t="str">
        <v>d9b8deb4-dda0-4114-a827-d64d308580b1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3">
        <f t="shared" si="0"/>
        <v>49</v>
      </c>
      <c r="C58" s="14" t="str">
        <v>Arbitrum</v>
      </c>
      <c r="D58" s="14" t="str">
        <v>beefy</v>
      </c>
      <c r="E58" s="14" t="str">
        <v>WBTC-USDCE</v>
      </c>
      <c r="F58" s="13">
        <v>23.841090000000001</v>
      </c>
      <c r="G58" s="15">
        <v>39530</v>
      </c>
      <c r="H58" s="16" t="str">
        <v>282b96b5-8b53-4246-b002-d4ca36767b8e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3">
        <f t="shared" si="0"/>
        <v>50</v>
      </c>
      <c r="C59" s="14" t="str">
        <v>MultiversX</v>
      </c>
      <c r="D59" s="14" t="str">
        <v>xexchange</v>
      </c>
      <c r="E59" s="14" t="str">
        <v>WBTC-WEGLD</v>
      </c>
      <c r="F59" s="13">
        <v>23.657160000000001</v>
      </c>
      <c r="G59" s="15">
        <v>130077</v>
      </c>
      <c r="H59" s="16" t="str">
        <v>d6cf8ba7-1c0d-4160-923a-bee4142a041e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3"/>
      <c r="C60" s="14"/>
      <c r="D60" s="14"/>
      <c r="E60" s="14"/>
      <c r="F60" s="13"/>
      <c r="G60" s="15"/>
      <c r="H60" s="1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3"/>
      <c r="C61" s="14"/>
      <c r="D61" s="14"/>
      <c r="E61" s="14"/>
      <c r="F61" s="13"/>
      <c r="G61" s="15"/>
      <c r="H61" s="1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3"/>
      <c r="C62" s="14"/>
      <c r="D62" s="14"/>
      <c r="E62" s="14"/>
      <c r="F62" s="13"/>
      <c r="G62" s="15"/>
      <c r="H62" s="1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3"/>
      <c r="C63" s="14"/>
      <c r="D63" s="14"/>
      <c r="E63" s="14"/>
      <c r="F63" s="13"/>
      <c r="G63" s="15"/>
      <c r="H63" s="1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3"/>
      <c r="C64" s="14"/>
      <c r="D64" s="14"/>
      <c r="E64" s="14"/>
      <c r="F64" s="13"/>
      <c r="G64" s="15"/>
      <c r="H64" s="1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3"/>
      <c r="C65" s="14"/>
      <c r="D65" s="14"/>
      <c r="E65" s="14"/>
      <c r="F65" s="13"/>
      <c r="G65" s="15"/>
      <c r="H65" s="1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3"/>
      <c r="C66" s="14"/>
      <c r="D66" s="14"/>
      <c r="E66" s="14"/>
      <c r="F66" s="13"/>
      <c r="G66" s="15"/>
      <c r="H66" s="1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3"/>
      <c r="C67" s="14"/>
      <c r="D67" s="14"/>
      <c r="E67" s="14"/>
      <c r="F67" s="13"/>
      <c r="G67" s="15"/>
      <c r="H67" s="1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3"/>
      <c r="C68" s="14"/>
      <c r="D68" s="14"/>
      <c r="E68" s="14"/>
      <c r="F68" s="13"/>
      <c r="G68" s="15"/>
      <c r="H68" s="1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3"/>
      <c r="C69" s="14"/>
      <c r="D69" s="14"/>
      <c r="E69" s="14"/>
      <c r="F69" s="13"/>
      <c r="G69" s="15"/>
      <c r="H69" s="1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3"/>
      <c r="C70" s="14"/>
      <c r="D70" s="14"/>
      <c r="E70" s="14"/>
      <c r="F70" s="13"/>
      <c r="G70" s="15"/>
      <c r="H70" s="1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3"/>
      <c r="C71" s="14"/>
      <c r="D71" s="14"/>
      <c r="E71" s="14"/>
      <c r="F71" s="13"/>
      <c r="G71" s="15"/>
      <c r="H71" s="1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3"/>
      <c r="C72" s="14"/>
      <c r="D72" s="14"/>
      <c r="E72" s="14"/>
      <c r="F72" s="13"/>
      <c r="G72" s="15"/>
      <c r="H72" s="1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3"/>
      <c r="C73" s="14"/>
      <c r="D73" s="14"/>
      <c r="E73" s="14"/>
      <c r="F73" s="13"/>
      <c r="G73" s="15"/>
      <c r="H73" s="1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3"/>
      <c r="C74" s="14"/>
      <c r="D74" s="14"/>
      <c r="E74" s="14"/>
      <c r="F74" s="13"/>
      <c r="G74" s="15"/>
      <c r="H74" s="1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3"/>
      <c r="C75" s="14"/>
      <c r="D75" s="14"/>
      <c r="E75" s="14"/>
      <c r="F75" s="13"/>
      <c r="G75" s="15"/>
      <c r="H75" s="1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3"/>
      <c r="C76" s="14"/>
      <c r="D76" s="14"/>
      <c r="E76" s="14"/>
      <c r="F76" s="13"/>
      <c r="G76" s="15"/>
      <c r="H76" s="1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3"/>
      <c r="C77" s="14"/>
      <c r="D77" s="14"/>
      <c r="E77" s="14"/>
      <c r="F77" s="13"/>
      <c r="G77" s="15"/>
      <c r="H77" s="1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3"/>
      <c r="C78" s="14"/>
      <c r="D78" s="14"/>
      <c r="E78" s="14"/>
      <c r="F78" s="13"/>
      <c r="G78" s="15"/>
      <c r="H78" s="1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3"/>
      <c r="C79" s="14"/>
      <c r="D79" s="14"/>
      <c r="E79" s="14"/>
      <c r="F79" s="13"/>
      <c r="G79" s="15"/>
      <c r="H79" s="1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3"/>
      <c r="C80" s="14"/>
      <c r="D80" s="14"/>
      <c r="E80" s="14"/>
      <c r="F80" s="13"/>
      <c r="G80" s="15"/>
      <c r="H80" s="1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3"/>
      <c r="C81" s="14"/>
      <c r="D81" s="14"/>
      <c r="E81" s="14"/>
      <c r="F81" s="13"/>
      <c r="G81" s="15"/>
      <c r="H81" s="1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3"/>
      <c r="C82" s="14"/>
      <c r="D82" s="14"/>
      <c r="E82" s="14"/>
      <c r="F82" s="13"/>
      <c r="G82" s="15"/>
      <c r="H82" s="1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3"/>
      <c r="C83" s="14"/>
      <c r="D83" s="14"/>
      <c r="E83" s="14"/>
      <c r="F83" s="13"/>
      <c r="G83" s="15"/>
      <c r="H83" s="1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3"/>
      <c r="C84" s="14"/>
      <c r="D84" s="14"/>
      <c r="E84" s="14"/>
      <c r="F84" s="13"/>
      <c r="G84" s="15"/>
      <c r="H84" s="1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3"/>
      <c r="C85" s="14"/>
      <c r="D85" s="14"/>
      <c r="E85" s="14"/>
      <c r="F85" s="13"/>
      <c r="G85" s="15"/>
      <c r="H85" s="1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3"/>
      <c r="C86" s="14"/>
      <c r="D86" s="14"/>
      <c r="E86" s="14"/>
      <c r="F86" s="13"/>
      <c r="G86" s="15"/>
      <c r="H86" s="1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3"/>
      <c r="C87" s="14"/>
      <c r="D87" s="14"/>
      <c r="E87" s="14"/>
      <c r="F87" s="13"/>
      <c r="G87" s="15"/>
      <c r="H87" s="1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3"/>
      <c r="C88" s="14"/>
      <c r="D88" s="14"/>
      <c r="E88" s="14"/>
      <c r="F88" s="13"/>
      <c r="G88" s="15"/>
      <c r="H88" s="1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3"/>
      <c r="C89" s="14"/>
      <c r="D89" s="14"/>
      <c r="E89" s="14"/>
      <c r="F89" s="13"/>
      <c r="G89" s="15"/>
      <c r="H89" s="1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3"/>
      <c r="C90" s="14"/>
      <c r="D90" s="14"/>
      <c r="E90" s="14"/>
      <c r="F90" s="13"/>
      <c r="G90" s="15"/>
      <c r="H90" s="1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3"/>
      <c r="C91" s="14"/>
      <c r="D91" s="14"/>
      <c r="E91" s="14"/>
      <c r="F91" s="13"/>
      <c r="G91" s="15"/>
      <c r="H91" s="1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3"/>
      <c r="C92" s="14"/>
      <c r="D92" s="14"/>
      <c r="E92" s="14"/>
      <c r="F92" s="13"/>
      <c r="G92" s="15"/>
      <c r="H92" s="1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3"/>
      <c r="C93" s="14"/>
      <c r="D93" s="14"/>
      <c r="E93" s="14"/>
      <c r="F93" s="13"/>
      <c r="G93" s="15"/>
      <c r="H93" s="1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3"/>
      <c r="C94" s="14"/>
      <c r="D94" s="14"/>
      <c r="E94" s="14"/>
      <c r="F94" s="13"/>
      <c r="G94" s="15"/>
      <c r="H94" s="1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3"/>
      <c r="C95" s="14"/>
      <c r="D95" s="14"/>
      <c r="E95" s="14"/>
      <c r="F95" s="13"/>
      <c r="G95" s="15"/>
      <c r="H95" s="1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3"/>
      <c r="C96" s="14"/>
      <c r="D96" s="14"/>
      <c r="E96" s="14"/>
      <c r="F96" s="13"/>
      <c r="G96" s="15"/>
      <c r="H96" s="1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3"/>
      <c r="C97" s="14"/>
      <c r="D97" s="14"/>
      <c r="E97" s="14"/>
      <c r="F97" s="13"/>
      <c r="G97" s="15"/>
      <c r="H97" s="1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3"/>
      <c r="C98" s="14"/>
      <c r="D98" s="14"/>
      <c r="E98" s="14"/>
      <c r="F98" s="13"/>
      <c r="G98" s="15"/>
      <c r="H98" s="1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3"/>
      <c r="C99" s="14"/>
      <c r="D99" s="14"/>
      <c r="E99" s="14"/>
      <c r="F99" s="13"/>
      <c r="G99" s="15"/>
      <c r="H99" s="1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3"/>
      <c r="C100" s="14"/>
      <c r="D100" s="14"/>
      <c r="E100" s="14"/>
      <c r="F100" s="13"/>
      <c r="G100" s="15"/>
      <c r="H100" s="1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">
    <mergeCell ref="B1:H1"/>
    <mergeCell ref="B2:H2"/>
    <mergeCell ref="B4:H4"/>
    <mergeCell ref="J4:M4"/>
    <mergeCell ref="J5:M5"/>
  </mergeCells>
  <conditionalFormatting sqref="K9">
    <cfRule type="containsBlanks" dxfId="1" priority="1">
      <formula>LEN(TRIM(K9))=0</formula>
    </cfRule>
    <cfRule type="notContainsBlanks" dxfId="0" priority="2">
      <formula>LEN(TRIM(K9))&gt;0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84"/>
  <sheetViews>
    <sheetView workbookViewId="0"/>
  </sheetViews>
  <sheetFormatPr defaultColWidth="14.42578125" defaultRowHeight="15" customHeight="1" x14ac:dyDescent="0.25"/>
  <cols>
    <col min="1" max="1" width="100" customWidth="1"/>
    <col min="2" max="26" width="8.7109375" customWidth="1"/>
  </cols>
  <sheetData>
    <row r="1" spans="1:1" ht="18.75" x14ac:dyDescent="0.25">
      <c r="A1" s="28" t="s">
        <v>0</v>
      </c>
    </row>
    <row r="2" spans="1:1" x14ac:dyDescent="0.25">
      <c r="A2" s="29"/>
    </row>
    <row r="3" spans="1:1" ht="15.75" x14ac:dyDescent="0.25">
      <c r="A3" s="30" t="s">
        <v>41</v>
      </c>
    </row>
    <row r="4" spans="1:1" x14ac:dyDescent="0.25">
      <c r="A4" s="29"/>
    </row>
    <row r="5" spans="1:1" x14ac:dyDescent="0.25">
      <c r="A5" s="31" t="s">
        <v>42</v>
      </c>
    </row>
    <row r="6" spans="1:1" x14ac:dyDescent="0.25">
      <c r="A6" s="32" t="s">
        <v>43</v>
      </c>
    </row>
    <row r="7" spans="1:1" x14ac:dyDescent="0.25">
      <c r="A7" s="32" t="s">
        <v>44</v>
      </c>
    </row>
    <row r="8" spans="1:1" x14ac:dyDescent="0.25">
      <c r="A8" s="32" t="s">
        <v>45</v>
      </c>
    </row>
    <row r="9" spans="1:1" x14ac:dyDescent="0.25">
      <c r="A9" s="32" t="s">
        <v>46</v>
      </c>
    </row>
    <row r="10" spans="1:1" x14ac:dyDescent="0.25">
      <c r="A10" s="32" t="s">
        <v>47</v>
      </c>
    </row>
    <row r="11" spans="1:1" x14ac:dyDescent="0.25">
      <c r="A11" s="29"/>
    </row>
    <row r="12" spans="1:1" x14ac:dyDescent="0.25">
      <c r="A12" s="31" t="s">
        <v>48</v>
      </c>
    </row>
    <row r="13" spans="1:1" x14ac:dyDescent="0.25">
      <c r="A13" s="32" t="s">
        <v>49</v>
      </c>
    </row>
    <row r="14" spans="1:1" x14ac:dyDescent="0.25">
      <c r="A14" s="32" t="s">
        <v>50</v>
      </c>
    </row>
    <row r="15" spans="1:1" x14ac:dyDescent="0.25">
      <c r="A15" s="32" t="s">
        <v>51</v>
      </c>
    </row>
    <row r="16" spans="1:1" x14ac:dyDescent="0.25">
      <c r="A16" s="32" t="s">
        <v>52</v>
      </c>
    </row>
    <row r="17" spans="1:1" x14ac:dyDescent="0.25">
      <c r="A17" s="32" t="s">
        <v>53</v>
      </c>
    </row>
    <row r="18" spans="1:1" x14ac:dyDescent="0.25">
      <c r="A18" s="32" t="s">
        <v>54</v>
      </c>
    </row>
    <row r="19" spans="1:1" x14ac:dyDescent="0.25">
      <c r="A19" s="29"/>
    </row>
    <row r="20" spans="1:1" ht="15.75" x14ac:dyDescent="0.25">
      <c r="A20" s="30" t="s">
        <v>55</v>
      </c>
    </row>
    <row r="21" spans="1:1" ht="15.75" customHeight="1" x14ac:dyDescent="0.25">
      <c r="A21" s="33" t="s">
        <v>56</v>
      </c>
    </row>
    <row r="22" spans="1:1" ht="15.75" customHeight="1" x14ac:dyDescent="0.25">
      <c r="A22" s="32" t="s">
        <v>57</v>
      </c>
    </row>
    <row r="23" spans="1:1" ht="15.75" customHeight="1" x14ac:dyDescent="0.25">
      <c r="A23" s="32" t="s">
        <v>58</v>
      </c>
    </row>
    <row r="24" spans="1:1" ht="15.75" customHeight="1" x14ac:dyDescent="0.25">
      <c r="A24" s="32" t="s">
        <v>59</v>
      </c>
    </row>
    <row r="25" spans="1:1" ht="15.75" customHeight="1" x14ac:dyDescent="0.25">
      <c r="A25" s="32" t="s">
        <v>60</v>
      </c>
    </row>
    <row r="26" spans="1:1" ht="15.75" customHeight="1" x14ac:dyDescent="0.25">
      <c r="A26" s="32" t="s">
        <v>61</v>
      </c>
    </row>
    <row r="27" spans="1:1" ht="15.75" customHeight="1" x14ac:dyDescent="0.25">
      <c r="A27" s="32" t="s">
        <v>62</v>
      </c>
    </row>
    <row r="28" spans="1:1" ht="15.75" customHeight="1" x14ac:dyDescent="0.25">
      <c r="A28" s="29"/>
    </row>
    <row r="29" spans="1:1" ht="15.75" customHeight="1" x14ac:dyDescent="0.25">
      <c r="A29" s="33" t="s">
        <v>63</v>
      </c>
    </row>
    <row r="30" spans="1:1" ht="15.75" customHeight="1" x14ac:dyDescent="0.25">
      <c r="A30" s="32" t="s">
        <v>64</v>
      </c>
    </row>
    <row r="31" spans="1:1" ht="15.75" customHeight="1" x14ac:dyDescent="0.25">
      <c r="A31" s="32" t="s">
        <v>65</v>
      </c>
    </row>
    <row r="32" spans="1:1" ht="15.75" customHeight="1" x14ac:dyDescent="0.25">
      <c r="A32" s="32" t="s">
        <v>66</v>
      </c>
    </row>
    <row r="33" spans="1:1" ht="15.75" customHeight="1" x14ac:dyDescent="0.25">
      <c r="A33" s="32" t="s">
        <v>67</v>
      </c>
    </row>
    <row r="34" spans="1:1" ht="15.75" customHeight="1" x14ac:dyDescent="0.25">
      <c r="A34" s="32" t="s">
        <v>68</v>
      </c>
    </row>
    <row r="35" spans="1:1" ht="15.75" customHeight="1" x14ac:dyDescent="0.25">
      <c r="A35" s="29"/>
    </row>
    <row r="36" spans="1:1" ht="15.75" customHeight="1" x14ac:dyDescent="0.25">
      <c r="A36" s="30" t="s">
        <v>69</v>
      </c>
    </row>
    <row r="37" spans="1:1" ht="15.75" customHeight="1" x14ac:dyDescent="0.25">
      <c r="A37" s="29"/>
    </row>
    <row r="38" spans="1:1" ht="15.75" customHeight="1" x14ac:dyDescent="0.25">
      <c r="A38" s="33" t="s">
        <v>70</v>
      </c>
    </row>
    <row r="39" spans="1:1" ht="15.75" customHeight="1" x14ac:dyDescent="0.25">
      <c r="A39" s="32" t="s">
        <v>71</v>
      </c>
    </row>
    <row r="40" spans="1:1" ht="15.75" customHeight="1" x14ac:dyDescent="0.25">
      <c r="A40" s="32" t="s">
        <v>72</v>
      </c>
    </row>
    <row r="41" spans="1:1" ht="15.75" customHeight="1" x14ac:dyDescent="0.25">
      <c r="A41" s="32" t="s">
        <v>73</v>
      </c>
    </row>
    <row r="42" spans="1:1" ht="15.75" customHeight="1" x14ac:dyDescent="0.25">
      <c r="A42" s="32" t="s">
        <v>74</v>
      </c>
    </row>
    <row r="43" spans="1:1" ht="15.75" customHeight="1" x14ac:dyDescent="0.25">
      <c r="A43" s="29"/>
    </row>
    <row r="44" spans="1:1" ht="15.75" customHeight="1" x14ac:dyDescent="0.25">
      <c r="A44" s="33" t="s">
        <v>75</v>
      </c>
    </row>
    <row r="45" spans="1:1" ht="15.75" customHeight="1" x14ac:dyDescent="0.25">
      <c r="A45" s="32" t="s">
        <v>76</v>
      </c>
    </row>
    <row r="46" spans="1:1" ht="15.75" customHeight="1" x14ac:dyDescent="0.25">
      <c r="A46" s="32" t="s">
        <v>77</v>
      </c>
    </row>
    <row r="47" spans="1:1" ht="15.75" customHeight="1" x14ac:dyDescent="0.25">
      <c r="A47" s="32" t="s">
        <v>78</v>
      </c>
    </row>
    <row r="48" spans="1:1" ht="15.75" customHeight="1" x14ac:dyDescent="0.25">
      <c r="A48" s="32" t="s">
        <v>79</v>
      </c>
    </row>
    <row r="49" spans="1:1" ht="15.75" customHeight="1" x14ac:dyDescent="0.25">
      <c r="A49" s="32" t="s">
        <v>80</v>
      </c>
    </row>
    <row r="50" spans="1:1" ht="15.75" customHeight="1" x14ac:dyDescent="0.25">
      <c r="A50" s="32" t="s">
        <v>81</v>
      </c>
    </row>
    <row r="51" spans="1:1" ht="15.75" customHeight="1" x14ac:dyDescent="0.25">
      <c r="A51" s="29"/>
    </row>
    <row r="52" spans="1:1" ht="15.75" customHeight="1" x14ac:dyDescent="0.25">
      <c r="A52" s="30" t="s">
        <v>82</v>
      </c>
    </row>
    <row r="53" spans="1:1" ht="15.75" customHeight="1" x14ac:dyDescent="0.25">
      <c r="A53" s="32" t="s">
        <v>83</v>
      </c>
    </row>
    <row r="54" spans="1:1" ht="15.75" customHeight="1" x14ac:dyDescent="0.25">
      <c r="A54" s="32" t="s">
        <v>84</v>
      </c>
    </row>
    <row r="55" spans="1:1" ht="15.75" customHeight="1" x14ac:dyDescent="0.25">
      <c r="A55" s="32" t="s">
        <v>85</v>
      </c>
    </row>
    <row r="56" spans="1:1" ht="15.75" customHeight="1" x14ac:dyDescent="0.25">
      <c r="A56" s="32" t="s">
        <v>86</v>
      </c>
    </row>
    <row r="57" spans="1:1" ht="15.75" customHeight="1" x14ac:dyDescent="0.25">
      <c r="A57" s="32" t="s">
        <v>87</v>
      </c>
    </row>
    <row r="58" spans="1:1" ht="15.75" customHeight="1" x14ac:dyDescent="0.25">
      <c r="A58" s="29"/>
    </row>
    <row r="59" spans="1:1" ht="15.75" customHeight="1" x14ac:dyDescent="0.25">
      <c r="A59" s="30" t="s">
        <v>88</v>
      </c>
    </row>
    <row r="60" spans="1:1" ht="15.75" customHeight="1" x14ac:dyDescent="0.25">
      <c r="A60" s="32" t="s">
        <v>89</v>
      </c>
    </row>
    <row r="61" spans="1:1" ht="15.75" customHeight="1" x14ac:dyDescent="0.25">
      <c r="A61" s="32" t="s">
        <v>90</v>
      </c>
    </row>
    <row r="62" spans="1:1" ht="15.75" customHeight="1" x14ac:dyDescent="0.25">
      <c r="A62" s="32" t="s">
        <v>91</v>
      </c>
    </row>
    <row r="63" spans="1:1" ht="15.75" customHeight="1" x14ac:dyDescent="0.25">
      <c r="A63" s="32" t="s">
        <v>92</v>
      </c>
    </row>
    <row r="64" spans="1:1" ht="15.75" customHeight="1" x14ac:dyDescent="0.25">
      <c r="A64" s="32" t="s">
        <v>93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Multi-Chain Yield Finder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Margida</cp:lastModifiedBy>
  <dcterms:created xsi:type="dcterms:W3CDTF">2026-01-08T15:05:53Z</dcterms:created>
  <dcterms:modified xsi:type="dcterms:W3CDTF">2026-01-08T15:05:53Z</dcterms:modified>
</cp:coreProperties>
</file>