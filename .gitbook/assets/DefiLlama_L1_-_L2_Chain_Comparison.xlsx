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marg\Downloads\"/>
    </mc:Choice>
  </mc:AlternateContent>
  <xr:revisionPtr revIDLastSave="0" documentId="8_{2186CE59-29ED-4935-9630-7C03B29C8C00}" xr6:coauthVersionLast="47" xr6:coauthVersionMax="47" xr10:uidLastSave="{00000000-0000-0000-0000-000000000000}"/>
  <bookViews>
    <workbookView xWindow="765" yWindow="390" windowWidth="27930" windowHeight="16590" xr2:uid="{00000000-000D-0000-FFFF-FFFF00000000}"/>
  </bookViews>
  <sheets>
    <sheet name="Chain Comparison" sheetId="1" r:id="rId1"/>
    <sheet name="Instructions" sheetId="2" r:id="rId2"/>
    <sheet name="Top Chains (Live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 a="1"/>
  <c r="B4" i="3" s="1"/>
  <c r="D28" i="1" a="1"/>
  <c r="D28" i="1" s="1"/>
  <c r="E28" i="1" a="1"/>
  <c r="E28" i="1" s="1"/>
  <c r="F28" i="1" a="1"/>
  <c r="F28" i="1" s="1"/>
  <c r="G28" i="1" a="1"/>
  <c r="G28" i="1" s="1"/>
  <c r="H28" i="1" a="1"/>
  <c r="H28" i="1" s="1"/>
  <c r="D29" i="1" a="1"/>
  <c r="D29" i="1" s="1"/>
  <c r="E29" i="1" a="1"/>
  <c r="E29" i="1" s="1"/>
  <c r="F29" i="1" a="1"/>
  <c r="F29" i="1" s="1"/>
  <c r="G29" i="1" a="1"/>
  <c r="G29" i="1" s="1"/>
  <c r="H29" i="1" a="1"/>
  <c r="H29" i="1" s="1"/>
  <c r="D30" i="1" a="1"/>
  <c r="D30" i="1" s="1"/>
  <c r="E30" i="1" a="1"/>
  <c r="E30" i="1" s="1"/>
  <c r="F30" i="1" a="1"/>
  <c r="F30" i="1" s="1"/>
  <c r="G30" i="1" a="1"/>
  <c r="G30" i="1" s="1"/>
  <c r="H30" i="1" a="1"/>
  <c r="H30" i="1" s="1"/>
  <c r="D13" i="1" a="1"/>
  <c r="D13" i="1" s="1"/>
  <c r="E13" i="1" a="1"/>
  <c r="E13" i="1" s="1"/>
  <c r="F13" i="1" a="1"/>
  <c r="F13" i="1" s="1"/>
  <c r="G13" i="1" a="1"/>
  <c r="G13" i="1" s="1"/>
  <c r="H13" i="1" a="1"/>
  <c r="H13" i="1" s="1"/>
  <c r="D14" i="1" a="1"/>
  <c r="D14" i="1" s="1"/>
  <c r="E14" i="1" a="1"/>
  <c r="E14" i="1" s="1"/>
  <c r="F14" i="1" a="1"/>
  <c r="F14" i="1" s="1"/>
  <c r="G14" i="1" a="1"/>
  <c r="G14" i="1" s="1"/>
  <c r="H14" i="1" a="1"/>
  <c r="H14" i="1" s="1"/>
  <c r="D15" i="1" a="1"/>
  <c r="D15" i="1" s="1"/>
  <c r="E15" i="1" a="1"/>
  <c r="E15" i="1" s="1"/>
  <c r="F15" i="1" a="1"/>
  <c r="F15" i="1" s="1"/>
  <c r="G15" i="1" a="1"/>
  <c r="G15" i="1" s="1"/>
  <c r="H15" i="1" a="1"/>
  <c r="H15" i="1" s="1"/>
  <c r="D16" i="1" a="1"/>
  <c r="D16" i="1" s="1"/>
  <c r="E16" i="1" a="1"/>
  <c r="E16" i="1" s="1"/>
  <c r="F16" i="1" a="1"/>
  <c r="F16" i="1" s="1"/>
  <c r="G16" i="1" a="1"/>
  <c r="G16" i="1" s="1"/>
  <c r="H16" i="1" a="1"/>
  <c r="H16" i="1" s="1"/>
  <c r="D17" i="1" a="1"/>
  <c r="D17" i="1" s="1"/>
  <c r="E17" i="1" a="1"/>
  <c r="E17" i="1" s="1"/>
  <c r="F17" i="1" a="1"/>
  <c r="F17" i="1" s="1"/>
  <c r="G17" i="1" a="1"/>
  <c r="G17" i="1" s="1"/>
  <c r="H17" i="1" a="1"/>
  <c r="H17" i="1" s="1"/>
  <c r="D18" i="1" a="1"/>
  <c r="D18" i="1" s="1"/>
  <c r="E18" i="1" a="1"/>
  <c r="E18" i="1" s="1"/>
  <c r="F18" i="1" a="1"/>
  <c r="F18" i="1" s="1"/>
  <c r="G18" i="1" a="1"/>
  <c r="G18" i="1" s="1"/>
  <c r="H18" i="1" a="1"/>
  <c r="H18" i="1" s="1"/>
  <c r="D12" i="1" a="1"/>
  <c r="D12" i="1" s="1"/>
  <c r="E12" i="1" a="1"/>
  <c r="E12" i="1" s="1"/>
  <c r="F12" i="1" a="1"/>
  <c r="F12" i="1" s="1"/>
  <c r="G12" i="1" a="1"/>
  <c r="G12" i="1" s="1"/>
  <c r="H12" i="1" a="1"/>
  <c r="H12" i="1" s="1"/>
  <c r="D11" i="1" a="1"/>
  <c r="D11" i="1" s="1"/>
  <c r="E11" i="1" a="1"/>
  <c r="E11" i="1" s="1"/>
  <c r="F11" i="1" a="1"/>
  <c r="F11" i="1" s="1"/>
  <c r="G11" i="1" a="1"/>
  <c r="G11" i="1" s="1"/>
  <c r="H11" i="1" a="1"/>
  <c r="H11" i="1" s="1"/>
  <c r="C30" i="1" a="1"/>
  <c r="C30" i="1" s="1"/>
  <c r="C29" i="1" a="1"/>
  <c r="C29" i="1" s="1"/>
  <c r="C28" i="1" a="1"/>
  <c r="C28" i="1" s="1"/>
  <c r="C18" i="1" a="1"/>
  <c r="C18" i="1" s="1"/>
  <c r="C17" i="1" a="1"/>
  <c r="C17" i="1" s="1"/>
  <c r="C16" i="1" a="1"/>
  <c r="C16" i="1" s="1"/>
  <c r="C15" i="1" a="1"/>
  <c r="C15" i="1" s="1"/>
  <c r="C14" i="1" a="1"/>
  <c r="C14" i="1" s="1"/>
  <c r="C13" i="1" a="1"/>
  <c r="C13" i="1" s="1"/>
  <c r="C12" i="1" a="1"/>
  <c r="C12" i="1" s="1"/>
  <c r="C11" i="1" a="1"/>
  <c r="C11" i="1" s="1"/>
  <c r="D10" i="1" a="1"/>
  <c r="D10" i="1" s="1"/>
  <c r="E10" i="1" a="1"/>
  <c r="E10" i="1" s="1"/>
  <c r="F10" i="1" a="1"/>
  <c r="F10" i="1" s="1"/>
  <c r="G10" i="1" a="1"/>
  <c r="G10" i="1" s="1"/>
  <c r="H10" i="1" a="1"/>
  <c r="H10" i="1" s="1"/>
  <c r="C10" i="1" a="1"/>
  <c r="C10" i="1" s="1"/>
  <c r="H8" i="1"/>
  <c r="G8" i="1"/>
  <c r="F8" i="1"/>
  <c r="E8" i="1"/>
  <c r="D8" i="1"/>
  <c r="C8" i="1"/>
  <c r="C3" i="1"/>
  <c r="D23" i="1" l="1"/>
  <c r="G22" i="1"/>
  <c r="C22" i="1"/>
  <c r="E21" i="1"/>
  <c r="C24" i="1"/>
  <c r="E23" i="1"/>
  <c r="E25" i="1"/>
  <c r="F23" i="1"/>
  <c r="F25" i="1"/>
  <c r="F22" i="1"/>
  <c r="H21" i="1"/>
  <c r="G23" i="1"/>
  <c r="G25" i="1"/>
  <c r="H25" i="1"/>
  <c r="C21" i="1"/>
  <c r="D21" i="1"/>
  <c r="F24" i="1"/>
  <c r="D22" i="1"/>
  <c r="F21" i="1"/>
  <c r="H24" i="1"/>
  <c r="G24" i="1"/>
  <c r="H22" i="1"/>
  <c r="E22" i="1"/>
  <c r="G21" i="1"/>
  <c r="C23" i="1"/>
  <c r="C25" i="1"/>
  <c r="D25" i="1"/>
  <c r="H23" i="1"/>
  <c r="D24" i="1"/>
  <c r="E2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<sst xmlns="http://schemas.openxmlformats.org/spreadsheetml/2006/main" count="139" uniqueCount="137">
  <si>
    <t>DefiLlama Chain Comparison Table</t>
  </si>
  <si>
    <t>Compare Chains side-by-side across all key metrics</t>
  </si>
  <si>
    <t>Today's Date:</t>
  </si>
  <si>
    <t>🔗 CHAINS TO COMPARE</t>
  </si>
  <si>
    <t>Enter Chain names (see "Top Chains (Live)" sheet for current rankings):</t>
  </si>
  <si>
    <t>Chain Name:</t>
  </si>
  <si>
    <t>ethereum</t>
  </si>
  <si>
    <t>solana</t>
  </si>
  <si>
    <t>arbitrum</t>
  </si>
  <si>
    <t>op</t>
  </si>
  <si>
    <t>hyperliquid-l1</t>
  </si>
  <si>
    <t>📊 METRICS COMPARISON</t>
  </si>
  <si>
    <t>Metric</t>
  </si>
  <si>
    <t>DEFI ACTIVITY METRICS</t>
  </si>
  <si>
    <t>TVL</t>
  </si>
  <si>
    <t>24H Fees</t>
  </si>
  <si>
    <t>7D Fees</t>
  </si>
  <si>
    <t>30D Fees</t>
  </si>
  <si>
    <t>24H Revenue</t>
  </si>
  <si>
    <t>7D Revenue</t>
  </si>
  <si>
    <t>30D Revenue</t>
  </si>
  <si>
    <t>24H Volume</t>
  </si>
  <si>
    <t>Stablecoin Mcap</t>
  </si>
  <si>
    <t>VALUATION RATIOS</t>
  </si>
  <si>
    <t>FDV / TVL</t>
  </si>
  <si>
    <t>Market Cap / TVL</t>
  </si>
  <si>
    <t>Fee Yield on TVL</t>
  </si>
  <si>
    <t>P/F Ratio (Annual)</t>
  </si>
  <si>
    <t>Revenue/TVL (Annual)</t>
  </si>
  <si>
    <t>TOKEN METRICS</t>
  </si>
  <si>
    <t>Token Price</t>
  </si>
  <si>
    <t>Market Cap</t>
  </si>
  <si>
    <t>FDV</t>
  </si>
  <si>
    <t>Chain DeFi Performance Comparison - Instructions</t>
  </si>
  <si>
    <t>OVERVIEW</t>
  </si>
  <si>
    <t>This template compares the DeFi financial performance and protocol economics of major blockchain networks using live DefiLlama data.</t>
  </si>
  <si>
    <t>Compare L1s (Ethereum, Solana, Avalanche) and L2s (Arbitrum, Base, Optimism, Polygon) across key metrics like TVL, fees, revenue, and valuation ratios.</t>
  </si>
  <si>
    <t>HOW TO USE</t>
  </si>
  <si>
    <t>To compare different chains:</t>
  </si>
  <si>
    <t xml:space="preserve">   • Simply replace any chain name in Row 6 (the yellow input cells)</t>
  </si>
  <si>
    <t xml:space="preserve">   • Use the exact chain name as it appears on DefiLlama</t>
  </si>
  <si>
    <t xml:space="preserve">   • All metrics will automatically update</t>
  </si>
  <si>
    <t>FINDING CHAIN NAMES</t>
  </si>
  <si>
    <t>The 'Top Chains (Live)' sheet shows ALL Chains tracked by DefiLlama, automatically sorted by TVL.</t>
  </si>
  <si>
    <t>To find the correct chain name on DefiLlama:</t>
  </si>
  <si>
    <t>1. Visit defillama.com/chains</t>
  </si>
  <si>
    <t>2. Find your chain in the list</t>
  </si>
  <si>
    <t>3. Click on the chain to view its page</t>
  </si>
  <si>
    <t>4. The chain name in the URL is what you need (e.g., defillama.com/chain/Arbitrum → use 'Arbitrum')</t>
  </si>
  <si>
    <t>Common chain names:</t>
  </si>
  <si>
    <t>• L1s: Ethereum, Solana, Avalanche, BNB, Cardano, Polygon, Fantom, Cronos, Near, Aptos, Sui</t>
  </si>
  <si>
    <t>• L2s: Arbitrum, Optimism, Base, Polygon, zkSync Era, Linea, Scroll, Mantle, Blast</t>
  </si>
  <si>
    <t>UNDERSTANDING THE METRICS</t>
  </si>
  <si>
    <t>• Token Price - Current price of the chain's native token</t>
  </si>
  <si>
    <t>• Market Cap - Circulating supply × price (current valuation)</t>
  </si>
  <si>
    <t>• FDV (Fully Diluted Valuation) - Total supply × price (maximum potential valuation)</t>
  </si>
  <si>
    <t>• TVL (Total Value Locked) - Total value of assets deposited in DeFi protocols on this chain</t>
  </si>
  <si>
    <t>• 24H/7D/30D Fees - Transaction fees paid by users on the chain</t>
  </si>
  <si>
    <t>• 24H/7D/30D Revenue - Portion of fees that goes to the chain/validators (not always available)</t>
  </si>
  <si>
    <t>• 24H Volume - DEX trading volume on the chain</t>
  </si>
  <si>
    <t>• Stablecoin Mcap - Total value of stablecoins on this chain</t>
  </si>
  <si>
    <t>VALUATION RATIOS (Key Metrics for Analysis)</t>
  </si>
  <si>
    <t>• FDV/TVL - Valuation efficiency. Lower = better value</t>
  </si>
  <si>
    <t>• Market Cap/TVL - Similar to FDV/TVL but uses circulating supply</t>
  </si>
  <si>
    <t>• Fee Yield on TVL - Annual fee generation rate. Shows if the chain is profitable relative to capital locked</t>
  </si>
  <si>
    <t>• P/F Ratio (Price to Fees) - Like P/E ratio for stocks. Lower = better value</t>
  </si>
  <si>
    <t>• Revenue/TVL - Annual revenue generation rate relative to TVL</t>
  </si>
  <si>
    <t>PRICE PERFORMANCE</t>
  </si>
  <si>
    <t>• 24H/7D/30D Price Change % - Percentage change in token price over different timeframes</t>
  </si>
  <si>
    <t>METRIC CHANGES</t>
  </si>
  <si>
    <t>• Fee Change % - Growth or decline in fee generation (shows activity trends)</t>
  </si>
  <si>
    <t>• TVL Change % - Growth or decline in capital locked (shows DeFi adoption trends)</t>
  </si>
  <si>
    <t>INTERPRETING THE DATA</t>
  </si>
  <si>
    <t>What to look for when comparing chains:</t>
  </si>
  <si>
    <t>SUSTAINABLE REVENUE:</t>
  </si>
  <si>
    <t>• Fee Yield on TVL &gt; 5% → Chain is generating healthy fees relative to capital locked</t>
  </si>
  <si>
    <t>• P/F Ratio &lt; 200 → Chain is reasonably valued relative to fee generation</t>
  </si>
  <si>
    <t>GROWTH &amp; MOMENTUM:</t>
  </si>
  <si>
    <t>• Positive Fee Change % → Activity is increasing</t>
  </si>
  <si>
    <t>• Positive TVL Change % → Capital is flowing in</t>
  </si>
  <si>
    <t>• Negative changes → Activity declining</t>
  </si>
  <si>
    <t>INFRASTRUCTURE MATURITY:</t>
  </si>
  <si>
    <t>• High Stablecoin Mcap → Strong payment/DeFi infrastructure</t>
  </si>
  <si>
    <t>• High Volume → Active trading ecosystem</t>
  </si>
  <si>
    <t>EXAMPLE USE CASES</t>
  </si>
  <si>
    <t>1. L2 Comparison:</t>
  </si>
  <si>
    <t xml:space="preserve">   Question: 'Which L2 is capturing the most activity?'</t>
  </si>
  <si>
    <t xml:space="preserve">   Look at: TVL, 24H Fees, 24H Volume, Fee Change %</t>
  </si>
  <si>
    <t>2. Valuation Analysis:</t>
  </si>
  <si>
    <t xml:space="preserve">   Question: 'Is Solana overvalued vs Ethereum based on DeFi usage?'</t>
  </si>
  <si>
    <t xml:space="preserve">   Look at: FDV/TVL ratio, Market Cap/TVL ratio, Fee Yield on TVL</t>
  </si>
  <si>
    <t>3. Protocol Deployment:</t>
  </si>
  <si>
    <t xml:space="preserve">   Question: 'Where should I deploy my DeFi protocol?'</t>
  </si>
  <si>
    <t xml:space="preserve">   Look at: TVL (liquidity depth), Stablecoin Mcap (payment infrastructure), Volume</t>
  </si>
  <si>
    <t>4. Investment Decision:</t>
  </si>
  <si>
    <t xml:space="preserve">   Question: 'Which chain has sustainable revenue generation?'</t>
  </si>
  <si>
    <t xml:space="preserve">   Look at: Fee Yield on TVL, P/F Ratio, Fee Change % (growth trend)</t>
  </si>
  <si>
    <t>5. Trend Analysis:</t>
  </si>
  <si>
    <t xml:space="preserve">   Question: 'Which chains are growing vs declining?'</t>
  </si>
  <si>
    <t xml:space="preserve">   Look at: TVL Change %, Fee Change %, compare 7D vs 30D trends</t>
  </si>
  <si>
    <t>Good Signs:</t>
  </si>
  <si>
    <t>✅ FDV/TVL &lt; 1.0 (Chain valued less than TVL)</t>
  </si>
  <si>
    <t>✅ Growing TVL over time</t>
  </si>
  <si>
    <t>✅ High fee generation relative to TVL, fee growth</t>
  </si>
  <si>
    <t>✅ Consistent revenue, revenue growth</t>
  </si>
  <si>
    <t>✅ Low P/F ratio compared to competitors</t>
  </si>
  <si>
    <t>Warning Signs:</t>
  </si>
  <si>
    <t>⚠️ Declining TVL</t>
  </si>
  <si>
    <t>⚠️ Very low or no fee generation</t>
  </si>
  <si>
    <t>⚠️ High P/F ratio</t>
  </si>
  <si>
    <t>⚠️ Large gap between FDV and Market Cap (token unlock risk)</t>
  </si>
  <si>
    <t>LIMITATIONS &amp; NOTES</t>
  </si>
  <si>
    <t>• Not all chains report revenue data - some cells may show '-' or be empty</t>
  </si>
  <si>
    <t>• Volume data only includes DEX trading, not centralized exchange volume</t>
  </si>
  <si>
    <t>• Price changes use historical data and require DEFILLAMA_HISTORICAL function</t>
  </si>
  <si>
    <t>CUSTOMIZATION TIPS</t>
  </si>
  <si>
    <t>• Sort by any metric column to rank chains by that metric</t>
  </si>
  <si>
    <t>• Add conditional formatting to highlight top/bottom performers</t>
  </si>
  <si>
    <t>• Create charts from the data for visual comparison</t>
  </si>
  <si>
    <t>• Filter chains to show only L1s or only L2s</t>
  </si>
  <si>
    <t>• Copy metrics to track historical performance over time</t>
  </si>
  <si>
    <t>• Compare more than 6 chains by adding columns (copy formulas from existing columns)</t>
  </si>
  <si>
    <t>ABOUT DEFILLAMA SHEETS</t>
  </si>
  <si>
    <t>This template uses the DefiLlama Sheets add-on, which provides live DeFi data directly in Google Sheets.</t>
  </si>
  <si>
    <t>Key functions used:</t>
  </si>
  <si>
    <t>• DEFILLAMA('metric', chain) - Gets current metrics</t>
  </si>
  <si>
    <t>• DEFILLAMA_HISTORICAL('metric', chain, date) - Gets historical data for % change calculations</t>
  </si>
  <si>
    <t>• DEFILLAMA_STABLECOIN_MCAP(chain) - Gets stablecoin market cap on a chain</t>
  </si>
  <si>
    <t>Data source: defillama.com</t>
  </si>
  <si>
    <t>IMPORTANT DISCLAIMERS:</t>
  </si>
  <si>
    <t>• This tool is for research and analysis only, not financial advice</t>
  </si>
  <si>
    <t>• Always verify data independently before making investment decisions</t>
  </si>
  <si>
    <t>• Past performance does not guarantee future results</t>
  </si>
  <si>
    <t>• DeFi Chains carry smart contract and other risks</t>
  </si>
  <si>
    <t>Top Chains by TVL (Live Data)</t>
  </si>
  <si>
    <t>Auto-updating list of all chains sorted by TVL. Copy chain names from column B to use in comparisons.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</si>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</sst>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/dd/yyyy"/>
    <numFmt numFmtId="165" formatCode="[&gt;=1000000000]\$#,##0.0,,,&quot;B&quot;;\$#,##0.0,,&quot;M&quot;"/>
    <numFmt numFmtId="166" formatCode="&quot;$&quot;#,##0"/>
    <numFmt numFmtId="167" formatCode="0.00&quot;%&quot;"/>
    <numFmt numFmtId="168" formatCode="0.0"/>
    <numFmt numFmtId="169" formatCode="&quot;$&quot;#,##0.00"/>
    <numFmt numFmtId="170" formatCode="[&gt;=1000000000]\$#,##0.000,,,&quot;B&quot;;\$#,##0.000,,&quot;M&quot;"/>
  </numFmts>
  <fonts count="2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FFFFFF"/>
      <name val="Calibri"/>
    </font>
    <font>
      <i/>
      <sz val="10"/>
      <color theme="1"/>
      <name val="Calibri"/>
    </font>
    <font>
      <b/>
      <i/>
      <sz val="10"/>
      <color theme="1"/>
      <name val="Calibri"/>
    </font>
    <font>
      <i/>
      <sz val="9"/>
      <color rgb="FF0066CC"/>
      <name val="Calibri"/>
    </font>
    <font>
      <b/>
      <sz val="10"/>
      <color rgb="FF000000"/>
      <name val="Calibri"/>
    </font>
    <font>
      <sz val="11"/>
      <color rgb="FF0000FF"/>
      <name val="Calibri"/>
    </font>
    <font>
      <b/>
      <sz val="10"/>
      <color rgb="FFFFFFFF"/>
      <name val="Calibri"/>
    </font>
    <font>
      <sz val="10"/>
      <color theme="1"/>
      <name val="Calibri"/>
    </font>
    <font>
      <b/>
      <sz val="16"/>
      <color rgb="FF1F4E78"/>
      <name val="Calibri"/>
    </font>
    <font>
      <b/>
      <sz val="12"/>
      <color rgb="FF1F4E78"/>
      <name val="Calibri"/>
    </font>
    <font>
      <sz val="10"/>
      <color rgb="FF000000"/>
      <name val="Calibri"/>
    </font>
    <font>
      <sz val="11"/>
      <color theme="1"/>
      <name val="Calibri"/>
    </font>
    <font>
      <sz val="10"/>
      <color theme="1"/>
      <name val="Calibri"/>
      <scheme val="minor"/>
    </font>
    <font>
      <b/>
      <sz val="11"/>
      <color rgb="FF000000"/>
      <name val="Calibri"/>
    </font>
    <font>
      <i/>
      <sz val="10"/>
      <color rgb="FF666666"/>
      <name val="Calibri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FFFFFF"/>
      <name val="Calibri"/>
      <scheme val="minor"/>
    </font>
    <font>
      <i/>
      <sz val="9"/>
      <color theme="1"/>
      <name val="Calibri"/>
      <scheme val="minor"/>
    </font>
    <font>
      <b/>
      <sz val="10"/>
      <color rgb="FFFFFFFF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164" fontId="3" fillId="0" borderId="0" xfId="0" applyNumberFormat="1" applyFont="1"/>
    <xf numFmtId="0" fontId="6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165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2" fontId="9" fillId="0" borderId="0" xfId="0" applyNumberFormat="1" applyFont="1" applyAlignment="1">
      <alignment horizontal="right" vertical="center"/>
    </xf>
    <xf numFmtId="10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169" fontId="9" fillId="0" borderId="0" xfId="0" applyNumberFormat="1" applyFont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21" fillId="6" borderId="0" xfId="0" applyFont="1" applyFill="1" applyAlignment="1">
      <alignment horizontal="center" vertical="center"/>
    </xf>
    <xf numFmtId="170" fontId="13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 wrapText="1"/>
    </xf>
  </cellXfs>
  <cellStyles count="1">
    <cellStyle name="Normal" xfId="0" builtinId="0"/>
  </cellStyles>
  <dxfs count="2">
    <dxf>
      <font>
        <color rgb="FFE06666"/>
      </font>
      <fill>
        <patternFill patternType="none"/>
      </fill>
    </dxf>
    <dxf>
      <font>
        <color rgb="FF1A7F37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95930F6-6F10-4C34-A962-695015AEFCBE}">
  <we:reference id="wa200009711" version="1.0.0.0" store="en-US" storeType="OMEX"/>
  <we:alternateReferences>
    <we:reference id="WA200009711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_xldudf_DEFILLAMA</we:customFunctionIds>
        <we:customFunctionIds>_xldudf_DEFILLAMA_INFO</we:customFunctionIds>
        <we:customFunctionIds>_xldudf_DEFILLAMA_METRICS</we:customFunctionIds>
        <we:customFunctionIds>_xldudf_DEFILLAMA_CHAINS</we:customFunctionIds>
        <we:customFunctionIds>_xldudf_DEFILLAMA_PROTOCOLS</we:customFunctionIds>
        <we:customFunctionIds>_xldudf_DEFILLAMA_HISTORICAL</we:customFunctionIds>
        <we:customFunctionIds>_xldudf_DEFILLAMA_YIELD</we:customFunctionIds>
        <we:customFunctionIds>_xldudf_DEFILLAMA_YIELD_POOL</we:customFunctionIds>
        <we:customFunctionIds>_xldudf_DEFILLAMA_YIELD_TOP_POOLS</we:customFunctionIds>
        <we:customFunctionIds>_xldudf_DEFILLAMA_YIELD_CHAINS</we:customFunctionIds>
        <we:customFunctionIds>_xldudf_DEFILLAMA_YIELD_PROJECTS</we:customFunctionIds>
        <we:customFunctionIds>_xldudf_DEFILLAMA_STABLECOINS</we:customFunctionIds>
        <we:customFunctionIds>_xldudf_DEFILLAMA_STABLECOIN_MCAP</we:customFunctionIds>
        <we:customFunctionIds>_xldudf_DEFILLAMA_STABLECOIN_HISTORY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showGridLines="0" tabSelected="1" workbookViewId="0">
      <pane ySplit="8" topLeftCell="A9" activePane="bottomLeft" state="frozen"/>
      <selection pane="bottomLeft" activeCell="C6" sqref="C6"/>
    </sheetView>
  </sheetViews>
  <sheetFormatPr defaultColWidth="14.42578125" defaultRowHeight="15" customHeight="1" x14ac:dyDescent="0.25"/>
  <cols>
    <col min="1" max="1" width="4.42578125" customWidth="1"/>
    <col min="2" max="2" width="21.140625" customWidth="1"/>
    <col min="3" max="8" width="16" customWidth="1"/>
    <col min="9" max="26" width="8.7109375" customWidth="1"/>
  </cols>
  <sheetData>
    <row r="1" spans="1:26" ht="24.75" customHeight="1" x14ac:dyDescent="0.25">
      <c r="A1" s="1"/>
      <c r="B1" s="25" t="s">
        <v>0</v>
      </c>
      <c r="C1" s="26"/>
      <c r="D1" s="26"/>
      <c r="E1" s="26"/>
      <c r="F1" s="26"/>
      <c r="G1" s="26"/>
      <c r="H1" s="2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25">
      <c r="A2" s="1"/>
      <c r="B2" s="27" t="s">
        <v>1</v>
      </c>
      <c r="C2" s="26"/>
      <c r="D2" s="26"/>
      <c r="E2" s="26"/>
      <c r="F2" s="26"/>
      <c r="G2" s="26"/>
      <c r="H2" s="2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2" t="s">
        <v>2</v>
      </c>
      <c r="C3" s="3">
        <f ca="1">TODAY()</f>
        <v>46030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25">
      <c r="A4" s="1"/>
      <c r="B4" s="25" t="s">
        <v>3</v>
      </c>
      <c r="C4" s="26"/>
      <c r="D4" s="26"/>
      <c r="E4" s="26"/>
      <c r="F4" s="26"/>
      <c r="G4" s="26"/>
      <c r="H4" s="2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25">
      <c r="A5" s="1"/>
      <c r="B5" s="28" t="s">
        <v>4</v>
      </c>
      <c r="C5" s="26"/>
      <c r="D5" s="26"/>
      <c r="E5" s="26"/>
      <c r="F5" s="26"/>
      <c r="G5" s="26"/>
      <c r="H5" s="2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25">
      <c r="A6" s="1"/>
      <c r="B6" s="4" t="s">
        <v>5</v>
      </c>
      <c r="C6" s="5" t="s">
        <v>6</v>
      </c>
      <c r="D6" s="5" t="s">
        <v>7</v>
      </c>
      <c r="E6" s="5" t="s">
        <v>8</v>
      </c>
      <c r="F6" s="5" t="s">
        <v>136</v>
      </c>
      <c r="G6" s="5" t="s">
        <v>9</v>
      </c>
      <c r="H6" s="5" t="s">
        <v>10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 x14ac:dyDescent="0.25">
      <c r="A7" s="1"/>
      <c r="B7" s="29" t="s">
        <v>11</v>
      </c>
      <c r="C7" s="26"/>
      <c r="D7" s="26"/>
      <c r="E7" s="26"/>
      <c r="F7" s="26"/>
      <c r="G7" s="26"/>
      <c r="H7" s="2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25">
      <c r="A8" s="1"/>
      <c r="B8" s="4" t="s">
        <v>12</v>
      </c>
      <c r="C8" s="4" t="str">
        <f t="shared" ref="C8:H8" si="0">C6</f>
        <v>ethereum</v>
      </c>
      <c r="D8" s="4" t="str">
        <f t="shared" si="0"/>
        <v>solana</v>
      </c>
      <c r="E8" s="4" t="str">
        <f t="shared" si="0"/>
        <v>arbitrum</v>
      </c>
      <c r="F8" s="4" t="str">
        <f t="shared" si="0"/>
        <v>base</v>
      </c>
      <c r="G8" s="4" t="str">
        <f t="shared" si="0"/>
        <v>op</v>
      </c>
      <c r="H8" s="4" t="str">
        <f t="shared" si="0"/>
        <v>hyperliquid-l1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x14ac:dyDescent="0.25">
      <c r="A9" s="1"/>
      <c r="B9" s="30" t="s">
        <v>13</v>
      </c>
      <c r="C9" s="26"/>
      <c r="D9" s="26"/>
      <c r="E9" s="26"/>
      <c r="F9" s="26"/>
      <c r="G9" s="26"/>
      <c r="H9" s="2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6" t="s">
        <v>14</v>
      </c>
      <c r="C10" s="7" cm="1">
        <f t="array" ref="C10">IFERROR(_xldudf_DEFILLAMA("tvl",C6),"-")</f>
        <v>70984862468.784546</v>
      </c>
      <c r="D10" s="7" cm="1">
        <f t="array" ref="D10">IFERROR(_xldudf_DEFILLAMA("tvl",D6),"-")</f>
        <v>8792323440.2470684</v>
      </c>
      <c r="E10" s="7" cm="1">
        <f t="array" ref="E10">IFERROR(_xldudf_DEFILLAMA("tvl",E6),"-")</f>
        <v>3031540559.0559545</v>
      </c>
      <c r="F10" s="7" cm="1">
        <f t="array" ref="F10">IFERROR(_xldudf_DEFILLAMA("tvl",F6),"-")</f>
        <v>4660211945.3717537</v>
      </c>
      <c r="G10" s="7" cm="1">
        <f t="array" ref="G10">IFERROR(_xldudf_DEFILLAMA("tvl",G6),"-")</f>
        <v>295172005.28762877</v>
      </c>
      <c r="H10" s="7" cm="1">
        <f t="array" ref="H10">IFERROR(_xldudf_DEFILLAMA("tvl",H6),"-")</f>
        <v>1401088432.2011478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6" t="s">
        <v>15</v>
      </c>
      <c r="C11" s="8" cm="1">
        <f t="array" ref="C11">IFERROR(_xldudf_DEFILLAMA("fees",C6,"24h"),"-")</f>
        <v>357391</v>
      </c>
      <c r="D11" s="8" cm="1">
        <f t="array" ref="D11">IFERROR(_xldudf_DEFILLAMA("fees",D6,"24h"),"-")</f>
        <v>816836</v>
      </c>
      <c r="E11" s="8" cm="1">
        <f t="array" ref="E11">IFERROR(_xldudf_DEFILLAMA("fees",E6,"24h"),"-")</f>
        <v>15905</v>
      </c>
      <c r="F11" s="8" cm="1">
        <f t="array" ref="F11">IFERROR(_xldudf_DEFILLAMA("fees",F6,"24h"),"-")</f>
        <v>109755</v>
      </c>
      <c r="G11" s="8" cm="1">
        <f t="array" ref="G11">IFERROR(_xldudf_DEFILLAMA("fees",G6,"24h"),"-")</f>
        <v>2466</v>
      </c>
      <c r="H11" s="8" cm="1">
        <f t="array" ref="H11">IFERROR(_xldudf_DEFILLAMA("fees",H6,"24h"),"-")</f>
        <v>17414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6" t="s">
        <v>16</v>
      </c>
      <c r="C12" s="8" cm="1">
        <f t="array" ref="C12">IFERROR(_xldudf_DEFILLAMA("fees",C6,"7d"),"-")</f>
        <v>2687162</v>
      </c>
      <c r="D12" s="8" cm="1">
        <f t="array" ref="D12">IFERROR(_xldudf_DEFILLAMA("fees",D6,"7d"),"-")</f>
        <v>5287518</v>
      </c>
      <c r="E12" s="8" cm="1">
        <f t="array" ref="E12">IFERROR(_xldudf_DEFILLAMA("fees",E6,"7d"),"-")</f>
        <v>97547</v>
      </c>
      <c r="F12" s="8" cm="1">
        <f t="array" ref="F12">IFERROR(_xldudf_DEFILLAMA("fees",F6,"7d"),"-")</f>
        <v>741017</v>
      </c>
      <c r="G12" s="8" cm="1">
        <f t="array" ref="G12">IFERROR(_xldudf_DEFILLAMA("fees",G6,"7d"),"-")</f>
        <v>14514</v>
      </c>
      <c r="H12" s="8" cm="1">
        <f t="array" ref="H12">IFERROR(_xldudf_DEFILLAMA("fees",H6,"7d"),"-")</f>
        <v>110853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6" t="s">
        <v>17</v>
      </c>
      <c r="C13" s="8" cm="1">
        <f t="array" ref="C13">IFERROR(_xldudf_DEFILLAMA("fees",C6,"30d"),"-")</f>
        <v>10617294</v>
      </c>
      <c r="D13" s="8" cm="1">
        <f t="array" ref="D13">IFERROR(_xldudf_DEFILLAMA("fees",D6,"30d"),"-")</f>
        <v>18084623</v>
      </c>
      <c r="E13" s="8" cm="1">
        <f t="array" ref="E13">IFERROR(_xldudf_DEFILLAMA("fees",E6,"30d"),"-")</f>
        <v>912053</v>
      </c>
      <c r="F13" s="8" cm="1">
        <f t="array" ref="F13">IFERROR(_xldudf_DEFILLAMA("fees",F6,"30d"),"-")</f>
        <v>2736781</v>
      </c>
      <c r="G13" s="8" cm="1">
        <f t="array" ref="G13">IFERROR(_xldudf_DEFILLAMA("fees",G6,"30d"),"-")</f>
        <v>61561</v>
      </c>
      <c r="H13" s="8" cm="1">
        <f t="array" ref="H13">IFERROR(_xldudf_DEFILLAMA("fees",H6,"30d"),"-")</f>
        <v>588955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6" t="s">
        <v>18</v>
      </c>
      <c r="C14" s="8" cm="1">
        <f t="array" ref="C14">IFERROR(_xldudf_DEFILLAMA("revenue",C6,"24h"),"-")</f>
        <v>48299</v>
      </c>
      <c r="D14" s="8" cm="1">
        <f t="array" ref="D14">IFERROR(_xldudf_DEFILLAMA("revenue",D6,"24h"),"-")</f>
        <v>86264</v>
      </c>
      <c r="E14" s="8" cm="1">
        <f t="array" ref="E14">IFERROR(_xldudf_DEFILLAMA("revenue",E6,"24h"),"-")</f>
        <v>15531</v>
      </c>
      <c r="F14" s="8" cm="1">
        <f t="array" ref="F14">IFERROR(_xldudf_DEFILLAMA("revenue",F6,"24h"),"-")</f>
        <v>95066</v>
      </c>
      <c r="G14" s="8" cm="1">
        <f t="array" ref="G14">IFERROR(_xldudf_DEFILLAMA("revenue",G6,"24h"),"-")</f>
        <v>459</v>
      </c>
      <c r="H14" s="8" cm="1">
        <f t="array" ref="H14">IFERROR(_xldudf_DEFILLAMA("revenue",H6,"24h"),"-")</f>
        <v>17414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6" t="s">
        <v>19</v>
      </c>
      <c r="C15" s="8" cm="1">
        <f t="array" ref="C15">IFERROR(_xldudf_DEFILLAMA("revenue",C6,"7d"),"-")</f>
        <v>432599</v>
      </c>
      <c r="D15" s="8" cm="1">
        <f t="array" ref="D15">IFERROR(_xldudf_DEFILLAMA("revenue",D6,"7d"),"-")</f>
        <v>584264</v>
      </c>
      <c r="E15" s="8" cm="1">
        <f t="array" ref="E15">IFERROR(_xldudf_DEFILLAMA("revenue",E6,"7d"),"-")</f>
        <v>94966</v>
      </c>
      <c r="F15" s="8" cm="1">
        <f t="array" ref="F15">IFERROR(_xldudf_DEFILLAMA("revenue",F6,"7d"),"-")</f>
        <v>723528</v>
      </c>
      <c r="G15" s="8" cm="1">
        <f t="array" ref="G15">IFERROR(_xldudf_DEFILLAMA("revenue",G6,"7d"),"-")</f>
        <v>12016</v>
      </c>
      <c r="H15" s="8" cm="1">
        <f t="array" ref="H15">IFERROR(_xldudf_DEFILLAMA("revenue",H6,"7d"),"-")</f>
        <v>110853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6" t="s">
        <v>20</v>
      </c>
      <c r="C16" s="8" cm="1">
        <f t="array" ref="C16">IFERROR(_xldudf_DEFILLAMA("revenue",C6,"30d"),"-")</f>
        <v>1565253</v>
      </c>
      <c r="D16" s="8" cm="1">
        <f t="array" ref="D16">IFERROR(_xldudf_DEFILLAMA("revenue",D6,"30d"),"-")</f>
        <v>2376282</v>
      </c>
      <c r="E16" s="8" cm="1">
        <f t="array" ref="E16">IFERROR(_xldudf_DEFILLAMA("revenue",E6,"30d"),"-")</f>
        <v>900102</v>
      </c>
      <c r="F16" s="8" cm="1">
        <f t="array" ref="F16">IFERROR(_xldudf_DEFILLAMA("revenue",F6,"30d"),"-")</f>
        <v>2685925</v>
      </c>
      <c r="G16" s="8" cm="1">
        <f t="array" ref="G16">IFERROR(_xldudf_DEFILLAMA("revenue",G6,"30d"),"-")</f>
        <v>57441</v>
      </c>
      <c r="H16" s="8" cm="1">
        <f t="array" ref="H16">IFERROR(_xldudf_DEFILLAMA("revenue",H6,"30d"),"-")</f>
        <v>588955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6" t="s">
        <v>21</v>
      </c>
      <c r="C17" s="7" cm="1">
        <f t="array" ref="C17">IFERROR(_xldudf_DEFILLAMA("volume",C6,"24h"),"-")</f>
        <v>1833247045</v>
      </c>
      <c r="D17" s="7" cm="1">
        <f t="array" ref="D17">IFERROR(_xldudf_DEFILLAMA("volume",D6,"24h"),"-")</f>
        <v>5767463673</v>
      </c>
      <c r="E17" s="7" cm="1">
        <f t="array" ref="E17">IFERROR(_xldudf_DEFILLAMA("volume",E6,"24h"),"-")</f>
        <v>646685499</v>
      </c>
      <c r="F17" s="7" cm="1">
        <f t="array" ref="F17">IFERROR(_xldudf_DEFILLAMA("volume",F6,"24h"),"-")</f>
        <v>868210542</v>
      </c>
      <c r="G17" s="7" cm="1">
        <f t="array" ref="G17">IFERROR(_xldudf_DEFILLAMA("volume",G6,"24h"),"-")</f>
        <v>22571123</v>
      </c>
      <c r="H17" s="7" cm="1">
        <f t="array" ref="H17">IFERROR(_xldudf_DEFILLAMA("volume",H6,"24h"),"-")</f>
        <v>249645449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6" t="s">
        <v>22</v>
      </c>
      <c r="C18" s="7" cm="1">
        <f t="array" ref="C18">IFERROR(_xldudf_DEFILLAMA_STABLECOIN_MCAP("all",C6),"-")</f>
        <v>165851774758.69742</v>
      </c>
      <c r="D18" s="7" cm="1">
        <f t="array" ref="D18">IFERROR(_xldudf_DEFILLAMA_STABLECOIN_MCAP("all",D6),"-")</f>
        <v>13507262886.821857</v>
      </c>
      <c r="E18" s="7" cm="1">
        <f t="array" ref="E18">IFERROR(_xldudf_DEFILLAMA_STABLECOIN_MCAP("all",E6),"-")</f>
        <v>4675620406.8384609</v>
      </c>
      <c r="F18" s="7" cm="1">
        <f t="array" ref="F18">IFERROR(_xldudf_DEFILLAMA_STABLECOIN_MCAP("all",F6),"-")</f>
        <v>4587675623.879179</v>
      </c>
      <c r="G18" s="7" t="str" cm="1">
        <f t="array" ref="G18">IFERROR(_xldudf_DEFILLAMA_STABLECOIN_MCAP("all",G6),"-")</f>
        <v>Chain "op" not found in stablecoin data.</v>
      </c>
      <c r="H18" s="7" t="str" cm="1">
        <f t="array" ref="H18">IFERROR(_xldudf_DEFILLAMA_STABLECOIN_MCAP("all",H6),"-")</f>
        <v>Chain "hyperliquid-l1" not found in stablecoin data.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6"/>
      <c r="C19" s="9"/>
      <c r="D19" s="9"/>
      <c r="E19" s="9"/>
      <c r="F19" s="9"/>
      <c r="G19" s="9"/>
      <c r="H19" s="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 x14ac:dyDescent="0.25">
      <c r="A20" s="1"/>
      <c r="B20" s="30" t="s">
        <v>23</v>
      </c>
      <c r="C20" s="26"/>
      <c r="D20" s="26"/>
      <c r="E20" s="26"/>
      <c r="F20" s="26"/>
      <c r="G20" s="26"/>
      <c r="H20" s="2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6" t="s">
        <v>24</v>
      </c>
      <c r="C21" s="10">
        <f t="shared" ref="C21:H21" si="1">IFERROR(C30/C10,"-")</f>
        <v>5.2587185767268805</v>
      </c>
      <c r="D21" s="10">
        <f t="shared" si="1"/>
        <v>9.4946492797191926</v>
      </c>
      <c r="E21" s="10">
        <f t="shared" si="1"/>
        <v>0.69556823599175199</v>
      </c>
      <c r="F21" s="10">
        <f t="shared" si="1"/>
        <v>3.4167780750430656E-4</v>
      </c>
      <c r="G21" s="10">
        <f t="shared" si="1"/>
        <v>4.623297076124163</v>
      </c>
      <c r="H21" s="10">
        <f t="shared" si="1"/>
        <v>17.930828123055441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6" t="s">
        <v>25</v>
      </c>
      <c r="C22" s="10">
        <f t="shared" ref="C22:H22" si="2">IFERROR(C29/C10,"-")</f>
        <v>5.2587185767268805</v>
      </c>
      <c r="D22" s="10">
        <f t="shared" si="2"/>
        <v>8.6696675776361118</v>
      </c>
      <c r="E22" s="10">
        <f t="shared" si="2"/>
        <v>0.39781539336407751</v>
      </c>
      <c r="F22" s="10" t="str">
        <f t="shared" si="2"/>
        <v>-</v>
      </c>
      <c r="G22" s="10">
        <f t="shared" si="2"/>
        <v>2.0927091049778812</v>
      </c>
      <c r="H22" s="10">
        <f t="shared" si="2"/>
        <v>4.4420258664347436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6" t="s">
        <v>26</v>
      </c>
      <c r="C23" s="11">
        <f t="shared" ref="C23:H23" si="3">IFERROR((C11*365)/C10,"-")</f>
        <v>1.8376835632718754E-3</v>
      </c>
      <c r="D23" s="11">
        <f t="shared" si="3"/>
        <v>3.3909710217805859E-2</v>
      </c>
      <c r="E23" s="11">
        <f t="shared" si="3"/>
        <v>1.9149752038309603E-3</v>
      </c>
      <c r="F23" s="11">
        <f t="shared" si="3"/>
        <v>8.5962989386750514E-3</v>
      </c>
      <c r="G23" s="11">
        <f t="shared" si="3"/>
        <v>3.0493745473013679E-3</v>
      </c>
      <c r="H23" s="11">
        <f t="shared" si="3"/>
        <v>4.5365516222372771E-3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6" t="s">
        <v>27</v>
      </c>
      <c r="C24" s="12">
        <f t="shared" ref="C24:H24" si="4">IFERROR(C29/(C11*365),"-")</f>
        <v>2861.6017914227168</v>
      </c>
      <c r="D24" s="12">
        <f t="shared" si="4"/>
        <v>255.66917328251603</v>
      </c>
      <c r="E24" s="12">
        <f t="shared" si="4"/>
        <v>207.73918772850789</v>
      </c>
      <c r="F24" s="12" t="str">
        <f t="shared" si="4"/>
        <v>-</v>
      </c>
      <c r="G24" s="12">
        <f t="shared" si="4"/>
        <v>686.27486473574868</v>
      </c>
      <c r="H24" s="12">
        <f t="shared" si="4"/>
        <v>979.16352250039722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6" t="s">
        <v>28</v>
      </c>
      <c r="C25" s="11">
        <f t="shared" ref="C25:H25" si="5">IFERROR((C15*365)/C10,"-")</f>
        <v>2.2243986887970041E-3</v>
      </c>
      <c r="D25" s="11">
        <f t="shared" si="5"/>
        <v>2.425483564717535E-2</v>
      </c>
      <c r="E25" s="11">
        <f t="shared" si="5"/>
        <v>1.1433985237787551E-2</v>
      </c>
      <c r="F25" s="11">
        <f t="shared" si="5"/>
        <v>5.666860715686467E-2</v>
      </c>
      <c r="G25" s="11">
        <f t="shared" si="5"/>
        <v>1.485859065708566E-2</v>
      </c>
      <c r="H25" s="11">
        <f t="shared" si="5"/>
        <v>2.8878509072003494E-2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30" t="s">
        <v>29</v>
      </c>
      <c r="C27" s="26"/>
      <c r="D27" s="26"/>
      <c r="E27" s="26"/>
      <c r="F27" s="26"/>
      <c r="G27" s="26"/>
      <c r="H27" s="2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6" t="s">
        <v>30</v>
      </c>
      <c r="C28" s="13" cm="1">
        <f t="array" ref="C28">IFERROR(_xldudf_DEFILLAMA("price",C6),"-")</f>
        <v>3095.67</v>
      </c>
      <c r="D28" s="13" cm="1">
        <f t="array" ref="D28">IFERROR(_xldudf_DEFILLAMA("price",D6),"-")</f>
        <v>135.16</v>
      </c>
      <c r="E28" s="13" cm="1">
        <f t="array" ref="E28">IFERROR(_xldudf_DEFILLAMA("price",E6),"-")</f>
        <v>0.21076500000000001</v>
      </c>
      <c r="F28" s="13" cm="1">
        <f t="array" ref="F28">IFERROR(_xldudf_DEFILLAMA("price",F6),"-")</f>
        <v>1.95E-6</v>
      </c>
      <c r="G28" s="13" cm="1">
        <f t="array" ref="G28">IFERROR(_xldudf_DEFILLAMA("price",G6),"-")</f>
        <v>0.317166</v>
      </c>
      <c r="H28" s="13" cm="1">
        <f t="array" ref="H28">IFERROR(_xldudf_DEFILLAMA("price",H6),"-")</f>
        <v>26.09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6" t="s">
        <v>31</v>
      </c>
      <c r="C29" s="7" cm="1">
        <f t="array" ref="C29">IFERROR(_xldudf_DEFILLAMA("mcap",C6),"-")</f>
        <v>373289414931</v>
      </c>
      <c r="D29" s="7" cm="1">
        <f t="array" ref="D29">IFERROR(_xldudf_DEFILLAMA("mcap",D6),"-")</f>
        <v>76226521462</v>
      </c>
      <c r="E29" s="7" cm="1">
        <f t="array" ref="E29">IFERROR(_xldudf_DEFILLAMA("mcap",E6),"-")</f>
        <v>1205993500</v>
      </c>
      <c r="F29" s="7" t="str" cm="1">
        <f t="array" ref="F29">IFERROR(_xldudf_DEFILLAMA("mcap",F6),"-")</f>
        <v>N/A</v>
      </c>
      <c r="G29" s="7" cm="1">
        <f t="array" ref="G29">IFERROR(_xldudf_DEFILLAMA("mcap",G6),"-")</f>
        <v>617709143</v>
      </c>
      <c r="H29" s="7" cm="1">
        <f t="array" ref="H29">IFERROR(_xldudf_DEFILLAMA("mcap",H6),"-")</f>
        <v>6223671057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6" t="s">
        <v>32</v>
      </c>
      <c r="C30" s="7" cm="1">
        <f t="array" ref="C30">IFERROR(_xldudf_DEFILLAMA("fdv",C6),"-")</f>
        <v>373289414931</v>
      </c>
      <c r="D30" s="7" cm="1">
        <f t="array" ref="D30">IFERROR(_xldudf_DEFILLAMA("fdv",D6),"-")</f>
        <v>83480027419</v>
      </c>
      <c r="E30" s="7" cm="1">
        <f t="array" ref="E30">IFERROR(_xldudf_DEFILLAMA("fdv",E6),"-")</f>
        <v>2108643319</v>
      </c>
      <c r="F30" s="7" cm="1">
        <f t="array" ref="F30">IFERROR(_xldudf_DEFILLAMA("fdv",F6),"-")</f>
        <v>1592291</v>
      </c>
      <c r="G30" s="7" cm="1">
        <f t="array" ref="G30">IFERROR(_xldudf_DEFILLAMA("fdv",G6),"-")</f>
        <v>1364667869</v>
      </c>
      <c r="H30" s="7" cm="1">
        <f t="array" ref="H30">IFERROR(_xldudf_DEFILLAMA("fdv",H6),"-")</f>
        <v>25122675863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 x14ac:dyDescent="0.25">
      <c r="A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8">
    <mergeCell ref="B9:H9"/>
    <mergeCell ref="B20:H20"/>
    <mergeCell ref="B27:H27"/>
    <mergeCell ref="B1:H1"/>
    <mergeCell ref="B2:H2"/>
    <mergeCell ref="B4:H4"/>
    <mergeCell ref="B5:H5"/>
    <mergeCell ref="B7:H7"/>
  </mergeCells>
  <conditionalFormatting sqref="C19:H19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989"/>
  <sheetViews>
    <sheetView workbookViewId="0"/>
  </sheetViews>
  <sheetFormatPr defaultColWidth="14.42578125" defaultRowHeight="15" customHeight="1" x14ac:dyDescent="0.25"/>
  <cols>
    <col min="1" max="1" width="3" customWidth="1"/>
    <col min="2" max="2" width="100" customWidth="1"/>
    <col min="3" max="26" width="8.7109375" customWidth="1"/>
  </cols>
  <sheetData>
    <row r="2" spans="2:2" ht="21" x14ac:dyDescent="0.35">
      <c r="B2" s="14" t="s">
        <v>33</v>
      </c>
    </row>
    <row r="4" spans="2:2" ht="15.75" x14ac:dyDescent="0.25">
      <c r="B4" s="15" t="s">
        <v>34</v>
      </c>
    </row>
    <row r="5" spans="2:2" ht="25.5" x14ac:dyDescent="0.25">
      <c r="B5" s="16" t="s">
        <v>35</v>
      </c>
    </row>
    <row r="6" spans="2:2" ht="25.5" x14ac:dyDescent="0.25">
      <c r="B6" s="16" t="s">
        <v>36</v>
      </c>
    </row>
    <row r="7" spans="2:2" x14ac:dyDescent="0.25">
      <c r="B7" s="17"/>
    </row>
    <row r="8" spans="2:2" ht="15.75" x14ac:dyDescent="0.25">
      <c r="B8" s="15" t="s">
        <v>37</v>
      </c>
    </row>
    <row r="9" spans="2:2" x14ac:dyDescent="0.25">
      <c r="B9" s="18" t="s">
        <v>38</v>
      </c>
    </row>
    <row r="10" spans="2:2" x14ac:dyDescent="0.25">
      <c r="B10" s="16" t="s">
        <v>39</v>
      </c>
    </row>
    <row r="11" spans="2:2" x14ac:dyDescent="0.25">
      <c r="B11" s="16" t="s">
        <v>40</v>
      </c>
    </row>
    <row r="12" spans="2:2" x14ac:dyDescent="0.25">
      <c r="B12" s="16" t="s">
        <v>41</v>
      </c>
    </row>
    <row r="13" spans="2:2" ht="15.75" x14ac:dyDescent="0.25">
      <c r="B13" s="15"/>
    </row>
    <row r="14" spans="2:2" ht="15.75" x14ac:dyDescent="0.25">
      <c r="B14" s="15" t="s">
        <v>42</v>
      </c>
    </row>
    <row r="15" spans="2:2" x14ac:dyDescent="0.25">
      <c r="B15" s="18" t="s">
        <v>43</v>
      </c>
    </row>
    <row r="16" spans="2:2" ht="15.75" customHeight="1" x14ac:dyDescent="0.25">
      <c r="B16" s="16" t="s">
        <v>44</v>
      </c>
    </row>
    <row r="17" spans="2:2" ht="15.75" customHeight="1" x14ac:dyDescent="0.25">
      <c r="B17" s="16" t="s">
        <v>45</v>
      </c>
    </row>
    <row r="18" spans="2:2" ht="15.75" customHeight="1" x14ac:dyDescent="0.25">
      <c r="B18" s="16" t="s">
        <v>46</v>
      </c>
    </row>
    <row r="19" spans="2:2" ht="15.75" customHeight="1" x14ac:dyDescent="0.25">
      <c r="B19" s="16" t="s">
        <v>47</v>
      </c>
    </row>
    <row r="20" spans="2:2" ht="15.75" customHeight="1" x14ac:dyDescent="0.25">
      <c r="B20" s="16" t="s">
        <v>48</v>
      </c>
    </row>
    <row r="21" spans="2:2" ht="15.75" customHeight="1" x14ac:dyDescent="0.25">
      <c r="B21" s="17"/>
    </row>
    <row r="22" spans="2:2" ht="15.75" customHeight="1" x14ac:dyDescent="0.25">
      <c r="B22" s="19" t="s">
        <v>49</v>
      </c>
    </row>
    <row r="23" spans="2:2" ht="15.75" customHeight="1" x14ac:dyDescent="0.25">
      <c r="B23" s="20" t="s">
        <v>50</v>
      </c>
    </row>
    <row r="24" spans="2:2" ht="15.75" customHeight="1" x14ac:dyDescent="0.25">
      <c r="B24" s="20" t="s">
        <v>51</v>
      </c>
    </row>
    <row r="25" spans="2:2" ht="15.75" customHeight="1" x14ac:dyDescent="0.25">
      <c r="B25" s="17"/>
    </row>
    <row r="26" spans="2:2" ht="15.75" customHeight="1" x14ac:dyDescent="0.25">
      <c r="B26" s="15" t="s">
        <v>52</v>
      </c>
    </row>
    <row r="27" spans="2:2" ht="15.75" customHeight="1" x14ac:dyDescent="0.25">
      <c r="B27" s="19" t="s">
        <v>29</v>
      </c>
    </row>
    <row r="28" spans="2:2" ht="15.75" customHeight="1" x14ac:dyDescent="0.25">
      <c r="B28" s="16" t="s">
        <v>53</v>
      </c>
    </row>
    <row r="29" spans="2:2" ht="15.75" customHeight="1" x14ac:dyDescent="0.25">
      <c r="B29" s="16" t="s">
        <v>54</v>
      </c>
    </row>
    <row r="30" spans="2:2" ht="15.75" customHeight="1" x14ac:dyDescent="0.25">
      <c r="B30" s="16" t="s">
        <v>55</v>
      </c>
    </row>
    <row r="31" spans="2:2" ht="15.75" customHeight="1" x14ac:dyDescent="0.25">
      <c r="B31" s="17"/>
    </row>
    <row r="32" spans="2:2" ht="15.75" customHeight="1" x14ac:dyDescent="0.25">
      <c r="B32" s="19" t="s">
        <v>13</v>
      </c>
    </row>
    <row r="33" spans="2:2" ht="15.75" customHeight="1" x14ac:dyDescent="0.25">
      <c r="B33" s="16" t="s">
        <v>56</v>
      </c>
    </row>
    <row r="34" spans="2:2" ht="15.75" customHeight="1" x14ac:dyDescent="0.25">
      <c r="B34" s="16" t="s">
        <v>57</v>
      </c>
    </row>
    <row r="35" spans="2:2" ht="15.75" customHeight="1" x14ac:dyDescent="0.25">
      <c r="B35" s="16" t="s">
        <v>58</v>
      </c>
    </row>
    <row r="36" spans="2:2" ht="15.75" customHeight="1" x14ac:dyDescent="0.25">
      <c r="B36" s="16" t="s">
        <v>59</v>
      </c>
    </row>
    <row r="37" spans="2:2" ht="15.75" customHeight="1" x14ac:dyDescent="0.25">
      <c r="B37" s="16" t="s">
        <v>60</v>
      </c>
    </row>
    <row r="38" spans="2:2" ht="15.75" customHeight="1" x14ac:dyDescent="0.25">
      <c r="B38" s="17"/>
    </row>
    <row r="39" spans="2:2" ht="15.75" customHeight="1" x14ac:dyDescent="0.25">
      <c r="B39" s="19" t="s">
        <v>61</v>
      </c>
    </row>
    <row r="40" spans="2:2" ht="15.75" customHeight="1" x14ac:dyDescent="0.25">
      <c r="B40" s="16" t="s">
        <v>62</v>
      </c>
    </row>
    <row r="41" spans="2:2" ht="15.75" customHeight="1" x14ac:dyDescent="0.25">
      <c r="B41" s="16" t="s">
        <v>63</v>
      </c>
    </row>
    <row r="42" spans="2:2" ht="15.75" customHeight="1" x14ac:dyDescent="0.25">
      <c r="B42" s="16" t="s">
        <v>64</v>
      </c>
    </row>
    <row r="43" spans="2:2" ht="15.75" customHeight="1" x14ac:dyDescent="0.25">
      <c r="B43" s="16" t="s">
        <v>65</v>
      </c>
    </row>
    <row r="44" spans="2:2" ht="15.75" customHeight="1" x14ac:dyDescent="0.25">
      <c r="B44" s="16" t="s">
        <v>66</v>
      </c>
    </row>
    <row r="45" spans="2:2" ht="15.75" customHeight="1" x14ac:dyDescent="0.25">
      <c r="B45" s="17"/>
    </row>
    <row r="46" spans="2:2" ht="15.75" customHeight="1" x14ac:dyDescent="0.25">
      <c r="B46" s="19" t="s">
        <v>67</v>
      </c>
    </row>
    <row r="47" spans="2:2" ht="15.75" customHeight="1" x14ac:dyDescent="0.25">
      <c r="B47" s="16" t="s">
        <v>68</v>
      </c>
    </row>
    <row r="48" spans="2:2" ht="15.75" customHeight="1" x14ac:dyDescent="0.25">
      <c r="B48" s="17"/>
    </row>
    <row r="49" spans="2:2" ht="15.75" customHeight="1" x14ac:dyDescent="0.25">
      <c r="B49" s="19" t="s">
        <v>69</v>
      </c>
    </row>
    <row r="50" spans="2:2" ht="15.75" customHeight="1" x14ac:dyDescent="0.25">
      <c r="B50" s="16" t="s">
        <v>70</v>
      </c>
    </row>
    <row r="51" spans="2:2" ht="15.75" customHeight="1" x14ac:dyDescent="0.25">
      <c r="B51" s="16" t="s">
        <v>71</v>
      </c>
    </row>
    <row r="52" spans="2:2" ht="15.75" customHeight="1" x14ac:dyDescent="0.25">
      <c r="B52" s="17"/>
    </row>
    <row r="53" spans="2:2" ht="15.75" customHeight="1" x14ac:dyDescent="0.25">
      <c r="B53" s="15" t="s">
        <v>72</v>
      </c>
    </row>
    <row r="54" spans="2:2" ht="15.75" customHeight="1" x14ac:dyDescent="0.25">
      <c r="B54" s="16" t="s">
        <v>73</v>
      </c>
    </row>
    <row r="55" spans="2:2" ht="15.75" customHeight="1" x14ac:dyDescent="0.25">
      <c r="B55" s="19" t="s">
        <v>74</v>
      </c>
    </row>
    <row r="56" spans="2:2" ht="15.75" customHeight="1" x14ac:dyDescent="0.25">
      <c r="B56" s="16" t="s">
        <v>75</v>
      </c>
    </row>
    <row r="57" spans="2:2" ht="15.75" customHeight="1" x14ac:dyDescent="0.25">
      <c r="B57" s="16" t="s">
        <v>76</v>
      </c>
    </row>
    <row r="58" spans="2:2" ht="15.75" customHeight="1" x14ac:dyDescent="0.25">
      <c r="B58" s="17"/>
    </row>
    <row r="59" spans="2:2" ht="15.75" customHeight="1" x14ac:dyDescent="0.25">
      <c r="B59" s="19" t="s">
        <v>77</v>
      </c>
    </row>
    <row r="60" spans="2:2" ht="15.75" customHeight="1" x14ac:dyDescent="0.25">
      <c r="B60" s="16" t="s">
        <v>78</v>
      </c>
    </row>
    <row r="61" spans="2:2" ht="15.75" customHeight="1" x14ac:dyDescent="0.25">
      <c r="B61" s="16" t="s">
        <v>79</v>
      </c>
    </row>
    <row r="62" spans="2:2" ht="15.75" customHeight="1" x14ac:dyDescent="0.25">
      <c r="B62" s="16" t="s">
        <v>80</v>
      </c>
    </row>
    <row r="63" spans="2:2" ht="15.75" customHeight="1" x14ac:dyDescent="0.25">
      <c r="B63" s="17"/>
    </row>
    <row r="64" spans="2:2" ht="15.75" customHeight="1" x14ac:dyDescent="0.25">
      <c r="B64" s="19" t="s">
        <v>81</v>
      </c>
    </row>
    <row r="65" spans="2:2" ht="15.75" customHeight="1" x14ac:dyDescent="0.25">
      <c r="B65" s="16" t="s">
        <v>82</v>
      </c>
    </row>
    <row r="66" spans="2:2" ht="15.75" customHeight="1" x14ac:dyDescent="0.25">
      <c r="B66" s="16" t="s">
        <v>83</v>
      </c>
    </row>
    <row r="67" spans="2:2" ht="15.75" customHeight="1" x14ac:dyDescent="0.25">
      <c r="B67" s="17"/>
    </row>
    <row r="68" spans="2:2" ht="15.75" customHeight="1" x14ac:dyDescent="0.25">
      <c r="B68" s="15" t="s">
        <v>84</v>
      </c>
    </row>
    <row r="69" spans="2:2" ht="15.75" customHeight="1" x14ac:dyDescent="0.25">
      <c r="B69" s="19" t="s">
        <v>85</v>
      </c>
    </row>
    <row r="70" spans="2:2" ht="15.75" customHeight="1" x14ac:dyDescent="0.25">
      <c r="B70" s="20" t="s">
        <v>86</v>
      </c>
    </row>
    <row r="71" spans="2:2" ht="15.75" customHeight="1" x14ac:dyDescent="0.25">
      <c r="B71" s="20" t="s">
        <v>87</v>
      </c>
    </row>
    <row r="72" spans="2:2" ht="15.75" customHeight="1" x14ac:dyDescent="0.25">
      <c r="B72" s="17"/>
    </row>
    <row r="73" spans="2:2" ht="15.75" customHeight="1" x14ac:dyDescent="0.25">
      <c r="B73" s="19" t="s">
        <v>88</v>
      </c>
    </row>
    <row r="74" spans="2:2" ht="15.75" customHeight="1" x14ac:dyDescent="0.25">
      <c r="B74" s="20" t="s">
        <v>89</v>
      </c>
    </row>
    <row r="75" spans="2:2" ht="15.75" customHeight="1" x14ac:dyDescent="0.25">
      <c r="B75" s="20" t="s">
        <v>90</v>
      </c>
    </row>
    <row r="76" spans="2:2" ht="15.75" customHeight="1" x14ac:dyDescent="0.25">
      <c r="B76" s="17"/>
    </row>
    <row r="77" spans="2:2" ht="15.75" customHeight="1" x14ac:dyDescent="0.25">
      <c r="B77" s="19" t="s">
        <v>91</v>
      </c>
    </row>
    <row r="78" spans="2:2" ht="15.75" customHeight="1" x14ac:dyDescent="0.25">
      <c r="B78" s="20" t="s">
        <v>92</v>
      </c>
    </row>
    <row r="79" spans="2:2" ht="15.75" customHeight="1" x14ac:dyDescent="0.25">
      <c r="B79" s="20" t="s">
        <v>93</v>
      </c>
    </row>
    <row r="80" spans="2:2" ht="15.75" customHeight="1" x14ac:dyDescent="0.25">
      <c r="B80" s="17"/>
    </row>
    <row r="81" spans="2:2" ht="15.75" customHeight="1" x14ac:dyDescent="0.25">
      <c r="B81" s="19" t="s">
        <v>94</v>
      </c>
    </row>
    <row r="82" spans="2:2" ht="15.75" customHeight="1" x14ac:dyDescent="0.25">
      <c r="B82" s="20" t="s">
        <v>95</v>
      </c>
    </row>
    <row r="83" spans="2:2" ht="15.75" customHeight="1" x14ac:dyDescent="0.25">
      <c r="B83" s="20" t="s">
        <v>96</v>
      </c>
    </row>
    <row r="84" spans="2:2" ht="15.75" customHeight="1" x14ac:dyDescent="0.25">
      <c r="B84" s="17"/>
    </row>
    <row r="85" spans="2:2" ht="15.75" customHeight="1" x14ac:dyDescent="0.25">
      <c r="B85" s="19" t="s">
        <v>97</v>
      </c>
    </row>
    <row r="86" spans="2:2" ht="15.75" customHeight="1" x14ac:dyDescent="0.25">
      <c r="B86" s="20" t="s">
        <v>98</v>
      </c>
    </row>
    <row r="87" spans="2:2" ht="15.75" customHeight="1" x14ac:dyDescent="0.25">
      <c r="B87" s="20" t="s">
        <v>99</v>
      </c>
    </row>
    <row r="88" spans="2:2" ht="15.75" customHeight="1" x14ac:dyDescent="0.25">
      <c r="B88" s="17"/>
    </row>
    <row r="89" spans="2:2" ht="15.75" customHeight="1" x14ac:dyDescent="0.25">
      <c r="B89" s="21" t="s">
        <v>100</v>
      </c>
    </row>
    <row r="90" spans="2:2" ht="15.75" customHeight="1" x14ac:dyDescent="0.25">
      <c r="B90" s="18" t="s">
        <v>101</v>
      </c>
    </row>
    <row r="91" spans="2:2" ht="15.75" customHeight="1" x14ac:dyDescent="0.25">
      <c r="B91" s="18" t="s">
        <v>102</v>
      </c>
    </row>
    <row r="92" spans="2:2" ht="15.75" customHeight="1" x14ac:dyDescent="0.25">
      <c r="B92" s="18" t="s">
        <v>103</v>
      </c>
    </row>
    <row r="93" spans="2:2" ht="15.75" customHeight="1" x14ac:dyDescent="0.25">
      <c r="B93" s="18" t="s">
        <v>104</v>
      </c>
    </row>
    <row r="94" spans="2:2" ht="15.75" customHeight="1" x14ac:dyDescent="0.25">
      <c r="B94" s="18" t="s">
        <v>105</v>
      </c>
    </row>
    <row r="95" spans="2:2" ht="15.75" customHeight="1" x14ac:dyDescent="0.25">
      <c r="B95" s="17"/>
    </row>
    <row r="96" spans="2:2" ht="15.75" customHeight="1" x14ac:dyDescent="0.25">
      <c r="B96" s="21" t="s">
        <v>106</v>
      </c>
    </row>
    <row r="97" spans="2:2" ht="15.75" customHeight="1" x14ac:dyDescent="0.25">
      <c r="B97" s="18" t="s">
        <v>107</v>
      </c>
    </row>
    <row r="98" spans="2:2" ht="15.75" customHeight="1" x14ac:dyDescent="0.25">
      <c r="B98" s="18" t="s">
        <v>108</v>
      </c>
    </row>
    <row r="99" spans="2:2" ht="15.75" customHeight="1" x14ac:dyDescent="0.25">
      <c r="B99" s="18" t="s">
        <v>109</v>
      </c>
    </row>
    <row r="100" spans="2:2" ht="15.75" customHeight="1" x14ac:dyDescent="0.25">
      <c r="B100" s="18" t="s">
        <v>110</v>
      </c>
    </row>
    <row r="101" spans="2:2" ht="15.75" customHeight="1" x14ac:dyDescent="0.25">
      <c r="B101" s="17"/>
    </row>
    <row r="102" spans="2:2" ht="15.75" customHeight="1" x14ac:dyDescent="0.25">
      <c r="B102" s="15" t="s">
        <v>111</v>
      </c>
    </row>
    <row r="103" spans="2:2" ht="15.75" customHeight="1" x14ac:dyDescent="0.25">
      <c r="B103" s="16" t="s">
        <v>112</v>
      </c>
    </row>
    <row r="104" spans="2:2" ht="15.75" customHeight="1" x14ac:dyDescent="0.25">
      <c r="B104" s="16" t="s">
        <v>113</v>
      </c>
    </row>
    <row r="105" spans="2:2" ht="15.75" customHeight="1" x14ac:dyDescent="0.25">
      <c r="B105" s="16" t="s">
        <v>114</v>
      </c>
    </row>
    <row r="106" spans="2:2" ht="15.75" customHeight="1" x14ac:dyDescent="0.25">
      <c r="B106" s="17"/>
    </row>
    <row r="107" spans="2:2" ht="15.75" customHeight="1" x14ac:dyDescent="0.25">
      <c r="B107" s="15" t="s">
        <v>115</v>
      </c>
    </row>
    <row r="108" spans="2:2" ht="15.75" customHeight="1" x14ac:dyDescent="0.25">
      <c r="B108" s="16" t="s">
        <v>116</v>
      </c>
    </row>
    <row r="109" spans="2:2" ht="15.75" customHeight="1" x14ac:dyDescent="0.25">
      <c r="B109" s="16" t="s">
        <v>117</v>
      </c>
    </row>
    <row r="110" spans="2:2" ht="15.75" customHeight="1" x14ac:dyDescent="0.25">
      <c r="B110" s="16" t="s">
        <v>118</v>
      </c>
    </row>
    <row r="111" spans="2:2" ht="15.75" customHeight="1" x14ac:dyDescent="0.25">
      <c r="B111" s="16" t="s">
        <v>119</v>
      </c>
    </row>
    <row r="112" spans="2:2" ht="15.75" customHeight="1" x14ac:dyDescent="0.25">
      <c r="B112" s="16" t="s">
        <v>120</v>
      </c>
    </row>
    <row r="113" spans="2:2" ht="15.75" customHeight="1" x14ac:dyDescent="0.25">
      <c r="B113" s="16" t="s">
        <v>121</v>
      </c>
    </row>
    <row r="114" spans="2:2" ht="15.75" customHeight="1" x14ac:dyDescent="0.25">
      <c r="B114" s="17"/>
    </row>
    <row r="115" spans="2:2" ht="15.75" customHeight="1" x14ac:dyDescent="0.25">
      <c r="B115" s="15" t="s">
        <v>122</v>
      </c>
    </row>
    <row r="116" spans="2:2" ht="15.75" customHeight="1" x14ac:dyDescent="0.25">
      <c r="B116" s="16" t="s">
        <v>123</v>
      </c>
    </row>
    <row r="117" spans="2:2" ht="15.75" customHeight="1" x14ac:dyDescent="0.25">
      <c r="B117" s="17"/>
    </row>
    <row r="118" spans="2:2" ht="15.75" customHeight="1" x14ac:dyDescent="0.25">
      <c r="B118" s="16" t="s">
        <v>124</v>
      </c>
    </row>
    <row r="119" spans="2:2" ht="15.75" customHeight="1" x14ac:dyDescent="0.25">
      <c r="B119" s="16" t="s">
        <v>125</v>
      </c>
    </row>
    <row r="120" spans="2:2" ht="15.75" customHeight="1" x14ac:dyDescent="0.25">
      <c r="B120" s="16" t="s">
        <v>126</v>
      </c>
    </row>
    <row r="121" spans="2:2" ht="15.75" customHeight="1" x14ac:dyDescent="0.25">
      <c r="B121" s="16" t="s">
        <v>127</v>
      </c>
    </row>
    <row r="122" spans="2:2" ht="15.75" customHeight="1" x14ac:dyDescent="0.25">
      <c r="B122" s="17"/>
    </row>
    <row r="123" spans="2:2" ht="15.75" customHeight="1" x14ac:dyDescent="0.25">
      <c r="B123" s="16" t="s">
        <v>128</v>
      </c>
    </row>
    <row r="124" spans="2:2" ht="15.75" customHeight="1" x14ac:dyDescent="0.25">
      <c r="B124" s="17"/>
    </row>
    <row r="125" spans="2:2" ht="15.75" customHeight="1" x14ac:dyDescent="0.25">
      <c r="B125" s="22" t="s">
        <v>129</v>
      </c>
    </row>
    <row r="126" spans="2:2" ht="15.75" customHeight="1" x14ac:dyDescent="0.25">
      <c r="B126" s="18" t="s">
        <v>130</v>
      </c>
    </row>
    <row r="127" spans="2:2" ht="15.75" customHeight="1" x14ac:dyDescent="0.25">
      <c r="B127" s="18" t="s">
        <v>131</v>
      </c>
    </row>
    <row r="128" spans="2:2" ht="15.75" customHeight="1" x14ac:dyDescent="0.25">
      <c r="B128" s="18" t="s">
        <v>132</v>
      </c>
    </row>
    <row r="129" spans="2:2" ht="15.75" customHeight="1" x14ac:dyDescent="0.25">
      <c r="B129" s="18" t="s">
        <v>133</v>
      </c>
    </row>
    <row r="130" spans="2:2" ht="15.75" customHeight="1" x14ac:dyDescent="0.25">
      <c r="B130" s="18"/>
    </row>
    <row r="131" spans="2:2" ht="15.75" customHeight="1" x14ac:dyDescent="0.25"/>
    <row r="132" spans="2:2" ht="15.75" customHeight="1" x14ac:dyDescent="0.25"/>
    <row r="133" spans="2:2" ht="15.75" customHeight="1" x14ac:dyDescent="0.25"/>
    <row r="134" spans="2:2" ht="15.75" customHeight="1" x14ac:dyDescent="0.25"/>
    <row r="135" spans="2:2" ht="15.75" customHeight="1" x14ac:dyDescent="0.25"/>
    <row r="136" spans="2:2" ht="15.75" customHeight="1" x14ac:dyDescent="0.25"/>
    <row r="137" spans="2:2" ht="15.75" customHeight="1" x14ac:dyDescent="0.25"/>
    <row r="138" spans="2:2" ht="15.75" customHeight="1" x14ac:dyDescent="0.25"/>
    <row r="139" spans="2:2" ht="15.75" customHeight="1" x14ac:dyDescent="0.25"/>
    <row r="140" spans="2:2" ht="15.75" customHeight="1" x14ac:dyDescent="0.25"/>
    <row r="141" spans="2:2" ht="15.75" customHeight="1" x14ac:dyDescent="0.25"/>
    <row r="142" spans="2:2" ht="15.75" customHeight="1" x14ac:dyDescent="0.25"/>
    <row r="143" spans="2:2" ht="15.75" customHeight="1" x14ac:dyDescent="0.25"/>
    <row r="144" spans="2:2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73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12" sqref="L12"/>
    </sheetView>
  </sheetViews>
  <sheetFormatPr defaultColWidth="14.42578125" defaultRowHeight="15" customHeight="1" x14ac:dyDescent="0.25"/>
  <cols>
    <col min="1" max="1" width="5" customWidth="1"/>
    <col min="2" max="2" width="34.5703125" customWidth="1"/>
    <col min="3" max="3" width="16.28515625" customWidth="1"/>
    <col min="4" max="4" width="15" customWidth="1"/>
    <col min="5" max="24" width="8.7109375" customWidth="1"/>
  </cols>
  <sheetData>
    <row r="1" spans="2:4" ht="24.75" customHeight="1" x14ac:dyDescent="0.25">
      <c r="B1" s="31" t="s">
        <v>134</v>
      </c>
      <c r="C1" s="26"/>
      <c r="D1" s="26"/>
    </row>
    <row r="2" spans="2:4" ht="30" customHeight="1" x14ac:dyDescent="0.25">
      <c r="B2" s="32" t="s">
        <v>135</v>
      </c>
      <c r="C2" s="26"/>
      <c r="D2" s="26"/>
    </row>
    <row r="3" spans="2:4" ht="15" customHeight="1" x14ac:dyDescent="0.25">
      <c r="B3" s="26"/>
      <c r="C3" s="26"/>
      <c r="D3" s="26"/>
    </row>
    <row r="4" spans="2:4" ht="19.5" customHeight="1" x14ac:dyDescent="0.25">
      <c r="B4" s="23" t="str" cm="1">
        <f t="array" ref="B4:D429">_xldudf_DEFILLAMA_CHAINS()</f>
        <v>Chain</v>
      </c>
      <c r="C4" s="23" t="str">
        <v>Ticker</v>
      </c>
      <c r="D4" s="23" t="str">
        <v>TVL</v>
      </c>
    </row>
    <row r="5" spans="2:4" x14ac:dyDescent="0.25">
      <c r="B5" t="str">
        <v>Harmony</v>
      </c>
      <c r="C5" t="str">
        <v>ONE</v>
      </c>
      <c r="D5" s="24">
        <v>533269.6734075211</v>
      </c>
    </row>
    <row r="6" spans="2:4" x14ac:dyDescent="0.25">
      <c r="B6" t="str">
        <v>Mantle</v>
      </c>
      <c r="C6" t="str">
        <v>MNT</v>
      </c>
      <c r="D6" s="24">
        <v>332502119.33184856</v>
      </c>
    </row>
    <row r="7" spans="2:4" x14ac:dyDescent="0.25">
      <c r="B7" t="str">
        <v>Ink</v>
      </c>
      <c r="C7" t="str">
        <v>-</v>
      </c>
      <c r="D7" s="24">
        <v>493470057.60746676</v>
      </c>
    </row>
    <row r="8" spans="2:4" x14ac:dyDescent="0.25">
      <c r="B8" t="str">
        <v>Stable</v>
      </c>
      <c r="C8" t="str">
        <v>STABLE</v>
      </c>
      <c r="D8" s="24">
        <v>30092.529676887938</v>
      </c>
    </row>
    <row r="9" spans="2:4" x14ac:dyDescent="0.25">
      <c r="B9" t="str">
        <v>Plasma</v>
      </c>
      <c r="C9" t="str">
        <v>XPL</v>
      </c>
      <c r="D9" s="24">
        <v>3182447519.4066825</v>
      </c>
    </row>
    <row r="10" spans="2:4" x14ac:dyDescent="0.25">
      <c r="B10" t="str">
        <v>Etherlink</v>
      </c>
      <c r="C10" t="str">
        <v>-</v>
      </c>
      <c r="D10" s="24">
        <v>36272703.515969969</v>
      </c>
    </row>
    <row r="11" spans="2:4" x14ac:dyDescent="0.25">
      <c r="B11" t="str">
        <v>Unichain</v>
      </c>
      <c r="C11" t="str">
        <v>-</v>
      </c>
      <c r="D11" s="24">
        <v>99895030.629258782</v>
      </c>
    </row>
    <row r="12" spans="2:4" x14ac:dyDescent="0.25">
      <c r="B12" t="str">
        <v>X Layer</v>
      </c>
      <c r="C12" t="str">
        <v>-</v>
      </c>
      <c r="D12" s="24">
        <v>20483600.426296443</v>
      </c>
    </row>
    <row r="13" spans="2:4" x14ac:dyDescent="0.25">
      <c r="B13" t="str">
        <v>Aurora</v>
      </c>
      <c r="C13" t="str">
        <v>AURORA</v>
      </c>
      <c r="D13" s="24">
        <v>3859328.1993920738</v>
      </c>
    </row>
    <row r="14" spans="2:4" x14ac:dyDescent="0.25">
      <c r="B14" t="str">
        <v>Corn</v>
      </c>
      <c r="C14" t="str">
        <v>-</v>
      </c>
      <c r="D14" s="24">
        <v>264120.50006338005</v>
      </c>
    </row>
    <row r="15" spans="2:4" x14ac:dyDescent="0.25">
      <c r="B15" t="str">
        <v>TAC</v>
      </c>
      <c r="C15" t="str">
        <v>TAC</v>
      </c>
      <c r="D15" s="24">
        <v>2724719.1279959204</v>
      </c>
    </row>
    <row r="16" spans="2:4" x14ac:dyDescent="0.25">
      <c r="B16" t="str">
        <v>Fraxtal</v>
      </c>
      <c r="C16" t="str">
        <v>FXTL</v>
      </c>
      <c r="D16" s="24">
        <v>39831074.318579346</v>
      </c>
    </row>
    <row r="17" spans="2:4" x14ac:dyDescent="0.25">
      <c r="B17" t="str">
        <v>Kava</v>
      </c>
      <c r="C17" t="str">
        <v>KAVA</v>
      </c>
      <c r="D17" s="24">
        <v>49311493.549850136</v>
      </c>
    </row>
    <row r="18" spans="2:4" x14ac:dyDescent="0.25">
      <c r="B18" t="str">
        <v>Base</v>
      </c>
      <c r="C18" t="str">
        <v>-</v>
      </c>
      <c r="D18" s="24">
        <v>4660211945.3717537</v>
      </c>
    </row>
    <row r="19" spans="2:4" x14ac:dyDescent="0.25">
      <c r="B19" t="str">
        <v>Monad</v>
      </c>
      <c r="C19" t="str">
        <v>MON</v>
      </c>
      <c r="D19" s="24">
        <v>283764627.11337811</v>
      </c>
    </row>
    <row r="20" spans="2:4" x14ac:dyDescent="0.25">
      <c r="B20" t="str">
        <v>Hyperliquid L1</v>
      </c>
      <c r="C20" t="str">
        <v>HYPE</v>
      </c>
      <c r="D20" s="24">
        <v>1401088432.2011478</v>
      </c>
    </row>
    <row r="21" spans="2:4" ht="15.75" customHeight="1" x14ac:dyDescent="0.25">
      <c r="B21" t="str">
        <v>Plume Mainnet</v>
      </c>
      <c r="C21" t="str">
        <v>PLUME</v>
      </c>
      <c r="D21" s="24">
        <v>20003617.083735622</v>
      </c>
    </row>
    <row r="22" spans="2:4" ht="15.75" customHeight="1" x14ac:dyDescent="0.25">
      <c r="B22" t="str">
        <v>OP Mainnet</v>
      </c>
      <c r="C22" t="str">
        <v>OP</v>
      </c>
      <c r="D22" s="24">
        <v>295172005.28762877</v>
      </c>
    </row>
    <row r="23" spans="2:4" ht="15.75" customHeight="1" x14ac:dyDescent="0.25">
      <c r="B23" t="str">
        <v>Fantom</v>
      </c>
      <c r="C23" t="str">
        <v>FTM</v>
      </c>
      <c r="D23" s="24">
        <v>6054752.6047387617</v>
      </c>
    </row>
    <row r="24" spans="2:4" ht="15.75" customHeight="1" x14ac:dyDescent="0.25">
      <c r="B24" t="str">
        <v>BSC</v>
      </c>
      <c r="C24" t="str">
        <v>BNB</v>
      </c>
      <c r="D24" s="24">
        <v>6733248021.0746069</v>
      </c>
    </row>
    <row r="25" spans="2:4" ht="15.75" customHeight="1" x14ac:dyDescent="0.25">
      <c r="B25" t="str">
        <v>Sonic</v>
      </c>
      <c r="C25" t="str">
        <v>S</v>
      </c>
      <c r="D25" s="24">
        <v>75732251.083413407</v>
      </c>
    </row>
    <row r="26" spans="2:4" ht="15.75" customHeight="1" x14ac:dyDescent="0.25">
      <c r="B26" t="str">
        <v>Gnosis</v>
      </c>
      <c r="C26" t="str">
        <v>GNO</v>
      </c>
      <c r="D26" s="24">
        <v>139089530.58624715</v>
      </c>
    </row>
    <row r="27" spans="2:4" ht="15.75" customHeight="1" x14ac:dyDescent="0.25">
      <c r="B27" t="str">
        <v>Avalanche</v>
      </c>
      <c r="C27" t="str">
        <v>AVAX</v>
      </c>
      <c r="D27" s="24">
        <v>1297525405.8853185</v>
      </c>
    </row>
    <row r="28" spans="2:4" ht="15.75" customHeight="1" x14ac:dyDescent="0.25">
      <c r="B28" t="str">
        <v>Ethereum</v>
      </c>
      <c r="C28" t="str">
        <v>ETH</v>
      </c>
      <c r="D28" s="24">
        <v>70984862468.784546</v>
      </c>
    </row>
    <row r="29" spans="2:4" ht="15.75" customHeight="1" x14ac:dyDescent="0.25">
      <c r="B29" t="str">
        <v>Celo</v>
      </c>
      <c r="C29" t="str">
        <v>CELO</v>
      </c>
      <c r="D29" s="24">
        <v>37019815.525720298</v>
      </c>
    </row>
    <row r="30" spans="2:4" ht="15.75" customHeight="1" x14ac:dyDescent="0.25">
      <c r="B30" t="str">
        <v>Arbitrum</v>
      </c>
      <c r="C30" t="str">
        <v>ARB</v>
      </c>
      <c r="D30" s="24">
        <v>3031540559.0559545</v>
      </c>
    </row>
    <row r="31" spans="2:4" ht="15.75" customHeight="1" x14ac:dyDescent="0.25">
      <c r="B31" t="str">
        <v>XDC</v>
      </c>
      <c r="C31" t="str">
        <v>XDC</v>
      </c>
      <c r="D31" s="24">
        <v>13461702.185596559</v>
      </c>
    </row>
    <row r="32" spans="2:4" ht="15.75" customHeight="1" x14ac:dyDescent="0.25">
      <c r="B32" t="str">
        <v>Polygon</v>
      </c>
      <c r="C32" t="str">
        <v>POL</v>
      </c>
      <c r="D32" s="24">
        <v>1055039573.740579</v>
      </c>
    </row>
    <row r="33" spans="2:4" ht="15.75" customHeight="1" x14ac:dyDescent="0.25">
      <c r="B33" t="str">
        <v>Taiko</v>
      </c>
      <c r="C33" t="str">
        <v>-</v>
      </c>
      <c r="D33" s="24">
        <v>9414740.4909935929</v>
      </c>
    </row>
    <row r="34" spans="2:4" ht="15.75" customHeight="1" x14ac:dyDescent="0.25">
      <c r="B34" t="str">
        <v>Moonbeam</v>
      </c>
      <c r="C34" t="str">
        <v>GLMR</v>
      </c>
      <c r="D34" s="24">
        <v>4683702.7006163113</v>
      </c>
    </row>
    <row r="35" spans="2:4" ht="15.75" customHeight="1" x14ac:dyDescent="0.25">
      <c r="B35" t="str">
        <v>Heco</v>
      </c>
      <c r="C35" t="str">
        <v>HT</v>
      </c>
      <c r="D35" s="24">
        <v>97572.698712969723</v>
      </c>
    </row>
    <row r="36" spans="2:4" ht="15.75" customHeight="1" x14ac:dyDescent="0.25">
      <c r="B36" t="str">
        <v>Telos</v>
      </c>
      <c r="C36" t="str">
        <v>TLOS</v>
      </c>
      <c r="D36" s="24">
        <v>3172915.0828184201</v>
      </c>
    </row>
    <row r="37" spans="2:4" ht="15.75" customHeight="1" x14ac:dyDescent="0.25">
      <c r="B37" t="str">
        <v>Polygon zkEVM</v>
      </c>
      <c r="C37" t="str">
        <v>-</v>
      </c>
      <c r="D37" s="24">
        <v>1829173.7723574485</v>
      </c>
    </row>
    <row r="38" spans="2:4" ht="15.75" customHeight="1" x14ac:dyDescent="0.25">
      <c r="B38" t="str">
        <v>ZetaChain</v>
      </c>
      <c r="C38" t="str">
        <v>ZETA</v>
      </c>
      <c r="D38" s="24">
        <v>1093866.1442837622</v>
      </c>
    </row>
    <row r="39" spans="2:4" ht="15.75" customHeight="1" x14ac:dyDescent="0.25">
      <c r="B39" t="str">
        <v>Blast</v>
      </c>
      <c r="C39" t="str">
        <v>-</v>
      </c>
      <c r="D39" s="24">
        <v>56009265.723114744</v>
      </c>
    </row>
    <row r="40" spans="2:4" ht="15.75" customHeight="1" x14ac:dyDescent="0.25">
      <c r="B40" t="str">
        <v>Scroll</v>
      </c>
      <c r="C40" t="str">
        <v>-</v>
      </c>
      <c r="D40" s="24">
        <v>198003461.10649648</v>
      </c>
    </row>
    <row r="41" spans="2:4" ht="15.75" customHeight="1" x14ac:dyDescent="0.25">
      <c r="B41" t="str">
        <v>Fuse</v>
      </c>
      <c r="C41" t="str">
        <v>FUSE</v>
      </c>
      <c r="D41" s="24">
        <v>379851.23825146945</v>
      </c>
    </row>
    <row r="42" spans="2:4" ht="15.75" customHeight="1" x14ac:dyDescent="0.25">
      <c r="B42" t="str">
        <v>HAQQ</v>
      </c>
      <c r="C42" t="str">
        <v>ISLM</v>
      </c>
      <c r="D42" s="24">
        <v>11.266757360162932</v>
      </c>
    </row>
    <row r="43" spans="2:4" ht="15.75" customHeight="1" x14ac:dyDescent="0.25">
      <c r="B43" t="str">
        <v>Bittorrent</v>
      </c>
      <c r="C43" t="str">
        <v>BTT</v>
      </c>
      <c r="D43" s="24">
        <v>350722.45673306764</v>
      </c>
    </row>
    <row r="44" spans="2:4" ht="15.75" customHeight="1" x14ac:dyDescent="0.25">
      <c r="B44" t="str">
        <v>Boba</v>
      </c>
      <c r="C44" t="str">
        <v>BOBA</v>
      </c>
      <c r="D44" s="24">
        <v>2894414.9658935657</v>
      </c>
    </row>
    <row r="45" spans="2:4" ht="15.75" customHeight="1" x14ac:dyDescent="0.25">
      <c r="B45" t="str">
        <v>Metis</v>
      </c>
      <c r="C45" t="str">
        <v>METIS</v>
      </c>
      <c r="D45" s="24">
        <v>18279841.113672238</v>
      </c>
    </row>
    <row r="46" spans="2:4" ht="15.75" customHeight="1" x14ac:dyDescent="0.25">
      <c r="B46" t="str">
        <v>CORE</v>
      </c>
      <c r="C46" t="str">
        <v>CORE</v>
      </c>
      <c r="D46" s="24">
        <v>39743296.652204201</v>
      </c>
    </row>
    <row r="47" spans="2:4" ht="15.75" customHeight="1" x14ac:dyDescent="0.25">
      <c r="B47" t="str">
        <v>Katana</v>
      </c>
      <c r="C47" t="str">
        <v>-</v>
      </c>
      <c r="D47" s="24">
        <v>377989247.22706866</v>
      </c>
    </row>
    <row r="48" spans="2:4" ht="15.75" customHeight="1" x14ac:dyDescent="0.25">
      <c r="B48" t="str">
        <v>Hemi</v>
      </c>
      <c r="C48" t="str">
        <v>-</v>
      </c>
      <c r="D48" s="24">
        <v>9561773.7181856651</v>
      </c>
    </row>
    <row r="49" spans="2:4" ht="15.75" customHeight="1" x14ac:dyDescent="0.25">
      <c r="B49" t="str">
        <v>Boba_Bnb</v>
      </c>
      <c r="C49" t="str">
        <v>-</v>
      </c>
      <c r="D49" s="24">
        <v>15.001200824377211</v>
      </c>
    </row>
    <row r="50" spans="2:4" ht="15.75" customHeight="1" x14ac:dyDescent="0.25">
      <c r="B50" t="str">
        <v>Moonriver</v>
      </c>
      <c r="C50" t="str">
        <v>MOVR</v>
      </c>
      <c r="D50" s="24">
        <v>2237090.5570894466</v>
      </c>
    </row>
    <row r="51" spans="2:4" ht="15.75" customHeight="1" x14ac:dyDescent="0.25">
      <c r="B51" t="str">
        <v>Palm</v>
      </c>
      <c r="C51" t="str">
        <v>-</v>
      </c>
      <c r="D51" s="24">
        <v>539.52705311359705</v>
      </c>
    </row>
    <row r="52" spans="2:4" ht="15.75" customHeight="1" x14ac:dyDescent="0.25">
      <c r="B52" t="str">
        <v>Linea</v>
      </c>
      <c r="C52" t="str">
        <v>LINEA</v>
      </c>
      <c r="D52" s="24">
        <v>184772347.91492784</v>
      </c>
    </row>
    <row r="53" spans="2:4" ht="15.75" customHeight="1" x14ac:dyDescent="0.25">
      <c r="B53" t="str">
        <v>ThunderCore</v>
      </c>
      <c r="C53" t="str">
        <v>TT</v>
      </c>
      <c r="D53" s="24">
        <v>381060.7783948459</v>
      </c>
    </row>
    <row r="54" spans="2:4" ht="15.75" customHeight="1" x14ac:dyDescent="0.25">
      <c r="B54" t="str">
        <v>Rootstock</v>
      </c>
      <c r="C54" t="str">
        <v>RBTC</v>
      </c>
      <c r="D54" s="24">
        <v>168360895.4809714</v>
      </c>
    </row>
    <row r="55" spans="2:4" ht="15.75" customHeight="1" x14ac:dyDescent="0.25">
      <c r="B55" t="str">
        <v>SKALE Europa</v>
      </c>
      <c r="C55" t="str">
        <v>-</v>
      </c>
      <c r="D55" s="24">
        <v>191771.02124225022</v>
      </c>
    </row>
    <row r="56" spans="2:4" ht="15.75" customHeight="1" x14ac:dyDescent="0.25">
      <c r="B56" t="str">
        <v>OKTChain</v>
      </c>
      <c r="C56" t="str">
        <v>OKT</v>
      </c>
      <c r="D56" s="24">
        <v>1525416.6700811281</v>
      </c>
    </row>
    <row r="57" spans="2:4" ht="15.75" customHeight="1" x14ac:dyDescent="0.25">
      <c r="B57" t="str">
        <v>Filecoin</v>
      </c>
      <c r="C57" t="str">
        <v>FIL</v>
      </c>
      <c r="D57" s="24">
        <v>10502806.578196704</v>
      </c>
    </row>
    <row r="58" spans="2:4" ht="15.75" customHeight="1" x14ac:dyDescent="0.25">
      <c r="B58" t="str">
        <v>Arbitrum Nova</v>
      </c>
      <c r="C58" t="str">
        <v>-</v>
      </c>
      <c r="D58" s="24">
        <v>601446.53064919251</v>
      </c>
    </row>
    <row r="59" spans="2:4" ht="15.75" customHeight="1" x14ac:dyDescent="0.25">
      <c r="B59" t="str">
        <v>Conflux</v>
      </c>
      <c r="C59" t="str">
        <v>CFX</v>
      </c>
      <c r="D59" s="24">
        <v>8069846.9354886441</v>
      </c>
    </row>
    <row r="60" spans="2:4" ht="15.75" customHeight="1" x14ac:dyDescent="0.25">
      <c r="B60" t="str">
        <v>Velas</v>
      </c>
      <c r="C60" t="str">
        <v>VLX</v>
      </c>
      <c r="D60" s="24">
        <v>319059.5517541162</v>
      </c>
    </row>
    <row r="61" spans="2:4" ht="15.75" customHeight="1" x14ac:dyDescent="0.25">
      <c r="B61" t="str">
        <v>Oasis Emerald</v>
      </c>
      <c r="C61" t="str">
        <v>ROSE</v>
      </c>
      <c r="D61" s="24">
        <v>218855.68886796819</v>
      </c>
    </row>
    <row r="62" spans="2:4" ht="15.75" customHeight="1" x14ac:dyDescent="0.25">
      <c r="B62" t="str">
        <v>Cronos</v>
      </c>
      <c r="C62" t="str">
        <v>CRO</v>
      </c>
      <c r="D62" s="24">
        <v>382978599.56853783</v>
      </c>
    </row>
    <row r="63" spans="2:4" ht="15.75" customHeight="1" x14ac:dyDescent="0.25">
      <c r="B63" t="str">
        <v>ZKsync Era</v>
      </c>
      <c r="C63" t="str">
        <v>ZK</v>
      </c>
      <c r="D63" s="24">
        <v>34930613.942370102</v>
      </c>
    </row>
    <row r="64" spans="2:4" ht="15.75" customHeight="1" x14ac:dyDescent="0.25">
      <c r="B64" t="str">
        <v>Binance</v>
      </c>
      <c r="C64" t="str">
        <v>BNB</v>
      </c>
      <c r="D64" s="24" t="str">
        <v>-</v>
      </c>
    </row>
    <row r="65" spans="2:4" ht="15.75" customHeight="1" x14ac:dyDescent="0.25">
      <c r="B65" t="str">
        <v>Solana</v>
      </c>
      <c r="C65" t="str">
        <v>SOL</v>
      </c>
      <c r="D65" s="24">
        <v>8792323440.2470684</v>
      </c>
    </row>
    <row r="66" spans="2:4" ht="15.75" customHeight="1" x14ac:dyDescent="0.25">
      <c r="B66" t="str">
        <v>Zircuit</v>
      </c>
      <c r="C66" t="str">
        <v>ZRC</v>
      </c>
      <c r="D66" s="24">
        <v>1345002.6442703791</v>
      </c>
    </row>
    <row r="67" spans="2:4" ht="15.75" customHeight="1" x14ac:dyDescent="0.25">
      <c r="B67" t="str">
        <v>Manta</v>
      </c>
      <c r="C67" t="str">
        <v>MANTA</v>
      </c>
      <c r="D67" s="24">
        <v>10926633.884144541</v>
      </c>
    </row>
    <row r="68" spans="2:4" ht="15.75" customHeight="1" x14ac:dyDescent="0.25">
      <c r="B68" t="str">
        <v>HashKey Chain</v>
      </c>
      <c r="C68" t="str">
        <v>HSK</v>
      </c>
      <c r="D68" s="24">
        <v>1952678.036311775</v>
      </c>
    </row>
    <row r="69" spans="2:4" ht="15.75" customHeight="1" x14ac:dyDescent="0.25">
      <c r="B69" t="str">
        <v>EthereumClassic</v>
      </c>
      <c r="C69" t="str">
        <v>ETC</v>
      </c>
      <c r="D69" s="24">
        <v>213299.99901684487</v>
      </c>
    </row>
    <row r="70" spans="2:4" ht="15.75" customHeight="1" x14ac:dyDescent="0.25">
      <c r="B70" t="str">
        <v>Doge</v>
      </c>
      <c r="C70" t="str">
        <v>DOGE</v>
      </c>
      <c r="D70" s="24">
        <v>15532697.21927836</v>
      </c>
    </row>
    <row r="71" spans="2:4" ht="15.75" customHeight="1" x14ac:dyDescent="0.25">
      <c r="B71" t="str">
        <v>Litecoin</v>
      </c>
      <c r="C71" t="str">
        <v>LTC</v>
      </c>
      <c r="D71" s="24">
        <v>1961439.0940796495</v>
      </c>
    </row>
    <row r="72" spans="2:4" ht="15.75" customHeight="1" x14ac:dyDescent="0.25">
      <c r="B72" t="str">
        <v>IoTeX</v>
      </c>
      <c r="C72" t="str">
        <v>IOTX</v>
      </c>
      <c r="D72" s="24">
        <v>6107580.1328817373</v>
      </c>
    </row>
    <row r="73" spans="2:4" ht="15.75" customHeight="1" x14ac:dyDescent="0.25">
      <c r="B73" t="str">
        <v>KCC</v>
      </c>
      <c r="C73" t="str">
        <v>KCS</v>
      </c>
      <c r="D73" s="24">
        <v>1192600.0100328994</v>
      </c>
    </row>
    <row r="74" spans="2:4" ht="15.75" customHeight="1" x14ac:dyDescent="0.25">
      <c r="B74" t="str">
        <v>Bitcoin</v>
      </c>
      <c r="C74" t="str">
        <v>BTC</v>
      </c>
      <c r="D74" s="24">
        <v>6945168557.7627029</v>
      </c>
    </row>
    <row r="75" spans="2:4" ht="15.75" customHeight="1" x14ac:dyDescent="0.25">
      <c r="B75" t="str">
        <v>Wanchain</v>
      </c>
      <c r="C75" t="str">
        <v>WAN</v>
      </c>
      <c r="D75" s="24">
        <v>3885240.6351194093</v>
      </c>
    </row>
    <row r="76" spans="2:4" ht="15.75" customHeight="1" x14ac:dyDescent="0.25">
      <c r="B76" t="str">
        <v>Ontology</v>
      </c>
      <c r="C76" t="str">
        <v>ONT</v>
      </c>
      <c r="D76" s="24">
        <v>5617422.4123659991</v>
      </c>
    </row>
    <row r="77" spans="2:4" ht="15.75" customHeight="1" x14ac:dyDescent="0.25">
      <c r="B77" t="str">
        <v>OntologyEVM</v>
      </c>
      <c r="C77" t="str">
        <v>ONG</v>
      </c>
      <c r="D77" s="24">
        <v>2163.9667237078047</v>
      </c>
    </row>
    <row r="78" spans="2:4" ht="15.75" customHeight="1" x14ac:dyDescent="0.25">
      <c r="B78" t="str">
        <v>Aptos</v>
      </c>
      <c r="C78" t="str">
        <v>APT</v>
      </c>
      <c r="D78" s="24">
        <v>436336276.83205038</v>
      </c>
    </row>
    <row r="79" spans="2:4" ht="15.75" customHeight="1" x14ac:dyDescent="0.25">
      <c r="B79" t="str">
        <v>opBNB</v>
      </c>
      <c r="C79" t="str">
        <v>-</v>
      </c>
      <c r="D79" s="24">
        <v>18887436.823658209</v>
      </c>
    </row>
    <row r="80" spans="2:4" ht="15.75" customHeight="1" x14ac:dyDescent="0.25">
      <c r="B80" t="str">
        <v>Ronin</v>
      </c>
      <c r="C80" t="str">
        <v>RON</v>
      </c>
      <c r="D80" s="24">
        <v>18541836.920370236</v>
      </c>
    </row>
    <row r="81" spans="2:4" ht="15.75" customHeight="1" x14ac:dyDescent="0.25">
      <c r="B81" t="str">
        <v>Evmos</v>
      </c>
      <c r="C81" t="str">
        <v>EVMOS</v>
      </c>
      <c r="D81" s="24">
        <v>191921.10602130982</v>
      </c>
    </row>
    <row r="82" spans="2:4" ht="15.75" customHeight="1" x14ac:dyDescent="0.25">
      <c r="B82" t="str">
        <v>Energi</v>
      </c>
      <c r="C82" t="str">
        <v>NRG</v>
      </c>
      <c r="D82" s="24">
        <v>208906.62933389438</v>
      </c>
    </row>
    <row r="83" spans="2:4" ht="15.75" customHeight="1" x14ac:dyDescent="0.25">
      <c r="B83" t="str">
        <v>Hedera</v>
      </c>
      <c r="C83" t="str">
        <v>HBAR</v>
      </c>
      <c r="D83" s="24">
        <v>66285010.826473042</v>
      </c>
    </row>
    <row r="84" spans="2:4" ht="15.75" customHeight="1" x14ac:dyDescent="0.25">
      <c r="B84" t="str">
        <v>Songbird</v>
      </c>
      <c r="C84" t="str">
        <v>SGB</v>
      </c>
      <c r="D84" s="24">
        <v>504345.99029571319</v>
      </c>
    </row>
    <row r="85" spans="2:4" ht="15.75" customHeight="1" x14ac:dyDescent="0.25">
      <c r="B85" t="str">
        <v>Flare</v>
      </c>
      <c r="C85" t="str">
        <v>FLR</v>
      </c>
      <c r="D85" s="24">
        <v>205918182.74955782</v>
      </c>
    </row>
    <row r="86" spans="2:4" ht="15.75" customHeight="1" x14ac:dyDescent="0.25">
      <c r="B86" t="str">
        <v>Kaia</v>
      </c>
      <c r="C86" t="str">
        <v>KLAY</v>
      </c>
      <c r="D86" s="24">
        <v>16261998.682053754</v>
      </c>
    </row>
    <row r="87" spans="2:4" ht="15.75" customHeight="1" x14ac:dyDescent="0.25">
      <c r="B87" t="str">
        <v>Bifrost Network</v>
      </c>
      <c r="C87" t="str">
        <v>BFC</v>
      </c>
      <c r="D87" s="24">
        <v>17599280.925436754</v>
      </c>
    </row>
    <row r="88" spans="2:4" ht="15.75" customHeight="1" x14ac:dyDescent="0.25">
      <c r="B88" t="str">
        <v>Terra Classic</v>
      </c>
      <c r="C88" t="str">
        <v>LUNC</v>
      </c>
      <c r="D88" s="24">
        <v>647758.05877155694</v>
      </c>
    </row>
    <row r="89" spans="2:4" ht="15.75" customHeight="1" x14ac:dyDescent="0.25">
      <c r="B89" t="str">
        <v>Eclipse</v>
      </c>
      <c r="C89" t="str">
        <v>-</v>
      </c>
      <c r="D89" s="24">
        <v>2665449.4648989341</v>
      </c>
    </row>
    <row r="90" spans="2:4" ht="15.75" customHeight="1" x14ac:dyDescent="0.25">
      <c r="B90" t="str">
        <v>Horizen EON</v>
      </c>
      <c r="C90" t="str">
        <v>ZEN</v>
      </c>
      <c r="D90" s="24" t="str">
        <v>-</v>
      </c>
    </row>
    <row r="91" spans="2:4" ht="15.75" customHeight="1" x14ac:dyDescent="0.25">
      <c r="B91" t="str">
        <v>Zilliqa</v>
      </c>
      <c r="C91" t="str">
        <v>ZIL</v>
      </c>
      <c r="D91" s="24">
        <v>628957.36901835841</v>
      </c>
    </row>
    <row r="92" spans="2:4" ht="15.75" customHeight="1" x14ac:dyDescent="0.25">
      <c r="B92" t="str">
        <v>NEO</v>
      </c>
      <c r="C92" t="str">
        <v>NEO</v>
      </c>
      <c r="D92" s="24">
        <v>5263387.6280869395</v>
      </c>
    </row>
    <row r="93" spans="2:4" ht="15.75" customHeight="1" x14ac:dyDescent="0.25">
      <c r="B93" t="str">
        <v>Secret</v>
      </c>
      <c r="C93" t="str">
        <v>SCRT</v>
      </c>
      <c r="D93" s="24">
        <v>3466778.2473848714</v>
      </c>
    </row>
    <row r="94" spans="2:4" ht="15.75" customHeight="1" x14ac:dyDescent="0.25">
      <c r="B94" t="str">
        <v>BOB</v>
      </c>
      <c r="C94" t="str">
        <v>-</v>
      </c>
      <c r="D94" s="24">
        <v>53600694.184141137</v>
      </c>
    </row>
    <row r="95" spans="2:4" ht="15.75" customHeight="1" x14ac:dyDescent="0.25">
      <c r="B95" t="str">
        <v>Cube</v>
      </c>
      <c r="C95" t="str">
        <v>CUBE</v>
      </c>
      <c r="D95" s="24" t="str">
        <v>-</v>
      </c>
    </row>
    <row r="96" spans="2:4" ht="15.75" customHeight="1" x14ac:dyDescent="0.25">
      <c r="B96" t="str">
        <v>Astar</v>
      </c>
      <c r="C96" t="str">
        <v>ASTR</v>
      </c>
      <c r="D96" s="24">
        <v>2007229.0163112315</v>
      </c>
    </row>
    <row r="97" spans="2:4" ht="15.75" customHeight="1" x14ac:dyDescent="0.25">
      <c r="B97" t="str">
        <v>Bitgert</v>
      </c>
      <c r="C97" t="str">
        <v>BRISE</v>
      </c>
      <c r="D97" s="24">
        <v>4.6074130752218577E-2</v>
      </c>
    </row>
    <row r="98" spans="2:4" ht="15.75" customHeight="1" x14ac:dyDescent="0.25">
      <c r="B98" t="str">
        <v>Sifchain</v>
      </c>
      <c r="C98" t="str">
        <v>EROWAN</v>
      </c>
      <c r="D98" s="24" t="str">
        <v>-</v>
      </c>
    </row>
    <row r="99" spans="2:4" ht="15.75" customHeight="1" x14ac:dyDescent="0.25">
      <c r="B99" t="str">
        <v>Canto</v>
      </c>
      <c r="C99" t="str">
        <v>CANTO</v>
      </c>
      <c r="D99" s="24">
        <v>3639556.7983210376</v>
      </c>
    </row>
    <row r="100" spans="2:4" ht="15.75" customHeight="1" x14ac:dyDescent="0.25">
      <c r="B100" t="str">
        <v>REI</v>
      </c>
      <c r="C100" t="str">
        <v>REI</v>
      </c>
      <c r="D100" s="24">
        <v>1687.5323636019411</v>
      </c>
    </row>
    <row r="101" spans="2:4" ht="15.75" customHeight="1" x14ac:dyDescent="0.25">
      <c r="B101" t="str">
        <v>Elastos</v>
      </c>
      <c r="C101" t="str">
        <v>ELA</v>
      </c>
      <c r="D101" s="24">
        <v>541764.28455012711</v>
      </c>
    </row>
    <row r="102" spans="2:4" ht="15.75" customHeight="1" x14ac:dyDescent="0.25">
      <c r="B102" t="str">
        <v>Nuls</v>
      </c>
      <c r="C102" t="str">
        <v>NULS</v>
      </c>
      <c r="D102" s="24">
        <v>2509652</v>
      </c>
    </row>
    <row r="103" spans="2:4" ht="15.75" customHeight="1" x14ac:dyDescent="0.25">
      <c r="B103" t="str">
        <v>Osmosis</v>
      </c>
      <c r="C103" t="str">
        <v>OSMO</v>
      </c>
      <c r="D103" s="24">
        <v>29357702.598194446</v>
      </c>
    </row>
    <row r="104" spans="2:4" ht="15.75" customHeight="1" x14ac:dyDescent="0.25">
      <c r="B104" t="str">
        <v>Shibarium</v>
      </c>
      <c r="C104" t="str">
        <v>-</v>
      </c>
      <c r="D104" s="24">
        <v>897281.5091478941</v>
      </c>
    </row>
    <row r="105" spans="2:4" ht="15.75" customHeight="1" x14ac:dyDescent="0.25">
      <c r="B105" t="str">
        <v>Bitcoincash</v>
      </c>
      <c r="C105" t="str">
        <v>BCH</v>
      </c>
      <c r="D105" s="24">
        <v>8691364.4198036492</v>
      </c>
    </row>
    <row r="106" spans="2:4" ht="15.75" customHeight="1" x14ac:dyDescent="0.25">
      <c r="B106" t="str">
        <v>CosmosHub</v>
      </c>
      <c r="C106" t="str">
        <v>ATOM</v>
      </c>
      <c r="D106" s="24">
        <v>195693.12591556477</v>
      </c>
    </row>
    <row r="107" spans="2:4" ht="15.75" customHeight="1" x14ac:dyDescent="0.25">
      <c r="B107" t="str">
        <v>XRPL</v>
      </c>
      <c r="C107" t="str">
        <v>XRP</v>
      </c>
      <c r="D107" s="24">
        <v>72217867.474419326</v>
      </c>
    </row>
    <row r="108" spans="2:4" ht="15.75" customHeight="1" x14ac:dyDescent="0.25">
      <c r="B108" t="str">
        <v>Thorchain</v>
      </c>
      <c r="C108" t="str">
        <v>RUNE</v>
      </c>
      <c r="D108" s="24">
        <v>47303469.48875168</v>
      </c>
    </row>
    <row r="109" spans="2:4" ht="15.75" customHeight="1" x14ac:dyDescent="0.25">
      <c r="B109" t="str">
        <v>Tron</v>
      </c>
      <c r="C109" t="str">
        <v>TRON</v>
      </c>
      <c r="D109" s="24">
        <v>4594838860.6375885</v>
      </c>
    </row>
    <row r="110" spans="2:4" ht="15.75" customHeight="1" x14ac:dyDescent="0.25">
      <c r="B110" t="str">
        <v>Hoo</v>
      </c>
      <c r="C110" t="str">
        <v>HOO</v>
      </c>
      <c r="D110" s="24" t="str">
        <v>-</v>
      </c>
    </row>
    <row r="111" spans="2:4" ht="15.75" customHeight="1" x14ac:dyDescent="0.25">
      <c r="B111" t="str">
        <v>Q Protocol</v>
      </c>
      <c r="C111" t="str">
        <v>QGOV</v>
      </c>
      <c r="D111" s="24">
        <v>13492.060254421938</v>
      </c>
    </row>
    <row r="112" spans="2:4" ht="15.75" customHeight="1" x14ac:dyDescent="0.25">
      <c r="B112" t="str">
        <v>Neon</v>
      </c>
      <c r="C112" t="str">
        <v>NEON</v>
      </c>
      <c r="D112" s="24">
        <v>145114.35498114786</v>
      </c>
    </row>
    <row r="113" spans="2:4" ht="15.75" customHeight="1" x14ac:dyDescent="0.25">
      <c r="B113" t="str">
        <v>Archway</v>
      </c>
      <c r="C113" t="str">
        <v>ARCH</v>
      </c>
      <c r="D113" s="24">
        <v>204410.84469441851</v>
      </c>
    </row>
    <row r="114" spans="2:4" ht="15.75" customHeight="1" x14ac:dyDescent="0.25">
      <c r="B114" t="str">
        <v>Injective</v>
      </c>
      <c r="C114" t="str">
        <v>INJ</v>
      </c>
      <c r="D114" s="24">
        <v>20715538.996289901</v>
      </c>
    </row>
    <row r="115" spans="2:4" ht="15.75" customHeight="1" x14ac:dyDescent="0.25">
      <c r="B115" t="str">
        <v>Sui</v>
      </c>
      <c r="C115" t="str">
        <v>SUI</v>
      </c>
      <c r="D115" s="24">
        <v>1014687373.1186159</v>
      </c>
    </row>
    <row r="116" spans="2:4" ht="15.75" customHeight="1" x14ac:dyDescent="0.25">
      <c r="B116" t="str">
        <v>Stellar</v>
      </c>
      <c r="C116" t="str">
        <v>XLM</v>
      </c>
      <c r="D116" s="24">
        <v>190575438.20285943</v>
      </c>
    </row>
    <row r="117" spans="2:4" ht="15.75" customHeight="1" x14ac:dyDescent="0.25">
      <c r="B117" t="str">
        <v>Icon</v>
      </c>
      <c r="C117" t="str">
        <v>ICX</v>
      </c>
      <c r="D117" s="24">
        <v>6607453.5060197618</v>
      </c>
    </row>
    <row r="118" spans="2:4" ht="15.75" customHeight="1" x14ac:dyDescent="0.25">
      <c r="B118" t="str">
        <v>Karura</v>
      </c>
      <c r="C118" t="str">
        <v>KAR</v>
      </c>
      <c r="D118" s="24">
        <v>107478.96668088355</v>
      </c>
    </row>
    <row r="119" spans="2:4" ht="15.75" customHeight="1" x14ac:dyDescent="0.25">
      <c r="B119" t="str">
        <v>Tezos</v>
      </c>
      <c r="C119" t="str">
        <v>XTZ</v>
      </c>
      <c r="D119" s="24">
        <v>35116274.845244072</v>
      </c>
    </row>
    <row r="120" spans="2:4" ht="15.75" customHeight="1" x14ac:dyDescent="0.25">
      <c r="B120" t="str">
        <v>Terra2</v>
      </c>
      <c r="C120" t="str">
        <v>LUNA</v>
      </c>
      <c r="D120" s="24">
        <v>6682329.5610762089</v>
      </c>
    </row>
    <row r="121" spans="2:4" ht="15.75" customHeight="1" x14ac:dyDescent="0.25">
      <c r="B121" t="str">
        <v>Wax</v>
      </c>
      <c r="C121" t="str">
        <v>WAXP</v>
      </c>
      <c r="D121" s="24">
        <v>511475.20986712596</v>
      </c>
    </row>
    <row r="122" spans="2:4" ht="15.75" customHeight="1" x14ac:dyDescent="0.25">
      <c r="B122" t="str">
        <v>Vaulta</v>
      </c>
      <c r="C122" t="str">
        <v>EOS</v>
      </c>
      <c r="D122" s="24">
        <v>387138233.51245654</v>
      </c>
    </row>
    <row r="123" spans="2:4" ht="15.75" customHeight="1" x14ac:dyDescent="0.25">
      <c r="B123" t="str">
        <v>Meter</v>
      </c>
      <c r="C123" t="str">
        <v>MTRG</v>
      </c>
      <c r="D123" s="24">
        <v>345482.59344375052</v>
      </c>
    </row>
    <row r="124" spans="2:4" ht="15.75" customHeight="1" x14ac:dyDescent="0.25">
      <c r="B124" t="str">
        <v>Near</v>
      </c>
      <c r="C124" t="str">
        <v>NEAR</v>
      </c>
      <c r="D124" s="24">
        <v>144002812.42632908</v>
      </c>
    </row>
    <row r="125" spans="2:4" ht="15.75" customHeight="1" x14ac:dyDescent="0.25">
      <c r="B125" t="str">
        <v>DFS Network</v>
      </c>
      <c r="C125" t="str">
        <v>-</v>
      </c>
      <c r="D125" s="24">
        <v>4646146.6755777141</v>
      </c>
    </row>
    <row r="126" spans="2:4" ht="15.75" customHeight="1" x14ac:dyDescent="0.25">
      <c r="B126" t="str">
        <v>Genshiro</v>
      </c>
      <c r="C126" t="str">
        <v>GENS</v>
      </c>
      <c r="D126" s="24" t="str">
        <v>-</v>
      </c>
    </row>
    <row r="127" spans="2:4" ht="15.75" customHeight="1" x14ac:dyDescent="0.25">
      <c r="B127" t="str">
        <v>Rollux</v>
      </c>
      <c r="C127" t="str">
        <v>-</v>
      </c>
      <c r="D127" s="24">
        <v>15611304.121643646</v>
      </c>
    </row>
    <row r="128" spans="2:4" ht="15.75" customHeight="1" x14ac:dyDescent="0.25">
      <c r="B128" t="str">
        <v>Lamden</v>
      </c>
      <c r="C128" t="str">
        <v>TAU</v>
      </c>
      <c r="D128" s="24" t="str">
        <v>-</v>
      </c>
    </row>
    <row r="129" spans="2:4" ht="15.75" customHeight="1" x14ac:dyDescent="0.25">
      <c r="B129" t="str">
        <v>Waves</v>
      </c>
      <c r="C129" t="str">
        <v>WAVES</v>
      </c>
      <c r="D129" s="24">
        <v>12333100.170837855</v>
      </c>
    </row>
    <row r="130" spans="2:4" ht="15.75" customHeight="1" x14ac:dyDescent="0.25">
      <c r="B130" t="str">
        <v>Unit Zero</v>
      </c>
      <c r="C130" t="str">
        <v>UNIT0</v>
      </c>
      <c r="D130" s="24">
        <v>813338.67908904597</v>
      </c>
    </row>
    <row r="131" spans="2:4" ht="15.75" customHeight="1" x14ac:dyDescent="0.25">
      <c r="B131" t="str">
        <v>CLV</v>
      </c>
      <c r="C131" t="str">
        <v>CLV</v>
      </c>
      <c r="D131" s="24" t="str">
        <v>-</v>
      </c>
    </row>
    <row r="132" spans="2:4" ht="15.75" customHeight="1" x14ac:dyDescent="0.25">
      <c r="B132" t="str">
        <v>Shiden</v>
      </c>
      <c r="C132" t="str">
        <v>SDN</v>
      </c>
      <c r="D132" s="24">
        <v>24319.019652887069</v>
      </c>
    </row>
    <row r="133" spans="2:4" ht="15.75" customHeight="1" x14ac:dyDescent="0.25">
      <c r="B133" t="str">
        <v>EnergyWeb</v>
      </c>
      <c r="C133" t="str">
        <v>EWT</v>
      </c>
      <c r="D133" s="24">
        <v>148447.30673842941</v>
      </c>
    </row>
    <row r="134" spans="2:4" ht="15.75" customHeight="1" x14ac:dyDescent="0.25">
      <c r="B134" t="str">
        <v>Algorand</v>
      </c>
      <c r="C134" t="str">
        <v>ALGO</v>
      </c>
      <c r="D134" s="24">
        <v>52547141.715296008</v>
      </c>
    </row>
    <row r="135" spans="2:4" ht="15.75" customHeight="1" x14ac:dyDescent="0.25">
      <c r="B135" t="str">
        <v>GoChain</v>
      </c>
      <c r="C135" t="str">
        <v>GO</v>
      </c>
      <c r="D135" s="24">
        <v>6475.0512432995884</v>
      </c>
    </row>
    <row r="136" spans="2:4" ht="15.75" customHeight="1" x14ac:dyDescent="0.25">
      <c r="B136" t="str">
        <v>HPB</v>
      </c>
      <c r="C136" t="str">
        <v>HPB</v>
      </c>
      <c r="D136" s="24" t="str">
        <v>-</v>
      </c>
    </row>
    <row r="137" spans="2:4" ht="15.75" customHeight="1" x14ac:dyDescent="0.25">
      <c r="B137" t="str">
        <v>Fusion</v>
      </c>
      <c r="C137" t="str">
        <v>FSN</v>
      </c>
      <c r="D137" s="24" t="str">
        <v>-</v>
      </c>
    </row>
    <row r="138" spans="2:4" ht="15.75" customHeight="1" x14ac:dyDescent="0.25">
      <c r="B138" t="str">
        <v>Viction</v>
      </c>
      <c r="C138" t="str">
        <v>VIC</v>
      </c>
      <c r="D138" s="24">
        <v>501187.04427880311</v>
      </c>
    </row>
    <row r="139" spans="2:4" ht="15.75" customHeight="1" x14ac:dyDescent="0.25">
      <c r="B139" t="str">
        <v>Kardia</v>
      </c>
      <c r="C139" t="str">
        <v>KAI</v>
      </c>
      <c r="D139" s="24">
        <v>21338.73779109367</v>
      </c>
    </row>
    <row r="140" spans="2:4" ht="15.75" customHeight="1" x14ac:dyDescent="0.25">
      <c r="B140" t="str">
        <v>Sora</v>
      </c>
      <c r="C140" t="str">
        <v>XOR</v>
      </c>
      <c r="D140" s="24">
        <v>37034.1</v>
      </c>
    </row>
    <row r="141" spans="2:4" ht="15.75" customHeight="1" x14ac:dyDescent="0.25">
      <c r="B141" t="str">
        <v>Radix</v>
      </c>
      <c r="C141" t="str">
        <v>XRD</v>
      </c>
      <c r="D141" s="24">
        <v>4399508.61027011</v>
      </c>
    </row>
    <row r="142" spans="2:4" ht="15.75" customHeight="1" x14ac:dyDescent="0.25">
      <c r="B142" t="str">
        <v>Dogechain</v>
      </c>
      <c r="C142" t="str">
        <v>DG</v>
      </c>
      <c r="D142" s="24">
        <v>1358815.3776621164</v>
      </c>
    </row>
    <row r="143" spans="2:4" ht="15.75" customHeight="1" x14ac:dyDescent="0.25">
      <c r="B143" t="str">
        <v>Milkomeda C1 (Deprecated)</v>
      </c>
      <c r="C143" t="str">
        <v>-</v>
      </c>
      <c r="D143" s="24">
        <v>2.1422088058586679E-2</v>
      </c>
    </row>
    <row r="144" spans="2:4" ht="15.75" customHeight="1" x14ac:dyDescent="0.25">
      <c r="B144" t="str">
        <v>Cardano</v>
      </c>
      <c r="C144" t="str">
        <v>ADA</v>
      </c>
      <c r="D144" s="24">
        <v>182472965.21736833</v>
      </c>
    </row>
    <row r="145" spans="2:4" ht="15.75" customHeight="1" x14ac:dyDescent="0.25">
      <c r="B145" t="str">
        <v>smartBCH</v>
      </c>
      <c r="C145" t="str">
        <v>BCH</v>
      </c>
      <c r="D145" s="24">
        <v>676227.56688981154</v>
      </c>
    </row>
    <row r="146" spans="2:4" ht="15.75" customHeight="1" x14ac:dyDescent="0.25">
      <c r="B146" t="str">
        <v>ZKsync Lite</v>
      </c>
      <c r="C146" t="str">
        <v>-</v>
      </c>
      <c r="D146" s="24" t="str">
        <v>-</v>
      </c>
    </row>
    <row r="147" spans="2:4" ht="15.75" customHeight="1" x14ac:dyDescent="0.25">
      <c r="B147" t="str">
        <v>Empire</v>
      </c>
      <c r="C147" t="str">
        <v>EMPIRE</v>
      </c>
      <c r="D147" s="24" t="str">
        <v>-</v>
      </c>
    </row>
    <row r="148" spans="2:4" ht="15.75" customHeight="1" x14ac:dyDescent="0.25">
      <c r="B148" t="str">
        <v>Juno</v>
      </c>
      <c r="C148" t="str">
        <v>JUNO</v>
      </c>
      <c r="D148" s="24">
        <v>125300.21861793779</v>
      </c>
    </row>
    <row r="149" spans="2:4" ht="15.75" customHeight="1" x14ac:dyDescent="0.25">
      <c r="B149" t="str">
        <v>Polis</v>
      </c>
      <c r="C149" t="str">
        <v>POLIS</v>
      </c>
      <c r="D149" s="24" t="str">
        <v>-</v>
      </c>
    </row>
    <row r="150" spans="2:4" ht="15.75" customHeight="1" x14ac:dyDescent="0.25">
      <c r="B150" t="str">
        <v>ZYX</v>
      </c>
      <c r="C150" t="str">
        <v>ZYX</v>
      </c>
      <c r="D150" s="24" t="str">
        <v>-</v>
      </c>
    </row>
    <row r="151" spans="2:4" ht="15.75" customHeight="1" x14ac:dyDescent="0.25">
      <c r="B151" t="str">
        <v>MultiversX</v>
      </c>
      <c r="C151" t="str">
        <v>EGLD</v>
      </c>
      <c r="D151" s="24">
        <v>18777955.656223878</v>
      </c>
    </row>
    <row r="152" spans="2:4" ht="15.75" customHeight="1" x14ac:dyDescent="0.25">
      <c r="B152" t="str">
        <v>Step</v>
      </c>
      <c r="C152" t="str">
        <v>SPEX</v>
      </c>
      <c r="D152" s="24">
        <v>25388.327058225834</v>
      </c>
    </row>
    <row r="153" spans="2:4" ht="15.75" customHeight="1" x14ac:dyDescent="0.25">
      <c r="B153" t="str">
        <v>Ubiq</v>
      </c>
      <c r="C153" t="str">
        <v>UBQ</v>
      </c>
      <c r="D153" s="24" t="str">
        <v>-</v>
      </c>
    </row>
    <row r="154" spans="2:4" ht="15.75" customHeight="1" x14ac:dyDescent="0.25">
      <c r="B154" t="str">
        <v>Mixin</v>
      </c>
      <c r="C154" t="str">
        <v>XIN</v>
      </c>
      <c r="D154" s="24">
        <v>86101075.304652303</v>
      </c>
    </row>
    <row r="155" spans="2:4" ht="15.75" customHeight="1" x14ac:dyDescent="0.25">
      <c r="B155" t="str">
        <v>Everscale</v>
      </c>
      <c r="C155" t="str">
        <v>EVER</v>
      </c>
      <c r="D155" s="24">
        <v>259752</v>
      </c>
    </row>
    <row r="156" spans="2:4" ht="15.75" customHeight="1" x14ac:dyDescent="0.25">
      <c r="B156" t="str">
        <v>VeChain</v>
      </c>
      <c r="C156" t="str">
        <v>VET</v>
      </c>
      <c r="D156" s="24">
        <v>2268217.1367154997</v>
      </c>
    </row>
    <row r="157" spans="2:4" ht="15.75" customHeight="1" x14ac:dyDescent="0.25">
      <c r="B157" t="str">
        <v>Godwoken</v>
      </c>
      <c r="C157" t="str">
        <v>-</v>
      </c>
      <c r="D157" s="24">
        <v>54647.758843777992</v>
      </c>
    </row>
    <row r="158" spans="2:4" ht="15.75" customHeight="1" x14ac:dyDescent="0.25">
      <c r="B158" t="str">
        <v>GodwokenV1</v>
      </c>
      <c r="C158" t="str">
        <v>-</v>
      </c>
      <c r="D158" s="24">
        <v>876430.1764020191</v>
      </c>
    </row>
    <row r="159" spans="2:4" ht="15.75" customHeight="1" x14ac:dyDescent="0.25">
      <c r="B159" t="str">
        <v>Callisto</v>
      </c>
      <c r="C159" t="str">
        <v>CLO</v>
      </c>
      <c r="D159" s="24">
        <v>3090.2574795420151</v>
      </c>
    </row>
    <row r="160" spans="2:4" ht="15.75" customHeight="1" x14ac:dyDescent="0.25">
      <c r="B160" t="str">
        <v>ApeChain</v>
      </c>
      <c r="C160" t="str">
        <v>APE</v>
      </c>
      <c r="D160" s="24">
        <v>5474857.180900557</v>
      </c>
    </row>
    <row r="161" spans="2:4" ht="15.75" customHeight="1" x14ac:dyDescent="0.25">
      <c r="B161" t="str">
        <v>Stacks</v>
      </c>
      <c r="C161" t="str">
        <v>STX</v>
      </c>
      <c r="D161" s="24">
        <v>127218895.20851365</v>
      </c>
    </row>
    <row r="162" spans="2:4" ht="15.75" customHeight="1" x14ac:dyDescent="0.25">
      <c r="B162" t="str">
        <v>Echelon</v>
      </c>
      <c r="C162" t="str">
        <v>ECH</v>
      </c>
      <c r="D162" s="24" t="str">
        <v>-</v>
      </c>
    </row>
    <row r="163" spans="2:4" ht="15.75" customHeight="1" x14ac:dyDescent="0.25">
      <c r="B163" t="str">
        <v>CSC</v>
      </c>
      <c r="C163" t="str">
        <v>CET</v>
      </c>
      <c r="D163" s="24">
        <v>332648.32984424813</v>
      </c>
    </row>
    <row r="164" spans="2:4" ht="15.75" customHeight="1" x14ac:dyDescent="0.25">
      <c r="B164" t="str">
        <v>Ergo</v>
      </c>
      <c r="C164" t="str">
        <v>ERG</v>
      </c>
      <c r="D164" s="24">
        <v>1663623.1881564101</v>
      </c>
    </row>
    <row r="165" spans="2:4" ht="15.75" customHeight="1" x14ac:dyDescent="0.25">
      <c r="B165" t="str">
        <v>Somnia</v>
      </c>
      <c r="C165" t="str">
        <v>SOMI</v>
      </c>
      <c r="D165" s="24">
        <v>2708104.6495093708</v>
      </c>
    </row>
    <row r="166" spans="2:4" ht="15.75" customHeight="1" x14ac:dyDescent="0.25">
      <c r="B166" t="str">
        <v>Lisk</v>
      </c>
      <c r="C166" t="str">
        <v>LSK</v>
      </c>
      <c r="D166" s="24">
        <v>5350247.1226290371</v>
      </c>
    </row>
    <row r="167" spans="2:4" ht="15.75" customHeight="1" x14ac:dyDescent="0.25">
      <c r="B167" t="str">
        <v>Nahmii</v>
      </c>
      <c r="C167" t="str">
        <v>NII</v>
      </c>
      <c r="D167" s="24">
        <v>73559.626221152357</v>
      </c>
    </row>
    <row r="168" spans="2:4" ht="15.75" customHeight="1" x14ac:dyDescent="0.25">
      <c r="B168" t="str">
        <v>DefiChain</v>
      </c>
      <c r="C168" t="str">
        <v>DFI</v>
      </c>
      <c r="D168" s="24">
        <v>1909215.4245951851</v>
      </c>
    </row>
    <row r="169" spans="2:4" ht="15.75" customHeight="1" x14ac:dyDescent="0.25">
      <c r="B169" t="str">
        <v>Theta</v>
      </c>
      <c r="C169" t="str">
        <v>THETA</v>
      </c>
      <c r="D169" s="24">
        <v>583698.19145195989</v>
      </c>
    </row>
    <row r="170" spans="2:4" ht="15.75" customHeight="1" x14ac:dyDescent="0.25">
      <c r="B170" t="str">
        <v>Syscoin</v>
      </c>
      <c r="C170" t="str">
        <v>SYS</v>
      </c>
      <c r="D170" s="24" t="str">
        <v>-</v>
      </c>
    </row>
    <row r="171" spans="2:4" ht="15.75" customHeight="1" x14ac:dyDescent="0.25">
      <c r="B171" t="str">
        <v>Equilibrium</v>
      </c>
      <c r="C171" t="str">
        <v>EQ</v>
      </c>
      <c r="D171" s="24">
        <v>1134428.7005913283</v>
      </c>
    </row>
    <row r="172" spans="2:4" ht="15.75" customHeight="1" x14ac:dyDescent="0.25">
      <c r="B172" t="str">
        <v>Berachain</v>
      </c>
      <c r="C172" t="str">
        <v>BERA</v>
      </c>
      <c r="D172" s="24">
        <v>173225907.43367994</v>
      </c>
    </row>
    <row r="173" spans="2:4" ht="15.75" customHeight="1" x14ac:dyDescent="0.25">
      <c r="B173" t="str">
        <v>Acala</v>
      </c>
      <c r="C173" t="str">
        <v>ACA</v>
      </c>
      <c r="D173" s="24">
        <v>220020.04100838234</v>
      </c>
    </row>
    <row r="174" spans="2:4" ht="15.75" customHeight="1" x14ac:dyDescent="0.25">
      <c r="B174" t="str">
        <v>Neutron</v>
      </c>
      <c r="C174" t="str">
        <v>-</v>
      </c>
      <c r="D174" s="24">
        <v>47069902.011023469</v>
      </c>
    </row>
    <row r="175" spans="2:4" ht="15.75" customHeight="1" x14ac:dyDescent="0.25">
      <c r="B175" t="str">
        <v>XPR Network</v>
      </c>
      <c r="C175" t="str">
        <v>XPR</v>
      </c>
      <c r="D175" s="24">
        <v>57055051.823808774</v>
      </c>
    </row>
    <row r="176" spans="2:4" ht="15.75" customHeight="1" x14ac:dyDescent="0.25">
      <c r="B176" t="str">
        <v>Kadena</v>
      </c>
      <c r="C176" t="str">
        <v>KDA</v>
      </c>
      <c r="D176" s="24" t="str">
        <v>-</v>
      </c>
    </row>
    <row r="177" spans="2:4" ht="15.75" customHeight="1" x14ac:dyDescent="0.25">
      <c r="B177" t="str">
        <v>Kujira</v>
      </c>
      <c r="C177" t="str">
        <v>KUJI</v>
      </c>
      <c r="D177" s="24">
        <v>1229108.2323671423</v>
      </c>
    </row>
    <row r="178" spans="2:4" ht="15.75" customHeight="1" x14ac:dyDescent="0.25">
      <c r="B178" t="str">
        <v>Goerli</v>
      </c>
      <c r="C178" t="str">
        <v>GETH</v>
      </c>
      <c r="D178" s="24" t="str">
        <v>-</v>
      </c>
    </row>
    <row r="179" spans="2:4" ht="15.75" customHeight="1" x14ac:dyDescent="0.25">
      <c r="B179" t="str">
        <v>Vite</v>
      </c>
      <c r="C179" t="str">
        <v>VITE</v>
      </c>
      <c r="D179" s="24">
        <v>4949487.653459508</v>
      </c>
    </row>
    <row r="180" spans="2:4" ht="15.75" customHeight="1" x14ac:dyDescent="0.25">
      <c r="B180" t="str">
        <v>Boba_Avax</v>
      </c>
      <c r="C180" t="str">
        <v>-</v>
      </c>
      <c r="D180" s="24" t="str">
        <v>-</v>
      </c>
    </row>
    <row r="181" spans="2:4" ht="15.75" customHeight="1" x14ac:dyDescent="0.25">
      <c r="B181" t="str">
        <v>Sei</v>
      </c>
      <c r="C181" t="str">
        <v>SEI</v>
      </c>
      <c r="D181" s="24">
        <v>197085083.46255395</v>
      </c>
    </row>
    <row r="182" spans="2:4" ht="15.75" customHeight="1" x14ac:dyDescent="0.25">
      <c r="B182" t="str">
        <v>Gravity by Galxe</v>
      </c>
      <c r="C182" t="str">
        <v>G</v>
      </c>
      <c r="D182" s="24">
        <v>4040822.4313662383</v>
      </c>
    </row>
    <row r="183" spans="2:4" ht="15.75" customHeight="1" x14ac:dyDescent="0.25">
      <c r="B183" t="str">
        <v>GOAT</v>
      </c>
      <c r="C183" t="str">
        <v>GOATED</v>
      </c>
      <c r="D183" s="24">
        <v>867012.26840912946</v>
      </c>
    </row>
    <row r="184" spans="2:4" ht="15.75" customHeight="1" x14ac:dyDescent="0.25">
      <c r="B184" t="str">
        <v>BSquared</v>
      </c>
      <c r="C184" t="str">
        <v>-</v>
      </c>
      <c r="D184" s="24">
        <v>3597152.6630175905</v>
      </c>
    </row>
    <row r="185" spans="2:4" ht="15.75" customHeight="1" x14ac:dyDescent="0.25">
      <c r="B185" t="str">
        <v>Abstract</v>
      </c>
      <c r="C185" t="str">
        <v>-</v>
      </c>
      <c r="D185" s="24">
        <v>26326665.465094607</v>
      </c>
    </row>
    <row r="186" spans="2:4" ht="15.75" customHeight="1" x14ac:dyDescent="0.25">
      <c r="B186" t="str">
        <v>Mode</v>
      </c>
      <c r="C186" t="str">
        <v>MODE</v>
      </c>
      <c r="D186" s="24">
        <v>2373728.1172787794</v>
      </c>
    </row>
    <row r="187" spans="2:4" ht="15.75" customHeight="1" x14ac:dyDescent="0.25">
      <c r="B187" t="str">
        <v>Soneium</v>
      </c>
      <c r="C187" t="str">
        <v>-</v>
      </c>
      <c r="D187" s="24">
        <v>28161283.607387029</v>
      </c>
    </row>
    <row r="188" spans="2:4" ht="15.75" customHeight="1" x14ac:dyDescent="0.25">
      <c r="B188" t="str">
        <v>Bahamut</v>
      </c>
      <c r="C188" t="str">
        <v>FTN</v>
      </c>
      <c r="D188" s="24">
        <v>235836.04973001636</v>
      </c>
    </row>
    <row r="189" spans="2:4" ht="15.75" customHeight="1" x14ac:dyDescent="0.25">
      <c r="B189" t="str">
        <v>Merlin</v>
      </c>
      <c r="C189" t="str">
        <v>-</v>
      </c>
      <c r="D189" s="24">
        <v>22923848.775958966</v>
      </c>
    </row>
    <row r="190" spans="2:4" ht="15.75" customHeight="1" x14ac:dyDescent="0.25">
      <c r="B190" t="str">
        <v>Cronos zkEVM</v>
      </c>
      <c r="C190" t="str">
        <v>-</v>
      </c>
      <c r="D190" s="24">
        <v>9603266.6539722197</v>
      </c>
    </row>
    <row r="191" spans="2:4" ht="15.75" customHeight="1" x14ac:dyDescent="0.25">
      <c r="B191" t="str">
        <v>zkLink Nova</v>
      </c>
      <c r="C191" t="str">
        <v>ZKL</v>
      </c>
      <c r="D191" s="24">
        <v>148209.53131160306</v>
      </c>
    </row>
    <row r="192" spans="2:4" ht="15.75" customHeight="1" x14ac:dyDescent="0.25">
      <c r="B192" t="str">
        <v>Morph</v>
      </c>
      <c r="C192" t="str">
        <v>-</v>
      </c>
      <c r="D192" s="24">
        <v>6750386.0038666036</v>
      </c>
    </row>
    <row r="193" spans="2:4" ht="15.75" customHeight="1" x14ac:dyDescent="0.25">
      <c r="B193" t="str">
        <v>TON</v>
      </c>
      <c r="C193" t="str">
        <v>TON</v>
      </c>
      <c r="D193" s="24">
        <v>89440159.260760412</v>
      </c>
    </row>
    <row r="194" spans="2:4" ht="15.75" customHeight="1" x14ac:dyDescent="0.25">
      <c r="B194" t="str">
        <v>DFK</v>
      </c>
      <c r="C194" t="str">
        <v>JEWEL</v>
      </c>
      <c r="D194" s="24">
        <v>1286366.8110186895</v>
      </c>
    </row>
    <row r="195" spans="2:4" ht="15.75" customHeight="1" x14ac:dyDescent="0.25">
      <c r="B195" t="str">
        <v>Zora</v>
      </c>
      <c r="C195" t="str">
        <v>-</v>
      </c>
      <c r="D195" s="24">
        <v>56852.304308533261</v>
      </c>
    </row>
    <row r="196" spans="2:4" ht="15.75" customHeight="1" x14ac:dyDescent="0.25">
      <c r="B196" t="str">
        <v>Milkomeda A1</v>
      </c>
      <c r="C196" t="str">
        <v>-</v>
      </c>
      <c r="D196" s="24">
        <v>1145.6817721721031</v>
      </c>
    </row>
    <row r="197" spans="2:4" ht="15.75" customHeight="1" x14ac:dyDescent="0.25">
      <c r="B197" t="str">
        <v>Findora</v>
      </c>
      <c r="C197" t="str">
        <v>FRA</v>
      </c>
      <c r="D197" s="24">
        <v>50466.413767014863</v>
      </c>
    </row>
    <row r="198" spans="2:4" ht="15.75" customHeight="1" x14ac:dyDescent="0.25">
      <c r="B198" t="str">
        <v>Hydra</v>
      </c>
      <c r="C198" t="str">
        <v>HYDRA</v>
      </c>
      <c r="D198" s="24">
        <v>19247.790503329375</v>
      </c>
    </row>
    <row r="199" spans="2:4" ht="15.75" customHeight="1" x14ac:dyDescent="0.25">
      <c r="B199" t="str">
        <v>Obyte</v>
      </c>
      <c r="C199" t="str">
        <v>GBYTE</v>
      </c>
      <c r="D199" s="24">
        <v>446942.95959293738</v>
      </c>
    </row>
    <row r="200" spans="2:4" ht="15.75" customHeight="1" x14ac:dyDescent="0.25">
      <c r="B200" t="str">
        <v>Lachain</v>
      </c>
      <c r="C200" t="str">
        <v>LA</v>
      </c>
      <c r="D200" s="24">
        <v>16594.941282288648</v>
      </c>
    </row>
    <row r="201" spans="2:4" ht="15.75" customHeight="1" x14ac:dyDescent="0.25">
      <c r="B201" t="str">
        <v>REIchain</v>
      </c>
      <c r="C201" t="str">
        <v>-</v>
      </c>
      <c r="D201" s="24">
        <v>1563.576785740828</v>
      </c>
    </row>
    <row r="202" spans="2:4" ht="15.75" customHeight="1" x14ac:dyDescent="0.25">
      <c r="B202" t="str">
        <v>SX Network</v>
      </c>
      <c r="C202" t="str">
        <v>SX</v>
      </c>
      <c r="D202" s="24">
        <v>1224.0736711762027</v>
      </c>
    </row>
    <row r="203" spans="2:4" ht="15.75" customHeight="1" x14ac:dyDescent="0.25">
      <c r="B203" t="str">
        <v>SX Rollup</v>
      </c>
      <c r="C203" t="str">
        <v>SX</v>
      </c>
      <c r="D203" s="24">
        <v>775063.94879440847</v>
      </c>
    </row>
    <row r="204" spans="2:4" ht="15.75" customHeight="1" x14ac:dyDescent="0.25">
      <c r="B204" t="str">
        <v>MultiVAC</v>
      </c>
      <c r="C204" t="str">
        <v>MTV</v>
      </c>
      <c r="D204" s="24">
        <v>14333.533026381298</v>
      </c>
    </row>
    <row r="205" spans="2:4" ht="15.75" customHeight="1" x14ac:dyDescent="0.25">
      <c r="B205" t="str">
        <v>LUKSO</v>
      </c>
      <c r="C205" t="str">
        <v>LYX</v>
      </c>
      <c r="D205" s="24">
        <v>35234.85573207392</v>
      </c>
    </row>
    <row r="206" spans="2:4" ht="15.75" customHeight="1" x14ac:dyDescent="0.25">
      <c r="B206" t="str">
        <v>PulseChain</v>
      </c>
      <c r="C206" t="str">
        <v>PLS</v>
      </c>
      <c r="D206" s="24">
        <v>156402797.33104941</v>
      </c>
    </row>
    <row r="207" spans="2:4" ht="15.75" customHeight="1" x14ac:dyDescent="0.25">
      <c r="B207" t="str">
        <v>Odyssey</v>
      </c>
      <c r="C207" t="str">
        <v>DIONE</v>
      </c>
      <c r="D207" s="24">
        <v>358332.973485291</v>
      </c>
    </row>
    <row r="208" spans="2:4" ht="15.75" customHeight="1" x14ac:dyDescent="0.25">
      <c r="B208" t="str">
        <v>ICP</v>
      </c>
      <c r="C208" t="str">
        <v>ICP</v>
      </c>
      <c r="D208" s="24">
        <v>13406100.210252976</v>
      </c>
    </row>
    <row r="209" spans="2:4" ht="15.75" customHeight="1" x14ac:dyDescent="0.25">
      <c r="B209" t="str">
        <v>Nova Network</v>
      </c>
      <c r="C209" t="str">
        <v>SNT</v>
      </c>
      <c r="D209" s="24" t="str">
        <v>-</v>
      </c>
    </row>
    <row r="210" spans="2:4" ht="15.75" customHeight="1" x14ac:dyDescent="0.25">
      <c r="B210" t="str">
        <v>Kroma</v>
      </c>
      <c r="C210" t="str">
        <v>KRO</v>
      </c>
      <c r="D210" s="24" t="str">
        <v>-</v>
      </c>
    </row>
    <row r="211" spans="2:4" ht="15.75" customHeight="1" x14ac:dyDescent="0.25">
      <c r="B211" t="str">
        <v>Ultron</v>
      </c>
      <c r="C211" t="str">
        <v>ULX</v>
      </c>
      <c r="D211" s="24">
        <v>274919.70848949533</v>
      </c>
    </row>
    <row r="212" spans="2:4" ht="15.75" customHeight="1" x14ac:dyDescent="0.25">
      <c r="B212" t="str">
        <v>Zkfair</v>
      </c>
      <c r="C212" t="str">
        <v>-</v>
      </c>
      <c r="D212" s="24">
        <v>89950.492199091241</v>
      </c>
    </row>
    <row r="213" spans="2:4" ht="15.75" customHeight="1" x14ac:dyDescent="0.25">
      <c r="B213" t="str">
        <v>OXFUN</v>
      </c>
      <c r="C213" t="str">
        <v>OX</v>
      </c>
      <c r="D213" s="24" t="str">
        <v>-</v>
      </c>
    </row>
    <row r="214" spans="2:4" ht="15.75" customHeight="1" x14ac:dyDescent="0.25">
      <c r="B214" t="str">
        <v>WEMIX3.0</v>
      </c>
      <c r="C214" t="str">
        <v>WEMIX</v>
      </c>
      <c r="D214" s="24">
        <v>7851513.4473232515</v>
      </c>
    </row>
    <row r="215" spans="2:4" ht="15.75" customHeight="1" x14ac:dyDescent="0.25">
      <c r="B215" t="str">
        <v>Kintsugi</v>
      </c>
      <c r="C215" t="str">
        <v>KINT</v>
      </c>
      <c r="D215" s="24">
        <v>28801.071556640181</v>
      </c>
    </row>
    <row r="216" spans="2:4" ht="15.75" customHeight="1" x14ac:dyDescent="0.25">
      <c r="B216" t="str">
        <v>Chiliz</v>
      </c>
      <c r="C216" t="str">
        <v>CHZ</v>
      </c>
      <c r="D216" s="24">
        <v>6031540.8081367351</v>
      </c>
    </row>
    <row r="217" spans="2:4" ht="15.75" customHeight="1" x14ac:dyDescent="0.25">
      <c r="B217" t="str">
        <v>Dexit</v>
      </c>
      <c r="C217" t="str">
        <v>DXT</v>
      </c>
      <c r="D217" s="24" t="str">
        <v>-</v>
      </c>
    </row>
    <row r="218" spans="2:4" ht="15.75" customHeight="1" x14ac:dyDescent="0.25">
      <c r="B218" t="str">
        <v>Omax</v>
      </c>
      <c r="C218" t="str">
        <v>OMAX</v>
      </c>
      <c r="D218" s="24">
        <v>21620.803494461641</v>
      </c>
    </row>
    <row r="219" spans="2:4" ht="15.75" customHeight="1" x14ac:dyDescent="0.25">
      <c r="B219" t="str">
        <v>Flow</v>
      </c>
      <c r="C219" t="str">
        <v>FLOW</v>
      </c>
      <c r="D219" s="24">
        <v>42724460.34523306</v>
      </c>
    </row>
    <row r="220" spans="2:4" ht="15.75" customHeight="1" x14ac:dyDescent="0.25">
      <c r="B220" t="str">
        <v>DChain</v>
      </c>
      <c r="C220" t="str">
        <v>-</v>
      </c>
      <c r="D220" s="24">
        <v>21586.436659156527</v>
      </c>
    </row>
    <row r="221" spans="2:4" ht="15.75" customHeight="1" x14ac:dyDescent="0.25">
      <c r="B221" t="str">
        <v>KUB</v>
      </c>
      <c r="C221" t="str">
        <v>KUB</v>
      </c>
      <c r="D221" s="24">
        <v>3110100.4012088478</v>
      </c>
    </row>
    <row r="222" spans="2:4" ht="15.75" customHeight="1" x14ac:dyDescent="0.25">
      <c r="B222" t="str">
        <v>Ancient8</v>
      </c>
      <c r="C222" t="str">
        <v>-</v>
      </c>
      <c r="D222" s="24">
        <v>102280.12752633062</v>
      </c>
    </row>
    <row r="223" spans="2:4" ht="15.75" customHeight="1" x14ac:dyDescent="0.25">
      <c r="B223" t="str">
        <v>Heiko</v>
      </c>
      <c r="C223" t="str">
        <v>HKO</v>
      </c>
      <c r="D223" s="24" t="str">
        <v>-</v>
      </c>
    </row>
    <row r="224" spans="2:4" ht="15.75" customHeight="1" x14ac:dyDescent="0.25">
      <c r="B224" t="str">
        <v>Parallel</v>
      </c>
      <c r="C224" t="str">
        <v>PARA</v>
      </c>
      <c r="D224" s="24" t="str">
        <v>-</v>
      </c>
    </row>
    <row r="225" spans="2:4" ht="15.75" customHeight="1" x14ac:dyDescent="0.25">
      <c r="B225" t="str">
        <v>ShimmerEVM</v>
      </c>
      <c r="C225" t="str">
        <v>SMR</v>
      </c>
      <c r="D225" s="24">
        <v>628438.77466895059</v>
      </c>
    </row>
    <row r="226" spans="2:4" ht="15.75" customHeight="1" x14ac:dyDescent="0.25">
      <c r="B226" t="str">
        <v>LightLink</v>
      </c>
      <c r="C226" t="str">
        <v>-</v>
      </c>
      <c r="D226" s="24">
        <v>660593.28323539882</v>
      </c>
    </row>
    <row r="227" spans="2:4" ht="15.75" customHeight="1" x14ac:dyDescent="0.25">
      <c r="B227" t="str">
        <v>Loop</v>
      </c>
      <c r="C227" t="str">
        <v>LOOP</v>
      </c>
      <c r="D227" s="24">
        <v>41156.175283590346</v>
      </c>
    </row>
    <row r="228" spans="2:4" ht="15.75" customHeight="1" x14ac:dyDescent="0.25">
      <c r="B228" t="str">
        <v>Carbon</v>
      </c>
      <c r="C228" t="str">
        <v>SWTH</v>
      </c>
      <c r="D228" s="24">
        <v>689866.3156942433</v>
      </c>
    </row>
    <row r="229" spans="2:4" ht="15.75" customHeight="1" x14ac:dyDescent="0.25">
      <c r="B229" t="str">
        <v>Starcoin</v>
      </c>
      <c r="C229" t="str">
        <v>STC</v>
      </c>
      <c r="D229" s="24">
        <v>607888.62736895308</v>
      </c>
    </row>
    <row r="230" spans="2:4" ht="15.75" customHeight="1" x14ac:dyDescent="0.25">
      <c r="B230" t="str">
        <v>Bifrost</v>
      </c>
      <c r="C230" t="str">
        <v>BNC</v>
      </c>
      <c r="D230" s="24">
        <v>7773854.8858408406</v>
      </c>
    </row>
    <row r="231" spans="2:4" ht="15.75" customHeight="1" x14ac:dyDescent="0.25">
      <c r="B231" t="str">
        <v>Tombchain</v>
      </c>
      <c r="C231" t="str">
        <v>TOMB</v>
      </c>
      <c r="D231" s="24">
        <v>36648.175386179908</v>
      </c>
    </row>
    <row r="232" spans="2:4" ht="15.75" customHeight="1" x14ac:dyDescent="0.25">
      <c r="B232" t="str">
        <v>Crescent</v>
      </c>
      <c r="C232" t="str">
        <v>CRE</v>
      </c>
      <c r="D232" s="24">
        <v>55579.772139054447</v>
      </c>
    </row>
    <row r="233" spans="2:4" ht="15.75" customHeight="1" x14ac:dyDescent="0.25">
      <c r="B233" t="str">
        <v>Vision</v>
      </c>
      <c r="C233" t="str">
        <v>VS</v>
      </c>
      <c r="D233" s="24">
        <v>3797940.3615332274</v>
      </c>
    </row>
    <row r="234" spans="2:4" ht="15.75" customHeight="1" x14ac:dyDescent="0.25">
      <c r="B234" t="str">
        <v>Interlay</v>
      </c>
      <c r="C234" t="str">
        <v>INTR</v>
      </c>
      <c r="D234" s="24">
        <v>281537.36459021637</v>
      </c>
    </row>
    <row r="235" spans="2:4" ht="15.75" customHeight="1" x14ac:dyDescent="0.25">
      <c r="B235" t="str">
        <v>Pego</v>
      </c>
      <c r="C235" t="str">
        <v>PG</v>
      </c>
      <c r="D235" s="24">
        <v>47690.199041641768</v>
      </c>
    </row>
    <row r="236" spans="2:4" ht="15.75" customHeight="1" x14ac:dyDescent="0.25">
      <c r="B236" t="str">
        <v>EthereumPoW</v>
      </c>
      <c r="C236" t="str">
        <v>ETHW</v>
      </c>
      <c r="D236" s="24">
        <v>21453.362441491437</v>
      </c>
    </row>
    <row r="237" spans="2:4" ht="15.75" customHeight="1" x14ac:dyDescent="0.25">
      <c r="B237" t="str">
        <v>FunctionX</v>
      </c>
      <c r="C237" t="str">
        <v>FX</v>
      </c>
      <c r="D237" s="24">
        <v>4156.9373134575953</v>
      </c>
    </row>
    <row r="238" spans="2:4" ht="15.75" customHeight="1" x14ac:dyDescent="0.25">
      <c r="B238" t="str">
        <v>Botanix</v>
      </c>
      <c r="C238" t="str">
        <v>-</v>
      </c>
      <c r="D238" s="24">
        <v>18965167.953936063</v>
      </c>
    </row>
    <row r="239" spans="2:4" ht="15.75" customHeight="1" x14ac:dyDescent="0.25">
      <c r="B239" t="str">
        <v>Nibiru</v>
      </c>
      <c r="C239" t="str">
        <v>NIBI</v>
      </c>
      <c r="D239" s="24">
        <v>5234894.7775770156</v>
      </c>
    </row>
    <row r="240" spans="2:4" ht="15.75" customHeight="1" x14ac:dyDescent="0.25">
      <c r="B240" t="str">
        <v>Lens</v>
      </c>
      <c r="C240" t="str">
        <v>-</v>
      </c>
      <c r="D240" s="24">
        <v>210388.09320251914</v>
      </c>
    </row>
    <row r="241" spans="2:4" ht="15.75" customHeight="1" x14ac:dyDescent="0.25">
      <c r="B241" t="str">
        <v>Saga</v>
      </c>
      <c r="C241" t="str">
        <v>SAGA</v>
      </c>
      <c r="D241" s="24">
        <v>31485979.981395636</v>
      </c>
    </row>
    <row r="242" spans="2:4" ht="15.75" customHeight="1" x14ac:dyDescent="0.25">
      <c r="B242" t="str">
        <v>World Chain</v>
      </c>
      <c r="C242" t="str">
        <v>WLD</v>
      </c>
      <c r="D242" s="24">
        <v>43441712.684846498</v>
      </c>
    </row>
    <row r="243" spans="2:4" ht="15.75" customHeight="1" x14ac:dyDescent="0.25">
      <c r="B243" t="str">
        <v>Redbelly</v>
      </c>
      <c r="C243" t="str">
        <v>RBNT</v>
      </c>
      <c r="D243" s="24">
        <v>163106.85889173608</v>
      </c>
    </row>
    <row r="244" spans="2:4" ht="15.75" customHeight="1" x14ac:dyDescent="0.25">
      <c r="B244" t="str">
        <v>Movement</v>
      </c>
      <c r="C244" t="str">
        <v>MOVE</v>
      </c>
      <c r="D244" s="24">
        <v>201120282.9264982</v>
      </c>
    </row>
    <row r="245" spans="2:4" ht="15.75" customHeight="1" x14ac:dyDescent="0.25">
      <c r="B245" t="str">
        <v>Kekchain</v>
      </c>
      <c r="C245" t="str">
        <v>KEK</v>
      </c>
      <c r="D245" s="24" t="str">
        <v>-</v>
      </c>
    </row>
    <row r="246" spans="2:4" ht="15.75" customHeight="1" x14ac:dyDescent="0.25">
      <c r="B246" t="str">
        <v>Astar zkEVM</v>
      </c>
      <c r="C246" t="str">
        <v>-</v>
      </c>
      <c r="D246" s="24">
        <v>19758.457123036438</v>
      </c>
    </row>
    <row r="247" spans="2:4" ht="15.75" customHeight="1" x14ac:dyDescent="0.25">
      <c r="B247" t="str">
        <v>Immutable zkEVM</v>
      </c>
      <c r="C247" t="str">
        <v>IMX</v>
      </c>
      <c r="D247" s="24">
        <v>11806483.225446802</v>
      </c>
    </row>
    <row r="248" spans="2:4" ht="15.75" customHeight="1" x14ac:dyDescent="0.25">
      <c r="B248" t="str">
        <v>MUUCHAIN</v>
      </c>
      <c r="C248" t="str">
        <v>MUU</v>
      </c>
      <c r="D248" s="24" t="str">
        <v>-</v>
      </c>
    </row>
    <row r="249" spans="2:4" ht="15.75" customHeight="1" x14ac:dyDescent="0.25">
      <c r="B249" t="str">
        <v>ReyaChain</v>
      </c>
      <c r="C249" t="str">
        <v>-</v>
      </c>
      <c r="D249" s="24">
        <v>26447939.753737904</v>
      </c>
    </row>
    <row r="250" spans="2:4" ht="15.75" customHeight="1" x14ac:dyDescent="0.25">
      <c r="B250" t="str">
        <v>Xai</v>
      </c>
      <c r="C250" t="str">
        <v>XAI</v>
      </c>
      <c r="D250" s="24">
        <v>112556.41061548333</v>
      </c>
    </row>
    <row r="251" spans="2:4" ht="15.75" customHeight="1" x14ac:dyDescent="0.25">
      <c r="B251" t="str">
        <v>Rari</v>
      </c>
      <c r="C251" t="str">
        <v>-</v>
      </c>
      <c r="D251" s="24">
        <v>13451.276437942062</v>
      </c>
    </row>
    <row r="252" spans="2:4" ht="15.75" customHeight="1" x14ac:dyDescent="0.25">
      <c r="B252" t="str">
        <v>Superposition</v>
      </c>
      <c r="C252" t="str">
        <v>-</v>
      </c>
      <c r="D252" s="24">
        <v>173973.90278059689</v>
      </c>
    </row>
    <row r="253" spans="2:4" ht="15.75" customHeight="1" x14ac:dyDescent="0.25">
      <c r="B253" t="str">
        <v>EDU Chain</v>
      </c>
      <c r="C253" t="str">
        <v>EDU</v>
      </c>
      <c r="D253" s="24">
        <v>1569596.3871165109</v>
      </c>
    </row>
    <row r="254" spans="2:4" ht="15.75" customHeight="1" x14ac:dyDescent="0.25">
      <c r="B254" t="str">
        <v>DuckChain</v>
      </c>
      <c r="C254" t="str">
        <v>-</v>
      </c>
      <c r="D254" s="24">
        <v>11872.562550263587</v>
      </c>
    </row>
    <row r="255" spans="2:4" ht="15.75" customHeight="1" x14ac:dyDescent="0.25">
      <c r="B255" t="str">
        <v>Sanko</v>
      </c>
      <c r="C255" t="str">
        <v>DMT</v>
      </c>
      <c r="D255" s="24">
        <v>46003.233594352416</v>
      </c>
    </row>
    <row r="256" spans="2:4" ht="15.75" customHeight="1" x14ac:dyDescent="0.25">
      <c r="B256" t="str">
        <v>Starknet</v>
      </c>
      <c r="C256" t="str">
        <v>STRK</v>
      </c>
      <c r="D256" s="24">
        <v>273603494.66568065</v>
      </c>
    </row>
    <row r="257" spans="2:4" ht="15.75" customHeight="1" x14ac:dyDescent="0.25">
      <c r="B257" t="str">
        <v>MAP Protocol</v>
      </c>
      <c r="C257" t="str">
        <v>MAP</v>
      </c>
      <c r="D257" s="24">
        <v>7959107.6308612674</v>
      </c>
    </row>
    <row r="258" spans="2:4" ht="15.75" customHeight="1" x14ac:dyDescent="0.25">
      <c r="B258" t="str">
        <v>DSC</v>
      </c>
      <c r="C258" t="str">
        <v>DEL</v>
      </c>
      <c r="D258" s="24" t="str">
        <v>-</v>
      </c>
    </row>
    <row r="259" spans="2:4" ht="15.75" customHeight="1" x14ac:dyDescent="0.25">
      <c r="B259" t="str">
        <v>ALV</v>
      </c>
      <c r="C259" t="str">
        <v>ALV</v>
      </c>
      <c r="D259" s="24" t="str">
        <v>-</v>
      </c>
    </row>
    <row r="260" spans="2:4" ht="15.75" customHeight="1" x14ac:dyDescent="0.25">
      <c r="B260" t="str">
        <v>Comdex</v>
      </c>
      <c r="C260" t="str">
        <v>CMDX</v>
      </c>
      <c r="D260" s="24">
        <v>15648.000987417912</v>
      </c>
    </row>
    <row r="261" spans="2:4" ht="15.75" customHeight="1" x14ac:dyDescent="0.25">
      <c r="B261" t="str">
        <v>Tlchain</v>
      </c>
      <c r="C261" t="str">
        <v>TLC</v>
      </c>
      <c r="D261" s="24" t="str">
        <v>-</v>
      </c>
    </row>
    <row r="262" spans="2:4" ht="15.75" customHeight="1" x14ac:dyDescent="0.25">
      <c r="B262" t="str">
        <v>Zeniq</v>
      </c>
      <c r="C262" t="str">
        <v>ZENIQ</v>
      </c>
      <c r="D262" s="24" t="str">
        <v>-</v>
      </c>
    </row>
    <row r="263" spans="2:4" ht="15.75" customHeight="1" x14ac:dyDescent="0.25">
      <c r="B263" t="str">
        <v>Bitindi</v>
      </c>
      <c r="C263" t="str">
        <v>BNI</v>
      </c>
      <c r="D263" s="24" t="str">
        <v>-</v>
      </c>
    </row>
    <row r="264" spans="2:4" ht="15.75" customHeight="1" x14ac:dyDescent="0.25">
      <c r="B264" t="str">
        <v>Stargaze</v>
      </c>
      <c r="C264" t="str">
        <v>STARS</v>
      </c>
      <c r="D264" s="24">
        <v>110294.60265330369</v>
      </c>
    </row>
    <row r="265" spans="2:4" ht="15.75" customHeight="1" x14ac:dyDescent="0.25">
      <c r="B265" t="str">
        <v>Libre</v>
      </c>
      <c r="C265" t="str">
        <v>LIBRE</v>
      </c>
      <c r="D265" s="24">
        <v>151592.46582559246</v>
      </c>
    </row>
    <row r="266" spans="2:4" ht="15.75" customHeight="1" x14ac:dyDescent="0.25">
      <c r="B266" t="str">
        <v>UX</v>
      </c>
      <c r="C266" t="str">
        <v>UX</v>
      </c>
      <c r="D266" s="24">
        <v>922848.62767677696</v>
      </c>
    </row>
    <row r="267" spans="2:4" ht="15.75" customHeight="1" x14ac:dyDescent="0.25">
      <c r="B267" t="str">
        <v>Optimism</v>
      </c>
      <c r="C267" t="str">
        <v>OP</v>
      </c>
      <c r="D267" s="24" t="str">
        <v>-</v>
      </c>
    </row>
    <row r="268" spans="2:4" ht="15.75" customHeight="1" x14ac:dyDescent="0.25">
      <c r="B268" t="str">
        <v>Oraichain</v>
      </c>
      <c r="C268" t="str">
        <v>ORAI</v>
      </c>
      <c r="D268" s="24">
        <v>422764.91503184114</v>
      </c>
    </row>
    <row r="269" spans="2:4" ht="15.75" customHeight="1" x14ac:dyDescent="0.25">
      <c r="B269" t="str">
        <v>inEVM</v>
      </c>
      <c r="C269" t="str">
        <v>-</v>
      </c>
      <c r="D269" s="24">
        <v>17763.266688923406</v>
      </c>
    </row>
    <row r="270" spans="2:4" ht="15.75" customHeight="1" x14ac:dyDescent="0.25">
      <c r="B270" t="str">
        <v>Dexalot</v>
      </c>
      <c r="C270" t="str">
        <v>ALOT</v>
      </c>
      <c r="D270" s="24">
        <v>2543480.5589251146</v>
      </c>
    </row>
    <row r="271" spans="2:4" ht="15.75" customHeight="1" x14ac:dyDescent="0.25">
      <c r="B271" t="str">
        <v>Darwinia</v>
      </c>
      <c r="C271" t="str">
        <v>RING</v>
      </c>
      <c r="D271" s="24">
        <v>4741.4110986193882</v>
      </c>
    </row>
    <row r="272" spans="2:4" ht="15.75" customHeight="1" x14ac:dyDescent="0.25">
      <c r="B272" t="str">
        <v>Crab</v>
      </c>
      <c r="C272" t="str">
        <v>CRAB</v>
      </c>
      <c r="D272" s="24">
        <v>93357.170039330449</v>
      </c>
    </row>
    <row r="273" spans="2:4" ht="15.75" customHeight="1" x14ac:dyDescent="0.25">
      <c r="B273" t="str">
        <v>Rangers</v>
      </c>
      <c r="C273" t="str">
        <v>RPG</v>
      </c>
      <c r="D273" s="24" t="str">
        <v>-</v>
      </c>
    </row>
    <row r="274" spans="2:4" ht="15.75" customHeight="1" x14ac:dyDescent="0.25">
      <c r="B274" t="str">
        <v>Lung</v>
      </c>
      <c r="C274" t="str">
        <v>-</v>
      </c>
      <c r="D274" s="24" t="str">
        <v>-</v>
      </c>
    </row>
    <row r="275" spans="2:4" ht="15.75" customHeight="1" x14ac:dyDescent="0.25">
      <c r="B275" t="str">
        <v>Bone</v>
      </c>
      <c r="C275" t="str">
        <v>BONE</v>
      </c>
      <c r="D275" s="24" t="str">
        <v>-</v>
      </c>
    </row>
    <row r="276" spans="2:4" ht="15.75" customHeight="1" x14ac:dyDescent="0.25">
      <c r="B276" t="str">
        <v>Sophon</v>
      </c>
      <c r="C276" t="str">
        <v>SOPH</v>
      </c>
      <c r="D276" s="24">
        <v>6512505.7802273463</v>
      </c>
    </row>
    <row r="277" spans="2:4" ht="15.75" customHeight="1" x14ac:dyDescent="0.25">
      <c r="B277" t="str">
        <v>Persistence One</v>
      </c>
      <c r="C277" t="str">
        <v>XPRT</v>
      </c>
      <c r="D277" s="24">
        <v>74374.94366607361</v>
      </c>
    </row>
    <row r="278" spans="2:4" ht="15.75" customHeight="1" x14ac:dyDescent="0.25">
      <c r="B278" t="str">
        <v>Babylon Genesis</v>
      </c>
      <c r="C278" t="str">
        <v>BABY</v>
      </c>
      <c r="D278" s="24">
        <v>343726.33166987565</v>
      </c>
    </row>
    <row r="279" spans="2:4" ht="15.75" customHeight="1" x14ac:dyDescent="0.25">
      <c r="B279" t="str">
        <v>WINR</v>
      </c>
      <c r="C279" t="str">
        <v>WINR</v>
      </c>
      <c r="D279" s="24">
        <v>743199.52467732818</v>
      </c>
    </row>
    <row r="280" spans="2:4" ht="15.75" customHeight="1" x14ac:dyDescent="0.25">
      <c r="B280" t="str">
        <v>IOTA EVM</v>
      </c>
      <c r="C280" t="str">
        <v>IOTA</v>
      </c>
      <c r="D280" s="24">
        <v>2656858.1678872197</v>
      </c>
    </row>
    <row r="281" spans="2:4" ht="15.75" customHeight="1" x14ac:dyDescent="0.25">
      <c r="B281" t="str">
        <v>Polynomial</v>
      </c>
      <c r="C281" t="str">
        <v>-</v>
      </c>
      <c r="D281" s="24">
        <v>2098495.6808090489</v>
      </c>
    </row>
    <row r="282" spans="2:4" ht="15.75" customHeight="1" x14ac:dyDescent="0.25">
      <c r="B282" t="str">
        <v>EOS EVM</v>
      </c>
      <c r="C282" t="str">
        <v>-</v>
      </c>
      <c r="D282" s="24">
        <v>440.3473304768799</v>
      </c>
    </row>
    <row r="283" spans="2:4" ht="15.75" customHeight="1" x14ac:dyDescent="0.25">
      <c r="B283" t="str">
        <v>Oasys</v>
      </c>
      <c r="C283" t="str">
        <v>OAS</v>
      </c>
      <c r="D283" s="24">
        <v>767193.50289677782</v>
      </c>
    </row>
    <row r="284" spans="2:4" ht="15.75" customHeight="1" x14ac:dyDescent="0.25">
      <c r="B284" t="str">
        <v>Coti</v>
      </c>
      <c r="C284" t="str">
        <v>COTI</v>
      </c>
      <c r="D284" s="24">
        <v>1352189.6644152268</v>
      </c>
    </row>
    <row r="285" spans="2:4" ht="15.75" customHeight="1" x14ac:dyDescent="0.25">
      <c r="B285" t="str">
        <v>ENULS</v>
      </c>
      <c r="C285" t="str">
        <v>-</v>
      </c>
      <c r="D285" s="24">
        <v>2207.338419981028</v>
      </c>
    </row>
    <row r="286" spans="2:4" ht="15.75" customHeight="1" x14ac:dyDescent="0.25">
      <c r="B286" t="str">
        <v>Hydra Chain</v>
      </c>
      <c r="C286" t="str">
        <v>HYDRA</v>
      </c>
      <c r="D286" s="24">
        <v>40846.564689114486</v>
      </c>
    </row>
    <row r="287" spans="2:4" ht="15.75" customHeight="1" x14ac:dyDescent="0.25">
      <c r="B287" t="str">
        <v>Plume (Deprecated)</v>
      </c>
      <c r="C287" t="str">
        <v>PLUME</v>
      </c>
      <c r="D287" s="24" t="str">
        <v>-</v>
      </c>
    </row>
    <row r="288" spans="2:4" ht="15.75" customHeight="1" x14ac:dyDescent="0.25">
      <c r="B288" t="str">
        <v>Story</v>
      </c>
      <c r="C288" t="str">
        <v>IP</v>
      </c>
      <c r="D288" s="24">
        <v>3804383.3578371704</v>
      </c>
    </row>
    <row r="289" spans="2:4" ht="15.75" customHeight="1" x14ac:dyDescent="0.25">
      <c r="B289" t="str">
        <v>XPLA</v>
      </c>
      <c r="C289" t="str">
        <v>XPLA</v>
      </c>
      <c r="D289" s="24">
        <v>355542.17469461815</v>
      </c>
    </row>
    <row r="290" spans="2:4" ht="15.75" customHeight="1" x14ac:dyDescent="0.25">
      <c r="B290" t="str">
        <v>Onus</v>
      </c>
      <c r="C290" t="str">
        <v>ONUS</v>
      </c>
      <c r="D290" s="24">
        <v>285004.85825971467</v>
      </c>
    </row>
    <row r="291" spans="2:4" ht="15.75" customHeight="1" x14ac:dyDescent="0.25">
      <c r="B291" t="str">
        <v>Swellchain</v>
      </c>
      <c r="C291" t="str">
        <v>-</v>
      </c>
      <c r="D291" s="24">
        <v>6741774.2431714386</v>
      </c>
    </row>
    <row r="292" spans="2:4" ht="15.75" customHeight="1" x14ac:dyDescent="0.25">
      <c r="B292" t="str">
        <v>Concordium</v>
      </c>
      <c r="C292" t="str">
        <v>CCD</v>
      </c>
      <c r="D292" s="24">
        <v>1454.9542121835188</v>
      </c>
    </row>
    <row r="293" spans="2:4" ht="15.75" customHeight="1" x14ac:dyDescent="0.25">
      <c r="B293" t="str">
        <v>Migaloo</v>
      </c>
      <c r="C293" t="str">
        <v>WHALE</v>
      </c>
      <c r="D293" s="24" t="str">
        <v>-</v>
      </c>
    </row>
    <row r="294" spans="2:4" ht="15.75" customHeight="1" x14ac:dyDescent="0.25">
      <c r="B294" t="str">
        <v>Chihuahua</v>
      </c>
      <c r="C294" t="str">
        <v>HUAHUA</v>
      </c>
      <c r="D294" s="24">
        <v>18655.850920611749</v>
      </c>
    </row>
    <row r="295" spans="2:4" ht="15.75" customHeight="1" x14ac:dyDescent="0.25">
      <c r="B295" t="str">
        <v>Tenet</v>
      </c>
      <c r="C295" t="str">
        <v>TENET</v>
      </c>
      <c r="D295" s="24" t="str">
        <v>-</v>
      </c>
    </row>
    <row r="296" spans="2:4" ht="15.75" customHeight="1" x14ac:dyDescent="0.25">
      <c r="B296" t="str">
        <v>Bitlayer</v>
      </c>
      <c r="C296" t="str">
        <v>-</v>
      </c>
      <c r="D296" s="24">
        <v>3103027.4994213954</v>
      </c>
    </row>
    <row r="297" spans="2:4" ht="15.75" customHeight="1" x14ac:dyDescent="0.25">
      <c r="B297" t="str">
        <v>Mint</v>
      </c>
      <c r="C297" t="str">
        <v>-</v>
      </c>
      <c r="D297" s="24">
        <v>50953.842033618603</v>
      </c>
    </row>
    <row r="298" spans="2:4" ht="15.75" customHeight="1" x14ac:dyDescent="0.25">
      <c r="B298" t="str">
        <v>Superseed</v>
      </c>
      <c r="C298" t="str">
        <v>SUPR</v>
      </c>
      <c r="D298" s="24">
        <v>177732.92938696858</v>
      </c>
    </row>
    <row r="299" spans="2:4" ht="15.75" customHeight="1" x14ac:dyDescent="0.25">
      <c r="B299" t="str">
        <v>Form Network</v>
      </c>
      <c r="C299" t="str">
        <v>-</v>
      </c>
      <c r="D299" s="24">
        <v>5936.9293927059052</v>
      </c>
    </row>
    <row r="300" spans="2:4" ht="15.75" customHeight="1" x14ac:dyDescent="0.25">
      <c r="B300" t="str">
        <v>Taraxa</v>
      </c>
      <c r="C300" t="str">
        <v>TARA</v>
      </c>
      <c r="D300" s="24">
        <v>5047793.2466577701</v>
      </c>
    </row>
    <row r="301" spans="2:4" ht="15.75" customHeight="1" x14ac:dyDescent="0.25">
      <c r="B301" t="str">
        <v>Artela</v>
      </c>
      <c r="C301" t="str">
        <v>ART</v>
      </c>
      <c r="D301" s="24" t="str">
        <v>-</v>
      </c>
    </row>
    <row r="302" spans="2:4" ht="15.75" customHeight="1" x14ac:dyDescent="0.25">
      <c r="B302" t="str">
        <v>Aura Network</v>
      </c>
      <c r="C302" t="str">
        <v>AURA</v>
      </c>
      <c r="D302" s="24">
        <v>32166.730368137592</v>
      </c>
    </row>
    <row r="303" spans="2:4" ht="15.75" customHeight="1" x14ac:dyDescent="0.25">
      <c r="B303" t="str">
        <v>Hydration</v>
      </c>
      <c r="C303" t="str">
        <v>HDX</v>
      </c>
      <c r="D303" s="24">
        <v>150791743.1268217</v>
      </c>
    </row>
    <row r="304" spans="2:4" ht="15.75" customHeight="1" x14ac:dyDescent="0.25">
      <c r="B304" t="str">
        <v>MVC</v>
      </c>
      <c r="C304" t="str">
        <v>SPACE</v>
      </c>
      <c r="D304" s="24">
        <v>167936.98397557862</v>
      </c>
    </row>
    <row r="305" spans="2:4" ht="15.75" customHeight="1" x14ac:dyDescent="0.25">
      <c r="B305" t="str">
        <v>Perennial</v>
      </c>
      <c r="C305" t="str">
        <v>-</v>
      </c>
      <c r="D305" s="24" t="str">
        <v>-</v>
      </c>
    </row>
    <row r="306" spans="2:4" ht="15.75" customHeight="1" x14ac:dyDescent="0.25">
      <c r="B306" t="str">
        <v>Beam</v>
      </c>
      <c r="C306" t="str">
        <v>MC</v>
      </c>
      <c r="D306" s="24">
        <v>1449363.0881473315</v>
      </c>
    </row>
    <row r="307" spans="2:4" ht="15.75" customHeight="1" x14ac:dyDescent="0.25">
      <c r="B307" t="str">
        <v>NOS</v>
      </c>
      <c r="C307" t="str">
        <v>-</v>
      </c>
      <c r="D307" s="24">
        <v>564415.90723381808</v>
      </c>
    </row>
    <row r="308" spans="2:4" ht="15.75" customHeight="1" x14ac:dyDescent="0.25">
      <c r="B308" t="str">
        <v>RENEC</v>
      </c>
      <c r="C308" t="str">
        <v>RENEC</v>
      </c>
      <c r="D308" s="24">
        <v>70883.732642878764</v>
      </c>
    </row>
    <row r="309" spans="2:4" ht="15.75" customHeight="1" x14ac:dyDescent="0.25">
      <c r="B309" t="str">
        <v>Nolus</v>
      </c>
      <c r="C309" t="str">
        <v>NLS</v>
      </c>
      <c r="D309" s="24">
        <v>784808.77238521026</v>
      </c>
    </row>
    <row r="310" spans="2:4" ht="15.75" customHeight="1" x14ac:dyDescent="0.25">
      <c r="B310" t="str">
        <v>ETHF</v>
      </c>
      <c r="C310" t="str">
        <v>ETHF</v>
      </c>
      <c r="D310" s="24" t="str">
        <v>-</v>
      </c>
    </row>
    <row r="311" spans="2:4" ht="15.75" customHeight="1" x14ac:dyDescent="0.25">
      <c r="B311" t="str">
        <v>MEER</v>
      </c>
      <c r="C311" t="str">
        <v>MEER</v>
      </c>
      <c r="D311" s="24" t="str">
        <v>-</v>
      </c>
    </row>
    <row r="312" spans="2:4" ht="15.75" customHeight="1" x14ac:dyDescent="0.25">
      <c r="B312" t="str">
        <v>Elysium</v>
      </c>
      <c r="C312" t="str">
        <v>-</v>
      </c>
      <c r="D312" s="24">
        <v>131913.18793014326</v>
      </c>
    </row>
    <row r="313" spans="2:4" ht="15.75" customHeight="1" x14ac:dyDescent="0.25">
      <c r="B313" t="str">
        <v>Mayachain</v>
      </c>
      <c r="C313" t="str">
        <v>CACAO</v>
      </c>
      <c r="D313" s="24">
        <v>6650425.0666683689</v>
      </c>
    </row>
    <row r="314" spans="2:4" ht="15.75" customHeight="1" x14ac:dyDescent="0.25">
      <c r="B314" t="str">
        <v>Dash</v>
      </c>
      <c r="C314" t="str">
        <v>DASH</v>
      </c>
      <c r="D314" s="24">
        <v>93399.195764288917</v>
      </c>
    </row>
    <row r="315" spans="2:4" ht="15.75" customHeight="1" x14ac:dyDescent="0.25">
      <c r="B315" t="str">
        <v>Bostrom</v>
      </c>
      <c r="C315" t="str">
        <v>BOOT</v>
      </c>
      <c r="D315" s="24">
        <v>6008.0143751749683</v>
      </c>
    </row>
    <row r="316" spans="2:4" ht="15.75" customHeight="1" x14ac:dyDescent="0.25">
      <c r="B316" t="str">
        <v>Alephium</v>
      </c>
      <c r="C316" t="str">
        <v>ALPH</v>
      </c>
      <c r="D316" s="24">
        <v>1549189.132516735</v>
      </c>
    </row>
    <row r="317" spans="2:4" ht="15.75" customHeight="1" x14ac:dyDescent="0.25">
      <c r="B317" t="str">
        <v>Degen</v>
      </c>
      <c r="C317" t="str">
        <v>DEGEN</v>
      </c>
      <c r="D317" s="24">
        <v>88.424482933623622</v>
      </c>
    </row>
    <row r="318" spans="2:4" ht="15.75" customHeight="1" x14ac:dyDescent="0.25">
      <c r="B318" t="str">
        <v>Chainflip</v>
      </c>
      <c r="C318" t="str">
        <v>FLIP</v>
      </c>
      <c r="D318" s="24">
        <v>12115305.958497442</v>
      </c>
    </row>
    <row r="319" spans="2:4" ht="15.75" customHeight="1" x14ac:dyDescent="0.25">
      <c r="B319" t="str">
        <v>FSC</v>
      </c>
      <c r="C319" t="str">
        <v>FON</v>
      </c>
      <c r="D319" s="24" t="str">
        <v>-</v>
      </c>
    </row>
    <row r="320" spans="2:4" ht="15.75" customHeight="1" x14ac:dyDescent="0.25">
      <c r="B320" t="str">
        <v>Supra</v>
      </c>
      <c r="C320" t="str">
        <v>SUPRA</v>
      </c>
      <c r="D320" s="24">
        <v>2109050.2531259926</v>
      </c>
    </row>
    <row r="321" spans="2:4" ht="15.75" customHeight="1" x14ac:dyDescent="0.25">
      <c r="B321" t="str">
        <v>AB</v>
      </c>
      <c r="C321" t="str">
        <v>AB</v>
      </c>
      <c r="D321" s="24">
        <v>767964.01749624917</v>
      </c>
    </row>
    <row r="322" spans="2:4" ht="15.75" customHeight="1" x14ac:dyDescent="0.25">
      <c r="B322" t="str">
        <v>JBC</v>
      </c>
      <c r="C322" t="str">
        <v>JBC</v>
      </c>
      <c r="D322" s="24">
        <v>7277.2742705636829</v>
      </c>
    </row>
    <row r="323" spans="2:4" ht="15.75" customHeight="1" x14ac:dyDescent="0.25">
      <c r="B323" t="str">
        <v>BounceBit</v>
      </c>
      <c r="C323" t="str">
        <v>BB</v>
      </c>
      <c r="D323" s="24">
        <v>1133754.5579833381</v>
      </c>
    </row>
    <row r="324" spans="2:4" ht="15.75" customHeight="1" x14ac:dyDescent="0.25">
      <c r="B324" t="str">
        <v>Cyber</v>
      </c>
      <c r="C324" t="str">
        <v>-</v>
      </c>
      <c r="D324" s="24">
        <v>23101.362915824247</v>
      </c>
    </row>
    <row r="325" spans="2:4" ht="15.75" customHeight="1" x14ac:dyDescent="0.25">
      <c r="B325" t="str">
        <v>Fluence</v>
      </c>
      <c r="C325" t="str">
        <v>FLT</v>
      </c>
      <c r="D325" s="24">
        <v>2813785.2111318531</v>
      </c>
    </row>
    <row r="326" spans="2:4" ht="15.75" customHeight="1" x14ac:dyDescent="0.25">
      <c r="B326" t="str">
        <v>Swan</v>
      </c>
      <c r="C326" t="str">
        <v>SWAN</v>
      </c>
      <c r="D326" s="24">
        <v>3253.2024664325759</v>
      </c>
    </row>
    <row r="327" spans="2:4" ht="15.75" customHeight="1" x14ac:dyDescent="0.25">
      <c r="B327" t="str">
        <v>CMP</v>
      </c>
      <c r="C327" t="str">
        <v>CMP</v>
      </c>
      <c r="D327" s="24" t="str">
        <v>-</v>
      </c>
    </row>
    <row r="328" spans="2:4" ht="15.75" customHeight="1" x14ac:dyDescent="0.25">
      <c r="B328" t="str">
        <v>BEVM</v>
      </c>
      <c r="C328" t="str">
        <v>-</v>
      </c>
      <c r="D328" s="24">
        <v>76715.437469460143</v>
      </c>
    </row>
    <row r="329" spans="2:4" ht="15.75" customHeight="1" x14ac:dyDescent="0.25">
      <c r="B329" t="str">
        <v>AirDAO</v>
      </c>
      <c r="C329" t="str">
        <v>AMB</v>
      </c>
      <c r="D329" s="24" t="str">
        <v>-</v>
      </c>
    </row>
    <row r="330" spans="2:4" ht="15.75" customHeight="1" x14ac:dyDescent="0.25">
      <c r="B330" t="str">
        <v>dYdX</v>
      </c>
      <c r="C330" t="str">
        <v>dYdX</v>
      </c>
      <c r="D330" s="24">
        <v>155922545.800374</v>
      </c>
    </row>
    <row r="331" spans="2:4" ht="15.75" customHeight="1" x14ac:dyDescent="0.25">
      <c r="B331" t="str">
        <v>Bitnet</v>
      </c>
      <c r="C331" t="str">
        <v>BTN</v>
      </c>
      <c r="D331" s="24" t="str">
        <v>-</v>
      </c>
    </row>
    <row r="332" spans="2:4" ht="15.75" customHeight="1" x14ac:dyDescent="0.25">
      <c r="B332" t="str">
        <v>Areon Network</v>
      </c>
      <c r="C332" t="str">
        <v>AREA</v>
      </c>
      <c r="D332" s="24">
        <v>18001.496564100722</v>
      </c>
    </row>
    <row r="333" spans="2:4" ht="15.75" customHeight="1" x14ac:dyDescent="0.25">
      <c r="B333" t="str">
        <v>Manta Atlantic</v>
      </c>
      <c r="C333" t="str">
        <v>MANTA</v>
      </c>
      <c r="D333" s="24">
        <v>2200.5244564089066</v>
      </c>
    </row>
    <row r="334" spans="2:4" ht="15.75" customHeight="1" x14ac:dyDescent="0.25">
      <c r="B334" t="str">
        <v>Bitrock</v>
      </c>
      <c r="C334" t="str">
        <v>BROCK</v>
      </c>
      <c r="D334" s="24" t="str">
        <v>-</v>
      </c>
    </row>
    <row r="335" spans="2:4" ht="15.75" customHeight="1" x14ac:dyDescent="0.25">
      <c r="B335" t="str">
        <v>Naka</v>
      </c>
      <c r="C335" t="str">
        <v>-</v>
      </c>
      <c r="D335" s="24">
        <v>120552.8662109139</v>
      </c>
    </row>
    <row r="336" spans="2:4" ht="15.75" customHeight="1" x14ac:dyDescent="0.25">
      <c r="B336" t="str">
        <v>DeFiVerse</v>
      </c>
      <c r="C336" t="str">
        <v>-</v>
      </c>
      <c r="D336" s="24" t="str">
        <v>-</v>
      </c>
    </row>
    <row r="337" spans="2:4" ht="15.75" customHeight="1" x14ac:dyDescent="0.25">
      <c r="B337" t="str">
        <v>Oasis Sapphire</v>
      </c>
      <c r="C337" t="str">
        <v>ROSE</v>
      </c>
      <c r="D337" s="24">
        <v>300381.32006924576</v>
      </c>
    </row>
    <row r="338" spans="2:4" ht="15.75" customHeight="1" x14ac:dyDescent="0.25">
      <c r="B338" t="str">
        <v>K2</v>
      </c>
      <c r="C338" t="str">
        <v>-</v>
      </c>
      <c r="D338" s="24">
        <v>2491009.3565947548</v>
      </c>
    </row>
    <row r="339" spans="2:4" ht="15.75" customHeight="1" x14ac:dyDescent="0.25">
      <c r="B339" t="str">
        <v>DeFiChain EVM</v>
      </c>
      <c r="C339" t="str">
        <v>-</v>
      </c>
      <c r="D339" s="24">
        <v>85878.932795158005</v>
      </c>
    </row>
    <row r="340" spans="2:4" ht="15.75" customHeight="1" x14ac:dyDescent="0.25">
      <c r="B340" t="str">
        <v>Echelon Initia</v>
      </c>
      <c r="C340" t="str">
        <v>-</v>
      </c>
      <c r="D340" s="24">
        <v>1151607.1293126794</v>
      </c>
    </row>
    <row r="341" spans="2:4" ht="15.75" customHeight="1" x14ac:dyDescent="0.25">
      <c r="B341" t="str">
        <v>RSS3</v>
      </c>
      <c r="C341" t="str">
        <v>RSS3</v>
      </c>
      <c r="D341" s="24" t="str">
        <v>-</v>
      </c>
    </row>
    <row r="342" spans="2:4" ht="15.75" customHeight="1" x14ac:dyDescent="0.25">
      <c r="B342" t="str">
        <v>SatoshiVM</v>
      </c>
      <c r="C342" t="str">
        <v>-</v>
      </c>
      <c r="D342" s="24">
        <v>243619.12265902845</v>
      </c>
    </row>
    <row r="343" spans="2:4" ht="15.75" customHeight="1" x14ac:dyDescent="0.25">
      <c r="B343" t="str">
        <v>Prom</v>
      </c>
      <c r="C343" t="str">
        <v>PROM</v>
      </c>
      <c r="D343" s="24">
        <v>862321.49396447139</v>
      </c>
    </row>
    <row r="344" spans="2:4" ht="15.75" customHeight="1" x14ac:dyDescent="0.25">
      <c r="B344" t="str">
        <v>Venom</v>
      </c>
      <c r="C344" t="str">
        <v>VENOM</v>
      </c>
      <c r="D344" s="24">
        <v>2892446</v>
      </c>
    </row>
    <row r="345" spans="2:4" ht="15.75" customHeight="1" x14ac:dyDescent="0.25">
      <c r="B345" t="str">
        <v>Planq</v>
      </c>
      <c r="C345" t="str">
        <v>PLQ</v>
      </c>
      <c r="D345" s="24">
        <v>5798.4085755642936</v>
      </c>
    </row>
    <row r="346" spans="2:4" ht="15.75" customHeight="1" x14ac:dyDescent="0.25">
      <c r="B346" t="str">
        <v>LaChain Network</v>
      </c>
      <c r="C346" t="str">
        <v>LAC</v>
      </c>
      <c r="D346" s="24">
        <v>44651.88522101468</v>
      </c>
    </row>
    <row r="347" spans="2:4" ht="15.75" customHeight="1" x14ac:dyDescent="0.25">
      <c r="B347" t="str">
        <v>Endurance</v>
      </c>
      <c r="C347" t="str">
        <v>ACE</v>
      </c>
      <c r="D347" s="24">
        <v>4289.1626048003891</v>
      </c>
    </row>
    <row r="348" spans="2:4" ht="15.75" customHeight="1" x14ac:dyDescent="0.25">
      <c r="B348" t="str">
        <v>re.al</v>
      </c>
      <c r="C348" t="str">
        <v>RWA</v>
      </c>
      <c r="D348" s="24" t="str">
        <v>-</v>
      </c>
    </row>
    <row r="349" spans="2:4" ht="15.75" customHeight="1" x14ac:dyDescent="0.25">
      <c r="B349" t="str">
        <v>Genesys</v>
      </c>
      <c r="C349" t="str">
        <v>GSYS</v>
      </c>
      <c r="D349" s="24">
        <v>54687.077661668438</v>
      </c>
    </row>
    <row r="350" spans="2:4" ht="15.75" customHeight="1" x14ac:dyDescent="0.25">
      <c r="B350" t="str">
        <v>AILayer</v>
      </c>
      <c r="C350" t="str">
        <v>-</v>
      </c>
      <c r="D350" s="24">
        <v>119316.52736171873</v>
      </c>
    </row>
    <row r="351" spans="2:4" ht="15.75" customHeight="1" x14ac:dyDescent="0.25">
      <c r="B351" t="str">
        <v>Polkadex</v>
      </c>
      <c r="C351" t="str">
        <v>PDEX</v>
      </c>
      <c r="D351" s="24">
        <v>72043.049428988175</v>
      </c>
    </row>
    <row r="352" spans="2:4" ht="15.75" customHeight="1" x14ac:dyDescent="0.25">
      <c r="B352" t="str">
        <v>aelf</v>
      </c>
      <c r="C352" t="str">
        <v>ELF</v>
      </c>
      <c r="D352" s="24">
        <v>6620073.4235857399</v>
      </c>
    </row>
    <row r="353" spans="2:4" ht="15.75" customHeight="1" x14ac:dyDescent="0.25">
      <c r="B353" t="str">
        <v>Joltify</v>
      </c>
      <c r="C353" t="str">
        <v>JOLT</v>
      </c>
      <c r="D353" s="24">
        <v>5653.6873534430815</v>
      </c>
    </row>
    <row r="354" spans="2:4" ht="15.75" customHeight="1" x14ac:dyDescent="0.25">
      <c r="B354" t="str">
        <v>Ham</v>
      </c>
      <c r="C354" t="str">
        <v>-</v>
      </c>
      <c r="D354" s="24">
        <v>2929.1674665482674</v>
      </c>
    </row>
    <row r="355" spans="2:4" ht="15.75" customHeight="1" x14ac:dyDescent="0.25">
      <c r="B355" t="str">
        <v>Massa</v>
      </c>
      <c r="C355" t="str">
        <v>-</v>
      </c>
      <c r="D355" s="24">
        <v>43716.241477732539</v>
      </c>
    </row>
    <row r="356" spans="2:4" ht="15.75" customHeight="1" x14ac:dyDescent="0.25">
      <c r="B356" t="str">
        <v>Mind Network</v>
      </c>
      <c r="C356" t="str">
        <v>FHE</v>
      </c>
      <c r="D356" s="24" t="str">
        <v>-</v>
      </c>
    </row>
    <row r="357" spans="2:4" ht="15.75" customHeight="1" x14ac:dyDescent="0.25">
      <c r="B357" t="str">
        <v>Aeternity</v>
      </c>
      <c r="C357" t="str">
        <v>AE</v>
      </c>
      <c r="D357" s="24">
        <v>227.77881150468315</v>
      </c>
    </row>
    <row r="358" spans="2:4" ht="15.75" customHeight="1" x14ac:dyDescent="0.25">
      <c r="B358" t="str">
        <v>Saakuru</v>
      </c>
      <c r="C358" t="str">
        <v>-</v>
      </c>
      <c r="D358" s="24">
        <v>67452.444448647584</v>
      </c>
    </row>
    <row r="359" spans="2:4" ht="15.75" customHeight="1" x14ac:dyDescent="0.25">
      <c r="B359" t="str">
        <v>Neo X Mainnet</v>
      </c>
      <c r="C359" t="str">
        <v>-</v>
      </c>
      <c r="D359" s="24">
        <v>16717.56383691142</v>
      </c>
    </row>
    <row r="360" spans="2:4" ht="15.75" customHeight="1" x14ac:dyDescent="0.25">
      <c r="B360" t="str">
        <v>Dymension</v>
      </c>
      <c r="C360" t="str">
        <v>DYM</v>
      </c>
      <c r="D360" s="24">
        <v>1652770.5546851093</v>
      </c>
    </row>
    <row r="361" spans="2:4" ht="15.75" customHeight="1" x14ac:dyDescent="0.25">
      <c r="B361" t="str">
        <v>XCHAIN</v>
      </c>
      <c r="C361" t="str">
        <v>IDEX</v>
      </c>
      <c r="D361" s="24">
        <v>12083.555654407082</v>
      </c>
    </row>
    <row r="362" spans="2:4" ht="15.75" customHeight="1" x14ac:dyDescent="0.25">
      <c r="B362" t="str">
        <v>Electroneum</v>
      </c>
      <c r="C362" t="str">
        <v>ETN</v>
      </c>
      <c r="D362" s="24">
        <v>235735.78350561199</v>
      </c>
    </row>
    <row r="363" spans="2:4" ht="15.75" customHeight="1" x14ac:dyDescent="0.25">
      <c r="B363" t="str">
        <v>HeLa</v>
      </c>
      <c r="C363" t="str">
        <v>HELA</v>
      </c>
      <c r="D363" s="24">
        <v>117158.80074250224</v>
      </c>
    </row>
    <row r="364" spans="2:4" ht="15.75" customHeight="1" x14ac:dyDescent="0.25">
      <c r="B364" t="str">
        <v>Matchain</v>
      </c>
      <c r="C364" t="str">
        <v>-</v>
      </c>
      <c r="D364" s="24">
        <v>78750.956148870595</v>
      </c>
    </row>
    <row r="365" spans="2:4" ht="15.75" customHeight="1" x14ac:dyDescent="0.25">
      <c r="B365" t="str">
        <v>Shape</v>
      </c>
      <c r="C365" t="str">
        <v>-</v>
      </c>
      <c r="D365" s="24">
        <v>85534.404727870831</v>
      </c>
    </row>
    <row r="366" spans="2:4" ht="15.75" customHeight="1" x14ac:dyDescent="0.25">
      <c r="B366" t="str">
        <v>Fuel Ignition</v>
      </c>
      <c r="C366" t="str">
        <v>-</v>
      </c>
      <c r="D366" s="24">
        <v>5915115.651314483</v>
      </c>
    </row>
    <row r="367" spans="2:4" ht="15.75" customHeight="1" x14ac:dyDescent="0.25">
      <c r="B367" t="str">
        <v>Asset Chain</v>
      </c>
      <c r="C367" t="str">
        <v>-</v>
      </c>
      <c r="D367" s="24">
        <v>228656.93118445718</v>
      </c>
    </row>
    <row r="368" spans="2:4" ht="15.75" customHeight="1" x14ac:dyDescent="0.25">
      <c r="B368" t="str">
        <v>Shido</v>
      </c>
      <c r="C368" t="str">
        <v>SHIDO</v>
      </c>
      <c r="D368" s="24">
        <v>449648.95981632633</v>
      </c>
    </row>
    <row r="369" spans="2:4" ht="15.75" customHeight="1" x14ac:dyDescent="0.25">
      <c r="B369" t="str">
        <v>VinuChain</v>
      </c>
      <c r="C369" t="str">
        <v>VC</v>
      </c>
      <c r="D369" s="24">
        <v>9659.8816507136435</v>
      </c>
    </row>
    <row r="370" spans="2:4" ht="15.75" customHeight="1" x14ac:dyDescent="0.25">
      <c r="B370" t="str">
        <v>QL1</v>
      </c>
      <c r="C370" t="str">
        <v>-</v>
      </c>
      <c r="D370" s="24" t="str">
        <v>-</v>
      </c>
    </row>
    <row r="371" spans="2:4" ht="15.75" customHeight="1" x14ac:dyDescent="0.25">
      <c r="B371" t="str">
        <v>Vana</v>
      </c>
      <c r="C371" t="str">
        <v>VANA</v>
      </c>
      <c r="D371" s="24">
        <v>1473932.0239086901</v>
      </c>
    </row>
    <row r="372" spans="2:4" ht="15.75" customHeight="1" x14ac:dyDescent="0.25">
      <c r="B372" t="str">
        <v>Agoric</v>
      </c>
      <c r="C372" t="str">
        <v>BLD</v>
      </c>
      <c r="D372" s="24">
        <v>123305.41973598827</v>
      </c>
    </row>
    <row r="373" spans="2:4" ht="15.75" customHeight="1" x14ac:dyDescent="0.25">
      <c r="B373" t="str">
        <v>Elys</v>
      </c>
      <c r="C373" t="str">
        <v>ELYS</v>
      </c>
      <c r="D373" s="24">
        <v>2400334.9948867313</v>
      </c>
    </row>
    <row r="374" spans="2:4" ht="15.75" customHeight="1" x14ac:dyDescent="0.25">
      <c r="B374" t="str">
        <v>Kopi</v>
      </c>
      <c r="C374" t="str">
        <v>-</v>
      </c>
      <c r="D374" s="24">
        <v>8.2995885340774483E-2</v>
      </c>
    </row>
    <row r="375" spans="2:4" ht="15.75" customHeight="1" x14ac:dyDescent="0.25">
      <c r="B375" t="str">
        <v>CrossFi</v>
      </c>
      <c r="C375" t="str">
        <v>XFI</v>
      </c>
      <c r="D375" s="24">
        <v>75312.00207834717</v>
      </c>
    </row>
    <row r="376" spans="2:4" ht="15.75" customHeight="1" x14ac:dyDescent="0.25">
      <c r="B376" t="str">
        <v>Waterfall</v>
      </c>
      <c r="C376" t="str">
        <v>WATER</v>
      </c>
      <c r="D376" s="24">
        <v>1.1912720901650964</v>
      </c>
    </row>
    <row r="377" spans="2:4" ht="15.75" customHeight="1" x14ac:dyDescent="0.25">
      <c r="B377" t="str">
        <v>MANTRA</v>
      </c>
      <c r="C377" t="str">
        <v>OM</v>
      </c>
      <c r="D377" s="24">
        <v>853792.80737110635</v>
      </c>
    </row>
    <row r="378" spans="2:4" ht="15.75" customHeight="1" x14ac:dyDescent="0.25">
      <c r="B378" t="str">
        <v>Verus</v>
      </c>
      <c r="C378" t="str">
        <v>VRSC</v>
      </c>
      <c r="D378" s="24">
        <v>29127636.782094385</v>
      </c>
    </row>
    <row r="379" spans="2:4" ht="15.75" customHeight="1" x14ac:dyDescent="0.25">
      <c r="B379" t="str">
        <v>Zero Network</v>
      </c>
      <c r="C379" t="str">
        <v>-</v>
      </c>
      <c r="D379" s="24">
        <v>96999.234342328928</v>
      </c>
    </row>
    <row r="380" spans="2:4" ht="15.75" customHeight="1" x14ac:dyDescent="0.25">
      <c r="B380" t="str">
        <v>Redstone</v>
      </c>
      <c r="C380" t="str">
        <v>-</v>
      </c>
      <c r="D380" s="24">
        <v>35428.60140061241</v>
      </c>
    </row>
    <row r="381" spans="2:4" ht="15.75" customHeight="1" x14ac:dyDescent="0.25">
      <c r="B381" t="str">
        <v>Parex</v>
      </c>
      <c r="C381" t="str">
        <v>PRX</v>
      </c>
      <c r="D381" s="24">
        <v>65546.020088765828</v>
      </c>
    </row>
    <row r="382" spans="2:4" ht="15.75" customHeight="1" x14ac:dyDescent="0.25">
      <c r="B382" t="str">
        <v>Penumbra</v>
      </c>
      <c r="C382" t="str">
        <v>UM</v>
      </c>
      <c r="D382" s="24">
        <v>10999.384377557401</v>
      </c>
    </row>
    <row r="383" spans="2:4" ht="15.75" customHeight="1" x14ac:dyDescent="0.25">
      <c r="B383" t="str">
        <v>Stratis</v>
      </c>
      <c r="C383" t="str">
        <v>STRAX</v>
      </c>
      <c r="D383" s="24">
        <v>40888.569399077001</v>
      </c>
    </row>
    <row r="384" spans="2:4" ht="15.75" customHeight="1" x14ac:dyDescent="0.25">
      <c r="B384" t="str">
        <v>Silicon zkEVM</v>
      </c>
      <c r="C384" t="str">
        <v>-</v>
      </c>
      <c r="D384" s="24">
        <v>7934.9932942445666</v>
      </c>
    </row>
    <row r="385" spans="2:4" ht="15.75" customHeight="1" x14ac:dyDescent="0.25">
      <c r="B385" t="str">
        <v>Xphere</v>
      </c>
      <c r="C385" t="str">
        <v>XP</v>
      </c>
      <c r="D385" s="24">
        <v>4.935605459110775</v>
      </c>
    </row>
    <row r="386" spans="2:4" ht="15.75" customHeight="1" x14ac:dyDescent="0.25">
      <c r="B386" t="str">
        <v>MTT Network</v>
      </c>
      <c r="C386" t="str">
        <v>MTT</v>
      </c>
      <c r="D386" s="24">
        <v>21.079240472210341</v>
      </c>
    </row>
    <row r="387" spans="2:4" ht="15.75" customHeight="1" x14ac:dyDescent="0.25">
      <c r="B387" t="str">
        <v>Qubic</v>
      </c>
      <c r="C387" t="str">
        <v>QUBIC</v>
      </c>
      <c r="D387" s="24">
        <v>103986.53536454291</v>
      </c>
    </row>
    <row r="388" spans="2:4" ht="15.75" customHeight="1" x14ac:dyDescent="0.25">
      <c r="B388" t="str">
        <v>AO</v>
      </c>
      <c r="C388" t="str">
        <v>AO</v>
      </c>
      <c r="D388" s="24">
        <v>45590.544193939801</v>
      </c>
    </row>
    <row r="389" spans="2:4" ht="15.75" customHeight="1" x14ac:dyDescent="0.25">
      <c r="B389" t="str">
        <v>Moonchain</v>
      </c>
      <c r="C389" t="str">
        <v>MXC</v>
      </c>
      <c r="D389" s="24">
        <v>86.441591159421776</v>
      </c>
    </row>
    <row r="390" spans="2:4" ht="15.75" customHeight="1" x14ac:dyDescent="0.25">
      <c r="B390" t="str">
        <v>Haven1</v>
      </c>
      <c r="C390" t="str">
        <v>H1</v>
      </c>
      <c r="D390" s="24">
        <v>6888.4496336350749</v>
      </c>
    </row>
    <row r="391" spans="2:4" ht="15.75" customHeight="1" x14ac:dyDescent="0.25">
      <c r="B391" t="str">
        <v>Aleph Zero EVM</v>
      </c>
      <c r="C391" t="str">
        <v>AZERO</v>
      </c>
      <c r="D391" s="24" t="str">
        <v>-</v>
      </c>
    </row>
    <row r="392" spans="2:4" ht="15.75" customHeight="1" x14ac:dyDescent="0.25">
      <c r="B392" t="str">
        <v>Initia</v>
      </c>
      <c r="C392" t="str">
        <v>INIT</v>
      </c>
      <c r="D392" s="24">
        <v>4102531.9985220321</v>
      </c>
    </row>
    <row r="393" spans="2:4" ht="15.75" customHeight="1" x14ac:dyDescent="0.25">
      <c r="B393" t="str">
        <v>OpenGPU</v>
      </c>
      <c r="C393" t="str">
        <v>OGPU</v>
      </c>
      <c r="D393" s="24">
        <v>105403.35004392666</v>
      </c>
    </row>
    <row r="394" spans="2:4" ht="15.75" customHeight="1" x14ac:dyDescent="0.25">
      <c r="B394" t="str">
        <v>0G</v>
      </c>
      <c r="C394" t="str">
        <v>0G</v>
      </c>
      <c r="D394" s="24">
        <v>2392166.6920572892</v>
      </c>
    </row>
    <row r="395" spans="2:4" ht="15.75" customHeight="1" x14ac:dyDescent="0.25">
      <c r="B395" t="str">
        <v>Namada</v>
      </c>
      <c r="C395" t="str">
        <v>NAM</v>
      </c>
      <c r="D395" s="24">
        <v>1474804.0443940256</v>
      </c>
    </row>
    <row r="396" spans="2:4" ht="15.75" customHeight="1" x14ac:dyDescent="0.25">
      <c r="B396" t="str">
        <v>Civitia</v>
      </c>
      <c r="C396" t="str">
        <v>-</v>
      </c>
      <c r="D396" s="24">
        <v>56737.380191313285</v>
      </c>
    </row>
    <row r="397" spans="2:4" ht="15.75" customHeight="1" x14ac:dyDescent="0.25">
      <c r="B397" t="str">
        <v>Inertia</v>
      </c>
      <c r="C397" t="str">
        <v>-</v>
      </c>
      <c r="D397" s="24">
        <v>491952.86812524433</v>
      </c>
    </row>
    <row r="398" spans="2:4" ht="15.75" customHeight="1" x14ac:dyDescent="0.25">
      <c r="B398" t="str">
        <v>Yominet</v>
      </c>
      <c r="C398" t="str">
        <v>-</v>
      </c>
      <c r="D398" s="24">
        <v>1387000.907631272</v>
      </c>
    </row>
    <row r="399" spans="2:4" ht="15.75" customHeight="1" x14ac:dyDescent="0.25">
      <c r="B399" t="str">
        <v>XRPL EVM</v>
      </c>
      <c r="C399" t="str">
        <v>XRP</v>
      </c>
      <c r="D399" s="24">
        <v>48674.905158288675</v>
      </c>
    </row>
    <row r="400" spans="2:4" ht="15.75" customHeight="1" x14ac:dyDescent="0.25">
      <c r="B400" t="str">
        <v>Titan</v>
      </c>
      <c r="C400" t="str">
        <v>TKX</v>
      </c>
      <c r="D400" s="24">
        <v>748982.42640990531</v>
      </c>
    </row>
    <row r="401" spans="2:4" ht="15.75" customHeight="1" x14ac:dyDescent="0.25">
      <c r="B401" t="str">
        <v>XION</v>
      </c>
      <c r="C401" t="str">
        <v>XION</v>
      </c>
      <c r="D401" s="24">
        <v>5114.2602276775915</v>
      </c>
    </row>
    <row r="402" spans="2:4" ht="15.75" customHeight="1" x14ac:dyDescent="0.25">
      <c r="B402" t="str">
        <v>soonBase</v>
      </c>
      <c r="C402" t="str">
        <v>-</v>
      </c>
      <c r="D402" s="24">
        <v>406.84725689432491</v>
      </c>
    </row>
    <row r="403" spans="2:4" ht="15.75" customHeight="1" x14ac:dyDescent="0.25">
      <c r="B403" t="str">
        <v>Soon Network</v>
      </c>
      <c r="C403" t="str">
        <v>SOON</v>
      </c>
      <c r="D403" s="24">
        <v>24401.447244103027</v>
      </c>
    </row>
    <row r="404" spans="2:4" ht="15.75" customHeight="1" x14ac:dyDescent="0.25">
      <c r="B404" t="str">
        <v>svmBNB</v>
      </c>
      <c r="C404" t="str">
        <v>-</v>
      </c>
      <c r="D404" s="24">
        <v>24080.892108848318</v>
      </c>
    </row>
    <row r="405" spans="2:4" ht="15.75" customHeight="1" x14ac:dyDescent="0.25">
      <c r="B405" t="str">
        <v>IOTA</v>
      </c>
      <c r="C405" t="str">
        <v>IOTA</v>
      </c>
      <c r="D405" s="24">
        <v>11015547.318794463</v>
      </c>
    </row>
    <row r="406" spans="2:4" ht="15.75" customHeight="1" x14ac:dyDescent="0.25">
      <c r="B406" t="str">
        <v>Provenance</v>
      </c>
      <c r="C406" t="str">
        <v>HASH</v>
      </c>
      <c r="D406" s="24">
        <v>590082781.40885389</v>
      </c>
    </row>
    <row r="407" spans="2:4" ht="15.75" customHeight="1" x14ac:dyDescent="0.25">
      <c r="B407" t="str">
        <v>Eventum</v>
      </c>
      <c r="C407" t="str">
        <v>-</v>
      </c>
      <c r="D407" s="24">
        <v>1335938.9449167787</v>
      </c>
    </row>
    <row r="408" spans="2:4" ht="15.75" customHeight="1" x14ac:dyDescent="0.25">
      <c r="B408" t="str">
        <v>Bitcichain</v>
      </c>
      <c r="C408" t="str">
        <v>BITCI</v>
      </c>
      <c r="D408" s="24">
        <v>1196.1253461276722</v>
      </c>
    </row>
    <row r="409" spans="2:4" ht="15.75" customHeight="1" x14ac:dyDescent="0.25">
      <c r="B409" t="str">
        <v>ENI</v>
      </c>
      <c r="C409" t="str">
        <v>ENI</v>
      </c>
      <c r="D409" s="24">
        <v>50298676.49931588</v>
      </c>
    </row>
    <row r="410" spans="2:4" ht="15.75" customHeight="1" x14ac:dyDescent="0.25">
      <c r="B410" t="str">
        <v>Camp Network</v>
      </c>
      <c r="C410" t="str">
        <v>-</v>
      </c>
      <c r="D410" s="24">
        <v>7260.9870872117644</v>
      </c>
    </row>
    <row r="411" spans="2:4" ht="15.75" customHeight="1" x14ac:dyDescent="0.25">
      <c r="B411" t="str">
        <v>Gala</v>
      </c>
      <c r="C411" t="str">
        <v>GALA</v>
      </c>
      <c r="D411" s="24">
        <v>2383305.0376589363</v>
      </c>
    </row>
    <row r="412" spans="2:4" ht="15.75" customHeight="1" x14ac:dyDescent="0.25">
      <c r="B412" t="str">
        <v>Chromia</v>
      </c>
      <c r="C412" t="str">
        <v>CHR</v>
      </c>
      <c r="D412" s="24">
        <v>616816.82411411218</v>
      </c>
    </row>
    <row r="413" spans="2:4" ht="15.75" customHeight="1" x14ac:dyDescent="0.25">
      <c r="B413" t="str">
        <v>Peaq</v>
      </c>
      <c r="C413" t="str">
        <v>PEAQ</v>
      </c>
      <c r="D413" s="24">
        <v>1183699.4093835331</v>
      </c>
    </row>
    <row r="414" spans="2:4" ht="15.75" customHeight="1" x14ac:dyDescent="0.25">
      <c r="B414" t="str">
        <v>Mezo</v>
      </c>
      <c r="C414" t="str">
        <v>-</v>
      </c>
      <c r="D414" s="24">
        <v>4408752.0089148274</v>
      </c>
    </row>
    <row r="415" spans="2:4" ht="15.75" customHeight="1" x14ac:dyDescent="0.25">
      <c r="B415" t="str">
        <v>GateLayer</v>
      </c>
      <c r="C415" t="str">
        <v>GT</v>
      </c>
      <c r="D415" s="24">
        <v>3266624.9363825801</v>
      </c>
    </row>
    <row r="416" spans="2:4" ht="15.75" customHeight="1" x14ac:dyDescent="0.25">
      <c r="B416" t="str">
        <v>Xone Chain</v>
      </c>
      <c r="C416" t="str">
        <v>XOC</v>
      </c>
      <c r="D416" s="24">
        <v>13570.669709271378</v>
      </c>
    </row>
    <row r="417" spans="2:4" ht="15.75" customHeight="1" x14ac:dyDescent="0.25">
      <c r="B417" t="str">
        <v>Kasplex</v>
      </c>
      <c r="C417" t="str">
        <v>-</v>
      </c>
      <c r="D417" s="24">
        <v>461523.36096490244</v>
      </c>
    </row>
    <row r="418" spans="2:4" ht="15.75" customHeight="1" x14ac:dyDescent="0.25">
      <c r="B418" t="str">
        <v>Ethereal</v>
      </c>
      <c r="C418" t="str">
        <v>USDe</v>
      </c>
      <c r="D418" s="24">
        <v>57967956.349904098</v>
      </c>
    </row>
    <row r="419" spans="2:4" ht="15.75" customHeight="1" x14ac:dyDescent="0.25">
      <c r="B419" t="str">
        <v>Bittensor EVM</v>
      </c>
      <c r="C419" t="str">
        <v>-</v>
      </c>
      <c r="D419" s="24">
        <v>567276.05085878796</v>
      </c>
    </row>
    <row r="420" spans="2:4" ht="15.75" customHeight="1" x14ac:dyDescent="0.25">
      <c r="B420" t="str">
        <v>BESC Hyperchain</v>
      </c>
      <c r="C420" t="str">
        <v>BESC</v>
      </c>
      <c r="D420" s="24">
        <v>432376.95798056136</v>
      </c>
    </row>
    <row r="421" spans="2:4" ht="15.75" customHeight="1" x14ac:dyDescent="0.25">
      <c r="B421" t="str">
        <v>ZIGChain</v>
      </c>
      <c r="C421" t="str">
        <v>ZIG</v>
      </c>
      <c r="D421" s="24">
        <v>6202771.7064544028</v>
      </c>
    </row>
    <row r="422" spans="2:4" ht="15.75" customHeight="1" x14ac:dyDescent="0.25">
      <c r="B422" t="str">
        <v>Capx Chain</v>
      </c>
      <c r="C422" t="str">
        <v>CAPX</v>
      </c>
      <c r="D422" s="24">
        <v>2152840.1141108014</v>
      </c>
    </row>
    <row r="423" spans="2:4" ht="15.75" customHeight="1" x14ac:dyDescent="0.25">
      <c r="B423" t="str">
        <v>Allora</v>
      </c>
      <c r="C423" t="str">
        <v>ALLO</v>
      </c>
      <c r="D423" s="24" t="str">
        <v>-</v>
      </c>
    </row>
    <row r="424" spans="2:4" ht="15.75" customHeight="1" x14ac:dyDescent="0.25">
      <c r="B424" t="str">
        <v>Fogo</v>
      </c>
      <c r="C424" t="str">
        <v>FOGO</v>
      </c>
      <c r="D424" s="24">
        <v>224768.69178850672</v>
      </c>
    </row>
    <row r="425" spans="2:4" ht="15.75" customHeight="1" x14ac:dyDescent="0.25">
      <c r="B425" t="str">
        <v>GANchain</v>
      </c>
      <c r="C425" t="str">
        <v>GPU</v>
      </c>
      <c r="D425" s="24">
        <v>28958.474760053905</v>
      </c>
    </row>
    <row r="426" spans="2:4" ht="15.75" customHeight="1" x14ac:dyDescent="0.25">
      <c r="B426" t="str">
        <v>JOC</v>
      </c>
      <c r="C426" t="str">
        <v>JOC</v>
      </c>
      <c r="D426" s="24">
        <v>3993.5100610648865</v>
      </c>
    </row>
    <row r="427" spans="2:4" ht="15.75" customHeight="1" x14ac:dyDescent="0.25">
      <c r="B427" t="str">
        <v>GRX Chain</v>
      </c>
      <c r="C427" t="str">
        <v>GRX</v>
      </c>
      <c r="D427" s="24">
        <v>831792.91486581217</v>
      </c>
    </row>
    <row r="428" spans="2:4" ht="15.75" customHeight="1" x14ac:dyDescent="0.25">
      <c r="B428" t="str">
        <v>VirBiCoin</v>
      </c>
      <c r="C428" t="str">
        <v>VBC</v>
      </c>
      <c r="D428" s="24">
        <v>8447.8804857679497</v>
      </c>
    </row>
    <row r="429" spans="2:4" ht="15.75" customHeight="1" x14ac:dyDescent="0.25">
      <c r="B429" t="str">
        <v>MegaETH</v>
      </c>
      <c r="C429" t="str">
        <v>MEGA</v>
      </c>
      <c r="D429">
        <v>10636.95255272722</v>
      </c>
    </row>
    <row r="430" spans="2:4" ht="15.75" customHeight="1" x14ac:dyDescent="0.25"/>
    <row r="431" spans="2:4" ht="15.75" customHeight="1" x14ac:dyDescent="0.25"/>
    <row r="432" spans="2:4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  <row r="1139" ht="15.75" customHeight="1" x14ac:dyDescent="0.25"/>
    <row r="1140" ht="15.75" customHeight="1" x14ac:dyDescent="0.25"/>
    <row r="1141" ht="15.75" customHeight="1" x14ac:dyDescent="0.25"/>
    <row r="1142" ht="15.75" customHeight="1" x14ac:dyDescent="0.25"/>
    <row r="1143" ht="15.75" customHeight="1" x14ac:dyDescent="0.25"/>
    <row r="1144" ht="15.75" customHeight="1" x14ac:dyDescent="0.25"/>
    <row r="1145" ht="15.75" customHeight="1" x14ac:dyDescent="0.25"/>
    <row r="1146" ht="15.75" customHeight="1" x14ac:dyDescent="0.25"/>
    <row r="1147" ht="15.75" customHeight="1" x14ac:dyDescent="0.25"/>
    <row r="1148" ht="15.75" customHeight="1" x14ac:dyDescent="0.25"/>
    <row r="1149" ht="15.75" customHeight="1" x14ac:dyDescent="0.25"/>
    <row r="1150" ht="15.75" customHeight="1" x14ac:dyDescent="0.25"/>
    <row r="1151" ht="15.75" customHeight="1" x14ac:dyDescent="0.25"/>
    <row r="1152" ht="15.75" customHeight="1" x14ac:dyDescent="0.25"/>
    <row r="1153" ht="15.75" customHeight="1" x14ac:dyDescent="0.25"/>
    <row r="1154" ht="15.75" customHeight="1" x14ac:dyDescent="0.25"/>
    <row r="1155" ht="15.75" customHeight="1" x14ac:dyDescent="0.25"/>
    <row r="1156" ht="15.75" customHeight="1" x14ac:dyDescent="0.25"/>
    <row r="1157" ht="15.75" customHeight="1" x14ac:dyDescent="0.25"/>
    <row r="1158" ht="15.75" customHeight="1" x14ac:dyDescent="0.25"/>
    <row r="1159" ht="15.75" customHeight="1" x14ac:dyDescent="0.25"/>
    <row r="1160" ht="15.75" customHeight="1" x14ac:dyDescent="0.25"/>
    <row r="1161" ht="15.75" customHeight="1" x14ac:dyDescent="0.25"/>
    <row r="1162" ht="15.75" customHeight="1" x14ac:dyDescent="0.25"/>
    <row r="1163" ht="15.75" customHeight="1" x14ac:dyDescent="0.25"/>
    <row r="1164" ht="15.75" customHeight="1" x14ac:dyDescent="0.25"/>
    <row r="1165" ht="15.75" customHeight="1" x14ac:dyDescent="0.25"/>
    <row r="1166" ht="15.75" customHeight="1" x14ac:dyDescent="0.25"/>
    <row r="1167" ht="15.75" customHeight="1" x14ac:dyDescent="0.25"/>
    <row r="1168" ht="15.75" customHeight="1" x14ac:dyDescent="0.25"/>
    <row r="1169" ht="15.75" customHeight="1" x14ac:dyDescent="0.25"/>
    <row r="1170" ht="15.75" customHeight="1" x14ac:dyDescent="0.25"/>
    <row r="1171" ht="15.75" customHeight="1" x14ac:dyDescent="0.25"/>
    <row r="1172" ht="15.75" customHeight="1" x14ac:dyDescent="0.25"/>
    <row r="1173" ht="15.75" customHeight="1" x14ac:dyDescent="0.25"/>
    <row r="1174" ht="15.75" customHeight="1" x14ac:dyDescent="0.25"/>
    <row r="1175" ht="15.75" customHeight="1" x14ac:dyDescent="0.25"/>
    <row r="1176" ht="15.75" customHeight="1" x14ac:dyDescent="0.25"/>
    <row r="1177" ht="15.75" customHeight="1" x14ac:dyDescent="0.25"/>
    <row r="1178" ht="15.75" customHeight="1" x14ac:dyDescent="0.25"/>
    <row r="1179" ht="15.75" customHeight="1" x14ac:dyDescent="0.25"/>
    <row r="1180" ht="15.75" customHeight="1" x14ac:dyDescent="0.25"/>
    <row r="1181" ht="15.75" customHeight="1" x14ac:dyDescent="0.25"/>
    <row r="1182" ht="15.75" customHeight="1" x14ac:dyDescent="0.25"/>
    <row r="1183" ht="15.75" customHeight="1" x14ac:dyDescent="0.25"/>
    <row r="1184" ht="15.75" customHeight="1" x14ac:dyDescent="0.25"/>
    <row r="1185" ht="15.75" customHeight="1" x14ac:dyDescent="0.25"/>
    <row r="1186" ht="15.75" customHeight="1" x14ac:dyDescent="0.25"/>
    <row r="1187" ht="15.75" customHeight="1" x14ac:dyDescent="0.25"/>
    <row r="1188" ht="15.75" customHeight="1" x14ac:dyDescent="0.25"/>
    <row r="1189" ht="15.75" customHeight="1" x14ac:dyDescent="0.25"/>
    <row r="1190" ht="15.75" customHeight="1" x14ac:dyDescent="0.25"/>
    <row r="1191" ht="15.75" customHeight="1" x14ac:dyDescent="0.25"/>
    <row r="1192" ht="15.75" customHeight="1" x14ac:dyDescent="0.25"/>
    <row r="1193" ht="15.75" customHeight="1" x14ac:dyDescent="0.25"/>
    <row r="1194" ht="15.75" customHeight="1" x14ac:dyDescent="0.25"/>
    <row r="1195" ht="15.75" customHeight="1" x14ac:dyDescent="0.25"/>
    <row r="1196" ht="15.75" customHeight="1" x14ac:dyDescent="0.25"/>
    <row r="1197" ht="15.75" customHeight="1" x14ac:dyDescent="0.25"/>
    <row r="1198" ht="15.75" customHeight="1" x14ac:dyDescent="0.25"/>
    <row r="1199" ht="15.75" customHeight="1" x14ac:dyDescent="0.25"/>
    <row r="1200" ht="15.75" customHeight="1" x14ac:dyDescent="0.25"/>
    <row r="1201" ht="15.75" customHeight="1" x14ac:dyDescent="0.25"/>
    <row r="1202" ht="15.75" customHeight="1" x14ac:dyDescent="0.25"/>
    <row r="1203" ht="15.75" customHeight="1" x14ac:dyDescent="0.25"/>
    <row r="1204" ht="15.75" customHeight="1" x14ac:dyDescent="0.25"/>
    <row r="1205" ht="15.75" customHeight="1" x14ac:dyDescent="0.25"/>
    <row r="1206" ht="15.75" customHeight="1" x14ac:dyDescent="0.25"/>
    <row r="1207" ht="15.75" customHeight="1" x14ac:dyDescent="0.25"/>
    <row r="1208" ht="15.75" customHeight="1" x14ac:dyDescent="0.25"/>
    <row r="1209" ht="15.75" customHeight="1" x14ac:dyDescent="0.25"/>
    <row r="1210" ht="15.75" customHeight="1" x14ac:dyDescent="0.25"/>
    <row r="1211" ht="15.75" customHeight="1" x14ac:dyDescent="0.25"/>
    <row r="1212" ht="15.75" customHeight="1" x14ac:dyDescent="0.25"/>
    <row r="1213" ht="15.75" customHeight="1" x14ac:dyDescent="0.25"/>
    <row r="1214" ht="15.75" customHeight="1" x14ac:dyDescent="0.25"/>
    <row r="1215" ht="15.75" customHeight="1" x14ac:dyDescent="0.25"/>
    <row r="1216" ht="15.75" customHeight="1" x14ac:dyDescent="0.25"/>
    <row r="1217" ht="15.75" customHeight="1" x14ac:dyDescent="0.25"/>
    <row r="1218" ht="15.75" customHeight="1" x14ac:dyDescent="0.25"/>
    <row r="1219" ht="15.75" customHeight="1" x14ac:dyDescent="0.25"/>
    <row r="1220" ht="15.75" customHeight="1" x14ac:dyDescent="0.25"/>
    <row r="1221" ht="15.75" customHeight="1" x14ac:dyDescent="0.25"/>
    <row r="1222" ht="15.75" customHeight="1" x14ac:dyDescent="0.25"/>
    <row r="1223" ht="15.75" customHeight="1" x14ac:dyDescent="0.25"/>
    <row r="1224" ht="15.75" customHeight="1" x14ac:dyDescent="0.25"/>
    <row r="1225" ht="15.75" customHeight="1" x14ac:dyDescent="0.25"/>
    <row r="1226" ht="15.75" customHeight="1" x14ac:dyDescent="0.25"/>
    <row r="1227" ht="15.75" customHeight="1" x14ac:dyDescent="0.25"/>
    <row r="1228" ht="15.75" customHeight="1" x14ac:dyDescent="0.25"/>
    <row r="1229" ht="15.75" customHeight="1" x14ac:dyDescent="0.25"/>
    <row r="1230" ht="15.75" customHeight="1" x14ac:dyDescent="0.25"/>
    <row r="1231" ht="15.75" customHeight="1" x14ac:dyDescent="0.25"/>
    <row r="1232" ht="15.75" customHeight="1" x14ac:dyDescent="0.25"/>
    <row r="1233" ht="15.75" customHeight="1" x14ac:dyDescent="0.25"/>
    <row r="1234" ht="15.75" customHeight="1" x14ac:dyDescent="0.25"/>
    <row r="1235" ht="15.75" customHeight="1" x14ac:dyDescent="0.25"/>
    <row r="1236" ht="15.75" customHeight="1" x14ac:dyDescent="0.25"/>
    <row r="1237" ht="15.75" customHeight="1" x14ac:dyDescent="0.25"/>
    <row r="1238" ht="15.75" customHeight="1" x14ac:dyDescent="0.25"/>
    <row r="1239" ht="15.75" customHeight="1" x14ac:dyDescent="0.25"/>
    <row r="1240" ht="15.75" customHeight="1" x14ac:dyDescent="0.25"/>
    <row r="1241" ht="15.75" customHeight="1" x14ac:dyDescent="0.25"/>
    <row r="1242" ht="15.75" customHeight="1" x14ac:dyDescent="0.25"/>
    <row r="1243" ht="15.75" customHeight="1" x14ac:dyDescent="0.25"/>
    <row r="1244" ht="15.75" customHeight="1" x14ac:dyDescent="0.25"/>
    <row r="1245" ht="15.75" customHeight="1" x14ac:dyDescent="0.25"/>
    <row r="1246" ht="15.75" customHeight="1" x14ac:dyDescent="0.25"/>
    <row r="1247" ht="15.75" customHeight="1" x14ac:dyDescent="0.25"/>
    <row r="1248" ht="15.75" customHeight="1" x14ac:dyDescent="0.25"/>
    <row r="1249" ht="15.75" customHeight="1" x14ac:dyDescent="0.25"/>
    <row r="1250" ht="15.75" customHeight="1" x14ac:dyDescent="0.25"/>
    <row r="1251" ht="15.75" customHeight="1" x14ac:dyDescent="0.25"/>
    <row r="1252" ht="15.75" customHeight="1" x14ac:dyDescent="0.25"/>
    <row r="1253" ht="15.75" customHeight="1" x14ac:dyDescent="0.25"/>
    <row r="1254" ht="15.75" customHeight="1" x14ac:dyDescent="0.25"/>
    <row r="1255" ht="15.75" customHeight="1" x14ac:dyDescent="0.25"/>
    <row r="1256" ht="15.75" customHeight="1" x14ac:dyDescent="0.25"/>
    <row r="1257" ht="15.75" customHeight="1" x14ac:dyDescent="0.25"/>
    <row r="1258" ht="15.75" customHeight="1" x14ac:dyDescent="0.25"/>
    <row r="1259" ht="15.75" customHeight="1" x14ac:dyDescent="0.25"/>
    <row r="1260" ht="15.75" customHeight="1" x14ac:dyDescent="0.25"/>
    <row r="1261" ht="15.75" customHeight="1" x14ac:dyDescent="0.25"/>
    <row r="1262" ht="15.75" customHeight="1" x14ac:dyDescent="0.25"/>
    <row r="1263" ht="15.75" customHeight="1" x14ac:dyDescent="0.25"/>
    <row r="1264" ht="15.75" customHeight="1" x14ac:dyDescent="0.25"/>
    <row r="1265" ht="15.75" customHeight="1" x14ac:dyDescent="0.25"/>
    <row r="1266" ht="15.75" customHeight="1" x14ac:dyDescent="0.25"/>
    <row r="1267" ht="15.75" customHeight="1" x14ac:dyDescent="0.25"/>
    <row r="1268" ht="15.75" customHeight="1" x14ac:dyDescent="0.25"/>
    <row r="1269" ht="15.75" customHeight="1" x14ac:dyDescent="0.25"/>
    <row r="1270" ht="15.75" customHeight="1" x14ac:dyDescent="0.25"/>
    <row r="1271" ht="15.75" customHeight="1" x14ac:dyDescent="0.25"/>
    <row r="1272" ht="15.75" customHeight="1" x14ac:dyDescent="0.25"/>
    <row r="1273" ht="15.75" customHeight="1" x14ac:dyDescent="0.25"/>
    <row r="1274" ht="15.75" customHeight="1" x14ac:dyDescent="0.25"/>
    <row r="1275" ht="15.75" customHeight="1" x14ac:dyDescent="0.25"/>
    <row r="1276" ht="15.75" customHeight="1" x14ac:dyDescent="0.25"/>
    <row r="1277" ht="15.75" customHeight="1" x14ac:dyDescent="0.25"/>
    <row r="1278" ht="15.75" customHeight="1" x14ac:dyDescent="0.25"/>
    <row r="1279" ht="15.75" customHeight="1" x14ac:dyDescent="0.25"/>
    <row r="1280" ht="15.75" customHeight="1" x14ac:dyDescent="0.25"/>
    <row r="1281" ht="15.75" customHeight="1" x14ac:dyDescent="0.25"/>
    <row r="1282" ht="15.75" customHeight="1" x14ac:dyDescent="0.25"/>
    <row r="1283" ht="15.75" customHeight="1" x14ac:dyDescent="0.25"/>
    <row r="1284" ht="15.75" customHeight="1" x14ac:dyDescent="0.25"/>
    <row r="1285" ht="15.75" customHeight="1" x14ac:dyDescent="0.25"/>
    <row r="1286" ht="15.75" customHeight="1" x14ac:dyDescent="0.25"/>
    <row r="1287" ht="15.75" customHeight="1" x14ac:dyDescent="0.25"/>
    <row r="1288" ht="15.75" customHeight="1" x14ac:dyDescent="0.25"/>
    <row r="1289" ht="15.75" customHeight="1" x14ac:dyDescent="0.25"/>
    <row r="1290" ht="15.75" customHeight="1" x14ac:dyDescent="0.25"/>
    <row r="1291" ht="15.75" customHeight="1" x14ac:dyDescent="0.25"/>
    <row r="1292" ht="15.75" customHeight="1" x14ac:dyDescent="0.25"/>
    <row r="1293" ht="15.75" customHeight="1" x14ac:dyDescent="0.25"/>
    <row r="1294" ht="15.75" customHeight="1" x14ac:dyDescent="0.25"/>
    <row r="1295" ht="15.75" customHeight="1" x14ac:dyDescent="0.25"/>
    <row r="1296" ht="15.75" customHeight="1" x14ac:dyDescent="0.25"/>
    <row r="1297" ht="15.75" customHeight="1" x14ac:dyDescent="0.25"/>
    <row r="1298" ht="15.75" customHeight="1" x14ac:dyDescent="0.25"/>
    <row r="1299" ht="15.75" customHeight="1" x14ac:dyDescent="0.25"/>
    <row r="1300" ht="15.75" customHeight="1" x14ac:dyDescent="0.25"/>
    <row r="1301" ht="15.75" customHeight="1" x14ac:dyDescent="0.25"/>
    <row r="1302" ht="15.75" customHeight="1" x14ac:dyDescent="0.25"/>
    <row r="1303" ht="15.75" customHeight="1" x14ac:dyDescent="0.25"/>
    <row r="1304" ht="15.75" customHeight="1" x14ac:dyDescent="0.25"/>
    <row r="1305" ht="15.75" customHeight="1" x14ac:dyDescent="0.25"/>
    <row r="1306" ht="15.75" customHeight="1" x14ac:dyDescent="0.25"/>
    <row r="1307" ht="15.75" customHeight="1" x14ac:dyDescent="0.25"/>
    <row r="1308" ht="15.75" customHeight="1" x14ac:dyDescent="0.25"/>
    <row r="1309" ht="15.75" customHeight="1" x14ac:dyDescent="0.25"/>
    <row r="1310" ht="15.75" customHeight="1" x14ac:dyDescent="0.25"/>
    <row r="1311" ht="15.75" customHeight="1" x14ac:dyDescent="0.25"/>
    <row r="1312" ht="15.75" customHeight="1" x14ac:dyDescent="0.25"/>
    <row r="1313" ht="15.75" customHeight="1" x14ac:dyDescent="0.25"/>
    <row r="1314" ht="15.75" customHeight="1" x14ac:dyDescent="0.25"/>
    <row r="1315" ht="15.75" customHeight="1" x14ac:dyDescent="0.25"/>
    <row r="1316" ht="15.75" customHeight="1" x14ac:dyDescent="0.25"/>
    <row r="1317" ht="15.75" customHeight="1" x14ac:dyDescent="0.25"/>
    <row r="1318" ht="15.75" customHeight="1" x14ac:dyDescent="0.25"/>
    <row r="1319" ht="15.75" customHeight="1" x14ac:dyDescent="0.25"/>
    <row r="1320" ht="15.75" customHeight="1" x14ac:dyDescent="0.25"/>
    <row r="1321" ht="15.75" customHeight="1" x14ac:dyDescent="0.25"/>
    <row r="1322" ht="15.75" customHeight="1" x14ac:dyDescent="0.25"/>
    <row r="1323" ht="15.75" customHeight="1" x14ac:dyDescent="0.25"/>
    <row r="1324" ht="15.75" customHeight="1" x14ac:dyDescent="0.25"/>
    <row r="1325" ht="15.75" customHeight="1" x14ac:dyDescent="0.25"/>
    <row r="1326" ht="15.75" customHeight="1" x14ac:dyDescent="0.25"/>
    <row r="1327" ht="15.75" customHeight="1" x14ac:dyDescent="0.25"/>
    <row r="1328" ht="15.75" customHeight="1" x14ac:dyDescent="0.25"/>
    <row r="1329" ht="15.75" customHeight="1" x14ac:dyDescent="0.25"/>
    <row r="1330" ht="15.75" customHeight="1" x14ac:dyDescent="0.25"/>
    <row r="1331" ht="15.75" customHeight="1" x14ac:dyDescent="0.25"/>
    <row r="1332" ht="15.75" customHeight="1" x14ac:dyDescent="0.25"/>
    <row r="1333" ht="15.75" customHeight="1" x14ac:dyDescent="0.25"/>
    <row r="1334" ht="15.75" customHeight="1" x14ac:dyDescent="0.25"/>
    <row r="1335" ht="15.75" customHeight="1" x14ac:dyDescent="0.25"/>
    <row r="1336" ht="15.75" customHeight="1" x14ac:dyDescent="0.25"/>
    <row r="1337" ht="15.75" customHeight="1" x14ac:dyDescent="0.25"/>
    <row r="1338" ht="15.75" customHeight="1" x14ac:dyDescent="0.25"/>
    <row r="1339" ht="15.75" customHeight="1" x14ac:dyDescent="0.25"/>
    <row r="1340" ht="15.75" customHeight="1" x14ac:dyDescent="0.25"/>
    <row r="1341" ht="15.75" customHeight="1" x14ac:dyDescent="0.25"/>
    <row r="1342" ht="15.75" customHeight="1" x14ac:dyDescent="0.25"/>
    <row r="1343" ht="15.75" customHeight="1" x14ac:dyDescent="0.25"/>
    <row r="1344" ht="15.75" customHeight="1" x14ac:dyDescent="0.25"/>
    <row r="1345" ht="15.75" customHeight="1" x14ac:dyDescent="0.25"/>
    <row r="1346" ht="15.75" customHeight="1" x14ac:dyDescent="0.25"/>
    <row r="1347" ht="15.75" customHeight="1" x14ac:dyDescent="0.25"/>
    <row r="1348" ht="15.75" customHeight="1" x14ac:dyDescent="0.25"/>
    <row r="1349" ht="15.75" customHeight="1" x14ac:dyDescent="0.25"/>
    <row r="1350" ht="15.75" customHeight="1" x14ac:dyDescent="0.25"/>
    <row r="1351" ht="15.75" customHeight="1" x14ac:dyDescent="0.25"/>
    <row r="1352" ht="15.75" customHeight="1" x14ac:dyDescent="0.25"/>
    <row r="1353" ht="15.75" customHeight="1" x14ac:dyDescent="0.25"/>
    <row r="1354" ht="15.75" customHeight="1" x14ac:dyDescent="0.25"/>
    <row r="1355" ht="15.75" customHeight="1" x14ac:dyDescent="0.25"/>
    <row r="1356" ht="15.75" customHeight="1" x14ac:dyDescent="0.25"/>
    <row r="1357" ht="15.75" customHeight="1" x14ac:dyDescent="0.25"/>
    <row r="1358" ht="15.75" customHeight="1" x14ac:dyDescent="0.25"/>
    <row r="1359" ht="15.75" customHeight="1" x14ac:dyDescent="0.25"/>
    <row r="1360" ht="15.75" customHeight="1" x14ac:dyDescent="0.25"/>
    <row r="1361" ht="15.75" customHeight="1" x14ac:dyDescent="0.25"/>
    <row r="1362" ht="15.75" customHeight="1" x14ac:dyDescent="0.25"/>
    <row r="1363" ht="15.75" customHeight="1" x14ac:dyDescent="0.25"/>
    <row r="1364" ht="15.75" customHeight="1" x14ac:dyDescent="0.25"/>
    <row r="1365" ht="15.75" customHeight="1" x14ac:dyDescent="0.25"/>
    <row r="1366" ht="15.75" customHeight="1" x14ac:dyDescent="0.25"/>
    <row r="1367" ht="15.75" customHeight="1" x14ac:dyDescent="0.25"/>
    <row r="1368" ht="15.75" customHeight="1" x14ac:dyDescent="0.25"/>
    <row r="1369" ht="15.75" customHeight="1" x14ac:dyDescent="0.25"/>
    <row r="1370" ht="15.75" customHeight="1" x14ac:dyDescent="0.25"/>
    <row r="1371" ht="15.75" customHeight="1" x14ac:dyDescent="0.25"/>
    <row r="1372" ht="15.75" customHeight="1" x14ac:dyDescent="0.25"/>
    <row r="1373" ht="15.75" customHeight="1" x14ac:dyDescent="0.25"/>
    <row r="1374" ht="15.75" customHeight="1" x14ac:dyDescent="0.25"/>
    <row r="1375" ht="15.75" customHeight="1" x14ac:dyDescent="0.25"/>
    <row r="1376" ht="15.75" customHeight="1" x14ac:dyDescent="0.25"/>
    <row r="1377" ht="15.75" customHeight="1" x14ac:dyDescent="0.25"/>
    <row r="1378" ht="15.75" customHeight="1" x14ac:dyDescent="0.25"/>
    <row r="1379" ht="15.75" customHeight="1" x14ac:dyDescent="0.25"/>
    <row r="1380" ht="15.75" customHeight="1" x14ac:dyDescent="0.25"/>
    <row r="1381" ht="15.75" customHeight="1" x14ac:dyDescent="0.25"/>
    <row r="1382" ht="15.75" customHeight="1" x14ac:dyDescent="0.25"/>
    <row r="1383" ht="15.75" customHeight="1" x14ac:dyDescent="0.25"/>
    <row r="1384" ht="15.75" customHeight="1" x14ac:dyDescent="0.25"/>
    <row r="1385" ht="15.75" customHeight="1" x14ac:dyDescent="0.25"/>
    <row r="1386" ht="15.75" customHeight="1" x14ac:dyDescent="0.25"/>
    <row r="1387" ht="15.75" customHeight="1" x14ac:dyDescent="0.25"/>
    <row r="1388" ht="15.75" customHeight="1" x14ac:dyDescent="0.25"/>
    <row r="1389" ht="15.75" customHeight="1" x14ac:dyDescent="0.25"/>
    <row r="1390" ht="15.75" customHeight="1" x14ac:dyDescent="0.25"/>
    <row r="1391" ht="15.75" customHeight="1" x14ac:dyDescent="0.25"/>
    <row r="1392" ht="15.75" customHeight="1" x14ac:dyDescent="0.25"/>
    <row r="1393" ht="15.75" customHeight="1" x14ac:dyDescent="0.25"/>
    <row r="1394" ht="15.75" customHeight="1" x14ac:dyDescent="0.25"/>
    <row r="1395" ht="15.75" customHeight="1" x14ac:dyDescent="0.25"/>
    <row r="1396" ht="15.75" customHeight="1" x14ac:dyDescent="0.25"/>
    <row r="1397" ht="15.75" customHeight="1" x14ac:dyDescent="0.25"/>
    <row r="1398" ht="15.75" customHeight="1" x14ac:dyDescent="0.25"/>
    <row r="1399" ht="15.75" customHeight="1" x14ac:dyDescent="0.25"/>
    <row r="1400" ht="15.75" customHeight="1" x14ac:dyDescent="0.25"/>
    <row r="1401" ht="15.75" customHeight="1" x14ac:dyDescent="0.25"/>
    <row r="1402" ht="15.75" customHeight="1" x14ac:dyDescent="0.25"/>
    <row r="1403" ht="15.75" customHeight="1" x14ac:dyDescent="0.25"/>
    <row r="1404" ht="15.75" customHeight="1" x14ac:dyDescent="0.25"/>
    <row r="1405" ht="15.75" customHeight="1" x14ac:dyDescent="0.25"/>
    <row r="1406" ht="15.75" customHeight="1" x14ac:dyDescent="0.25"/>
    <row r="1407" ht="15.75" customHeight="1" x14ac:dyDescent="0.25"/>
    <row r="1408" ht="15.75" customHeight="1" x14ac:dyDescent="0.25"/>
    <row r="1409" ht="15.75" customHeight="1" x14ac:dyDescent="0.25"/>
    <row r="1410" ht="15.75" customHeight="1" x14ac:dyDescent="0.25"/>
    <row r="1411" ht="15.75" customHeight="1" x14ac:dyDescent="0.25"/>
    <row r="1412" ht="15.75" customHeight="1" x14ac:dyDescent="0.25"/>
    <row r="1413" ht="15.75" customHeight="1" x14ac:dyDescent="0.25"/>
    <row r="1414" ht="15.75" customHeight="1" x14ac:dyDescent="0.25"/>
    <row r="1415" ht="15.75" customHeight="1" x14ac:dyDescent="0.25"/>
    <row r="1416" ht="15.75" customHeight="1" x14ac:dyDescent="0.25"/>
    <row r="1417" ht="15.75" customHeight="1" x14ac:dyDescent="0.25"/>
    <row r="1418" ht="15.75" customHeight="1" x14ac:dyDescent="0.25"/>
    <row r="1419" ht="15.75" customHeight="1" x14ac:dyDescent="0.25"/>
    <row r="1420" ht="15.75" customHeight="1" x14ac:dyDescent="0.25"/>
    <row r="1421" ht="15.75" customHeight="1" x14ac:dyDescent="0.25"/>
    <row r="1422" ht="15.75" customHeight="1" x14ac:dyDescent="0.25"/>
    <row r="1423" ht="15.75" customHeight="1" x14ac:dyDescent="0.25"/>
    <row r="1424" ht="15.75" customHeight="1" x14ac:dyDescent="0.25"/>
    <row r="1425" ht="15.75" customHeight="1" x14ac:dyDescent="0.25"/>
    <row r="1426" ht="15.75" customHeight="1" x14ac:dyDescent="0.25"/>
    <row r="1427" ht="15.75" customHeight="1" x14ac:dyDescent="0.25"/>
    <row r="1428" ht="15.75" customHeight="1" x14ac:dyDescent="0.25"/>
    <row r="1429" ht="15.75" customHeight="1" x14ac:dyDescent="0.25"/>
    <row r="1430" ht="15.75" customHeight="1" x14ac:dyDescent="0.25"/>
    <row r="1431" ht="15.75" customHeight="1" x14ac:dyDescent="0.25"/>
    <row r="1432" ht="15.75" customHeight="1" x14ac:dyDescent="0.25"/>
    <row r="1433" ht="15.75" customHeight="1" x14ac:dyDescent="0.25"/>
    <row r="1434" ht="15.75" customHeight="1" x14ac:dyDescent="0.25"/>
    <row r="1435" ht="15.75" customHeight="1" x14ac:dyDescent="0.25"/>
    <row r="1436" ht="15.75" customHeight="1" x14ac:dyDescent="0.25"/>
    <row r="1437" ht="15.75" customHeight="1" x14ac:dyDescent="0.25"/>
    <row r="1438" ht="15.75" customHeight="1" x14ac:dyDescent="0.25"/>
    <row r="1439" ht="15.75" customHeight="1" x14ac:dyDescent="0.25"/>
    <row r="1440" ht="15.75" customHeight="1" x14ac:dyDescent="0.25"/>
    <row r="1441" ht="15.75" customHeight="1" x14ac:dyDescent="0.25"/>
    <row r="1442" ht="15.75" customHeight="1" x14ac:dyDescent="0.25"/>
    <row r="1443" ht="15.75" customHeight="1" x14ac:dyDescent="0.25"/>
    <row r="1444" ht="15.75" customHeight="1" x14ac:dyDescent="0.25"/>
    <row r="1445" ht="15.75" customHeight="1" x14ac:dyDescent="0.25"/>
    <row r="1446" ht="15.75" customHeight="1" x14ac:dyDescent="0.25"/>
    <row r="1447" ht="15.75" customHeight="1" x14ac:dyDescent="0.25"/>
    <row r="1448" ht="15.75" customHeight="1" x14ac:dyDescent="0.25"/>
    <row r="1449" ht="15.75" customHeight="1" x14ac:dyDescent="0.25"/>
    <row r="1450" ht="15.75" customHeight="1" x14ac:dyDescent="0.25"/>
    <row r="1451" ht="15.75" customHeight="1" x14ac:dyDescent="0.25"/>
    <row r="1452" ht="15.75" customHeight="1" x14ac:dyDescent="0.25"/>
    <row r="1453" ht="15.75" customHeight="1" x14ac:dyDescent="0.25"/>
    <row r="1454" ht="15.75" customHeight="1" x14ac:dyDescent="0.25"/>
    <row r="1455" ht="15.75" customHeight="1" x14ac:dyDescent="0.25"/>
    <row r="1456" ht="15.75" customHeight="1" x14ac:dyDescent="0.25"/>
    <row r="1457" ht="15.75" customHeight="1" x14ac:dyDescent="0.25"/>
    <row r="1458" ht="15.75" customHeight="1" x14ac:dyDescent="0.25"/>
    <row r="1459" ht="15.75" customHeight="1" x14ac:dyDescent="0.25"/>
    <row r="1460" ht="15.75" customHeight="1" x14ac:dyDescent="0.25"/>
    <row r="1461" ht="15.75" customHeight="1" x14ac:dyDescent="0.25"/>
    <row r="1462" ht="15.75" customHeight="1" x14ac:dyDescent="0.25"/>
    <row r="1463" ht="15.75" customHeight="1" x14ac:dyDescent="0.25"/>
    <row r="1464" ht="15.75" customHeight="1" x14ac:dyDescent="0.25"/>
    <row r="1465" ht="15.75" customHeight="1" x14ac:dyDescent="0.25"/>
    <row r="1466" ht="15.75" customHeight="1" x14ac:dyDescent="0.25"/>
    <row r="1467" ht="15.75" customHeight="1" x14ac:dyDescent="0.25"/>
    <row r="1468" ht="15.75" customHeight="1" x14ac:dyDescent="0.25"/>
    <row r="1469" ht="15.75" customHeight="1" x14ac:dyDescent="0.25"/>
    <row r="1470" ht="15.75" customHeight="1" x14ac:dyDescent="0.25"/>
    <row r="1471" ht="15.75" customHeight="1" x14ac:dyDescent="0.25"/>
    <row r="1472" ht="15.75" customHeight="1" x14ac:dyDescent="0.25"/>
    <row r="1473" ht="15.75" customHeight="1" x14ac:dyDescent="0.25"/>
    <row r="1474" ht="15.75" customHeight="1" x14ac:dyDescent="0.25"/>
    <row r="1475" ht="15.75" customHeight="1" x14ac:dyDescent="0.25"/>
    <row r="1476" ht="15.75" customHeight="1" x14ac:dyDescent="0.25"/>
    <row r="1477" ht="15.75" customHeight="1" x14ac:dyDescent="0.25"/>
    <row r="1478" ht="15.75" customHeight="1" x14ac:dyDescent="0.25"/>
    <row r="1479" ht="15.75" customHeight="1" x14ac:dyDescent="0.25"/>
    <row r="1480" ht="15.75" customHeight="1" x14ac:dyDescent="0.25"/>
    <row r="1481" ht="15.75" customHeight="1" x14ac:dyDescent="0.25"/>
    <row r="1482" ht="15.75" customHeight="1" x14ac:dyDescent="0.25"/>
    <row r="1483" ht="15.75" customHeight="1" x14ac:dyDescent="0.25"/>
    <row r="1484" ht="15.75" customHeight="1" x14ac:dyDescent="0.25"/>
    <row r="1485" ht="15.75" customHeight="1" x14ac:dyDescent="0.25"/>
    <row r="1486" ht="15.75" customHeight="1" x14ac:dyDescent="0.25"/>
    <row r="1487" ht="15.75" customHeight="1" x14ac:dyDescent="0.25"/>
    <row r="1488" ht="15.75" customHeight="1" x14ac:dyDescent="0.25"/>
    <row r="1489" ht="15.75" customHeight="1" x14ac:dyDescent="0.25"/>
    <row r="1490" ht="15.75" customHeight="1" x14ac:dyDescent="0.25"/>
    <row r="1491" ht="15.75" customHeight="1" x14ac:dyDescent="0.25"/>
    <row r="1492" ht="15.75" customHeight="1" x14ac:dyDescent="0.25"/>
    <row r="1493" ht="15.75" customHeight="1" x14ac:dyDescent="0.25"/>
    <row r="1494" ht="15.75" customHeight="1" x14ac:dyDescent="0.25"/>
    <row r="1495" ht="15.75" customHeight="1" x14ac:dyDescent="0.25"/>
    <row r="1496" ht="15.75" customHeight="1" x14ac:dyDescent="0.25"/>
    <row r="1497" ht="15.75" customHeight="1" x14ac:dyDescent="0.25"/>
    <row r="1498" ht="15.75" customHeight="1" x14ac:dyDescent="0.25"/>
    <row r="1499" ht="15.75" customHeight="1" x14ac:dyDescent="0.25"/>
    <row r="1500" ht="15.75" customHeight="1" x14ac:dyDescent="0.25"/>
    <row r="1501" ht="15.75" customHeight="1" x14ac:dyDescent="0.25"/>
    <row r="1502" ht="15.75" customHeight="1" x14ac:dyDescent="0.25"/>
    <row r="1503" ht="15.75" customHeight="1" x14ac:dyDescent="0.25"/>
    <row r="1504" ht="15.75" customHeight="1" x14ac:dyDescent="0.25"/>
    <row r="1505" ht="15.75" customHeight="1" x14ac:dyDescent="0.25"/>
    <row r="1506" ht="15.75" customHeight="1" x14ac:dyDescent="0.25"/>
    <row r="1507" ht="15.75" customHeight="1" x14ac:dyDescent="0.25"/>
    <row r="1508" ht="15.75" customHeight="1" x14ac:dyDescent="0.25"/>
    <row r="1509" ht="15.75" customHeight="1" x14ac:dyDescent="0.25"/>
    <row r="1510" ht="15.75" customHeight="1" x14ac:dyDescent="0.25"/>
    <row r="1511" ht="15.75" customHeight="1" x14ac:dyDescent="0.25"/>
    <row r="1512" ht="15.75" customHeight="1" x14ac:dyDescent="0.25"/>
    <row r="1513" ht="15.75" customHeight="1" x14ac:dyDescent="0.25"/>
    <row r="1514" ht="15.75" customHeight="1" x14ac:dyDescent="0.25"/>
    <row r="1515" ht="15.75" customHeight="1" x14ac:dyDescent="0.25"/>
    <row r="1516" ht="15.75" customHeight="1" x14ac:dyDescent="0.25"/>
    <row r="1517" ht="15.75" customHeight="1" x14ac:dyDescent="0.25"/>
    <row r="1518" ht="15.75" customHeight="1" x14ac:dyDescent="0.25"/>
    <row r="1519" ht="15.75" customHeight="1" x14ac:dyDescent="0.25"/>
    <row r="1520" ht="15.75" customHeight="1" x14ac:dyDescent="0.25"/>
    <row r="1521" ht="15.75" customHeight="1" x14ac:dyDescent="0.25"/>
    <row r="1522" ht="15.75" customHeight="1" x14ac:dyDescent="0.25"/>
    <row r="1523" ht="15.75" customHeight="1" x14ac:dyDescent="0.25"/>
    <row r="1524" ht="15.75" customHeight="1" x14ac:dyDescent="0.25"/>
    <row r="1525" ht="15.75" customHeight="1" x14ac:dyDescent="0.25"/>
    <row r="1526" ht="15.75" customHeight="1" x14ac:dyDescent="0.25"/>
    <row r="1527" ht="15.75" customHeight="1" x14ac:dyDescent="0.25"/>
    <row r="1528" ht="15.75" customHeight="1" x14ac:dyDescent="0.25"/>
    <row r="1529" ht="15.75" customHeight="1" x14ac:dyDescent="0.25"/>
    <row r="1530" ht="15.75" customHeight="1" x14ac:dyDescent="0.25"/>
    <row r="1531" ht="15.75" customHeight="1" x14ac:dyDescent="0.25"/>
    <row r="1532" ht="15.75" customHeight="1" x14ac:dyDescent="0.25"/>
    <row r="1533" ht="15.75" customHeight="1" x14ac:dyDescent="0.25"/>
    <row r="1534" ht="15.75" customHeight="1" x14ac:dyDescent="0.25"/>
    <row r="1535" ht="15.75" customHeight="1" x14ac:dyDescent="0.25"/>
    <row r="1536" ht="15.75" customHeight="1" x14ac:dyDescent="0.25"/>
    <row r="1537" ht="15.75" customHeight="1" x14ac:dyDescent="0.25"/>
    <row r="1538" ht="15.75" customHeight="1" x14ac:dyDescent="0.25"/>
    <row r="1539" ht="15.75" customHeight="1" x14ac:dyDescent="0.25"/>
    <row r="1540" ht="15.75" customHeight="1" x14ac:dyDescent="0.25"/>
    <row r="1541" ht="15.75" customHeight="1" x14ac:dyDescent="0.25"/>
    <row r="1542" ht="15.75" customHeight="1" x14ac:dyDescent="0.25"/>
    <row r="1543" ht="15.75" customHeight="1" x14ac:dyDescent="0.25"/>
    <row r="1544" ht="15.75" customHeight="1" x14ac:dyDescent="0.25"/>
    <row r="1545" ht="15.75" customHeight="1" x14ac:dyDescent="0.25"/>
    <row r="1546" ht="15.75" customHeight="1" x14ac:dyDescent="0.25"/>
    <row r="1547" ht="15.75" customHeight="1" x14ac:dyDescent="0.25"/>
    <row r="1548" ht="15.75" customHeight="1" x14ac:dyDescent="0.25"/>
    <row r="1549" ht="15.75" customHeight="1" x14ac:dyDescent="0.25"/>
    <row r="1550" ht="15.75" customHeight="1" x14ac:dyDescent="0.25"/>
    <row r="1551" ht="15.75" customHeight="1" x14ac:dyDescent="0.25"/>
    <row r="1552" ht="15.75" customHeight="1" x14ac:dyDescent="0.25"/>
    <row r="1553" ht="15.75" customHeight="1" x14ac:dyDescent="0.25"/>
    <row r="1554" ht="15.75" customHeight="1" x14ac:dyDescent="0.25"/>
    <row r="1555" ht="15.75" customHeight="1" x14ac:dyDescent="0.25"/>
    <row r="1556" ht="15.75" customHeight="1" x14ac:dyDescent="0.25"/>
    <row r="1557" ht="15.75" customHeight="1" x14ac:dyDescent="0.25"/>
    <row r="1558" ht="15.75" customHeight="1" x14ac:dyDescent="0.25"/>
    <row r="1559" ht="15.75" customHeight="1" x14ac:dyDescent="0.25"/>
    <row r="1560" ht="15.75" customHeight="1" x14ac:dyDescent="0.25"/>
    <row r="1561" ht="15.75" customHeight="1" x14ac:dyDescent="0.25"/>
    <row r="1562" ht="15.75" customHeight="1" x14ac:dyDescent="0.25"/>
    <row r="1563" ht="15.75" customHeight="1" x14ac:dyDescent="0.25"/>
    <row r="1564" ht="15.75" customHeight="1" x14ac:dyDescent="0.25"/>
    <row r="1565" ht="15.75" customHeight="1" x14ac:dyDescent="0.25"/>
    <row r="1566" ht="15.75" customHeight="1" x14ac:dyDescent="0.25"/>
    <row r="1567" ht="15.75" customHeight="1" x14ac:dyDescent="0.25"/>
    <row r="1568" ht="15.75" customHeight="1" x14ac:dyDescent="0.25"/>
    <row r="1569" ht="15.75" customHeight="1" x14ac:dyDescent="0.25"/>
    <row r="1570" ht="15.75" customHeight="1" x14ac:dyDescent="0.25"/>
    <row r="1571" ht="15.75" customHeight="1" x14ac:dyDescent="0.25"/>
    <row r="1572" ht="15.75" customHeight="1" x14ac:dyDescent="0.25"/>
    <row r="1573" ht="15.75" customHeight="1" x14ac:dyDescent="0.25"/>
    <row r="1574" ht="15.75" customHeight="1" x14ac:dyDescent="0.25"/>
    <row r="1575" ht="15.75" customHeight="1" x14ac:dyDescent="0.25"/>
    <row r="1576" ht="15.75" customHeight="1" x14ac:dyDescent="0.25"/>
    <row r="1577" ht="15.75" customHeight="1" x14ac:dyDescent="0.25"/>
    <row r="1578" ht="15.75" customHeight="1" x14ac:dyDescent="0.25"/>
    <row r="1579" ht="15.75" customHeight="1" x14ac:dyDescent="0.25"/>
    <row r="1580" ht="15.75" customHeight="1" x14ac:dyDescent="0.25"/>
    <row r="1581" ht="15.75" customHeight="1" x14ac:dyDescent="0.25"/>
    <row r="1582" ht="15.75" customHeight="1" x14ac:dyDescent="0.25"/>
    <row r="1583" ht="15.75" customHeight="1" x14ac:dyDescent="0.25"/>
    <row r="1584" ht="15.75" customHeight="1" x14ac:dyDescent="0.25"/>
    <row r="1585" ht="15.75" customHeight="1" x14ac:dyDescent="0.25"/>
    <row r="1586" ht="15.75" customHeight="1" x14ac:dyDescent="0.25"/>
    <row r="1587" ht="15.75" customHeight="1" x14ac:dyDescent="0.25"/>
    <row r="1588" ht="15.75" customHeight="1" x14ac:dyDescent="0.25"/>
    <row r="1589" ht="15.75" customHeight="1" x14ac:dyDescent="0.25"/>
    <row r="1590" ht="15.75" customHeight="1" x14ac:dyDescent="0.25"/>
    <row r="1591" ht="15.75" customHeight="1" x14ac:dyDescent="0.25"/>
    <row r="1592" ht="15.75" customHeight="1" x14ac:dyDescent="0.25"/>
    <row r="1593" ht="15.75" customHeight="1" x14ac:dyDescent="0.25"/>
    <row r="1594" ht="15.75" customHeight="1" x14ac:dyDescent="0.25"/>
    <row r="1595" ht="15.75" customHeight="1" x14ac:dyDescent="0.25"/>
    <row r="1596" ht="15.75" customHeight="1" x14ac:dyDescent="0.25"/>
    <row r="1597" ht="15.75" customHeight="1" x14ac:dyDescent="0.25"/>
    <row r="1598" ht="15.75" customHeight="1" x14ac:dyDescent="0.25"/>
    <row r="1599" ht="15.75" customHeight="1" x14ac:dyDescent="0.25"/>
    <row r="1600" ht="15.75" customHeight="1" x14ac:dyDescent="0.25"/>
    <row r="1601" ht="15.75" customHeight="1" x14ac:dyDescent="0.25"/>
    <row r="1602" ht="15.75" customHeight="1" x14ac:dyDescent="0.25"/>
    <row r="1603" ht="15.75" customHeight="1" x14ac:dyDescent="0.25"/>
    <row r="1604" ht="15.75" customHeight="1" x14ac:dyDescent="0.25"/>
    <row r="1605" ht="15.75" customHeight="1" x14ac:dyDescent="0.25"/>
    <row r="1606" ht="15.75" customHeight="1" x14ac:dyDescent="0.25"/>
    <row r="1607" ht="15.75" customHeight="1" x14ac:dyDescent="0.25"/>
    <row r="1608" ht="15.75" customHeight="1" x14ac:dyDescent="0.25"/>
    <row r="1609" ht="15.75" customHeight="1" x14ac:dyDescent="0.25"/>
    <row r="1610" ht="15.75" customHeight="1" x14ac:dyDescent="0.25"/>
    <row r="1611" ht="15.75" customHeight="1" x14ac:dyDescent="0.25"/>
    <row r="1612" ht="15.75" customHeight="1" x14ac:dyDescent="0.25"/>
    <row r="1613" ht="15.75" customHeight="1" x14ac:dyDescent="0.25"/>
    <row r="1614" ht="15.75" customHeight="1" x14ac:dyDescent="0.25"/>
    <row r="1615" ht="15.75" customHeight="1" x14ac:dyDescent="0.25"/>
    <row r="1616" ht="15.75" customHeight="1" x14ac:dyDescent="0.25"/>
    <row r="1617" ht="15.75" customHeight="1" x14ac:dyDescent="0.25"/>
    <row r="1618" ht="15.75" customHeight="1" x14ac:dyDescent="0.25"/>
    <row r="1619" ht="15.75" customHeight="1" x14ac:dyDescent="0.25"/>
    <row r="1620" ht="15.75" customHeight="1" x14ac:dyDescent="0.25"/>
    <row r="1621" ht="15.75" customHeight="1" x14ac:dyDescent="0.25"/>
    <row r="1622" ht="15.75" customHeight="1" x14ac:dyDescent="0.25"/>
    <row r="1623" ht="15.75" customHeight="1" x14ac:dyDescent="0.25"/>
    <row r="1624" ht="15.75" customHeight="1" x14ac:dyDescent="0.25"/>
    <row r="1625" ht="15.75" customHeight="1" x14ac:dyDescent="0.25"/>
    <row r="1626" ht="15.75" customHeight="1" x14ac:dyDescent="0.25"/>
    <row r="1627" ht="15.75" customHeight="1" x14ac:dyDescent="0.25"/>
    <row r="1628" ht="15.75" customHeight="1" x14ac:dyDescent="0.25"/>
    <row r="1629" ht="15.75" customHeight="1" x14ac:dyDescent="0.25"/>
    <row r="1630" ht="15.75" customHeight="1" x14ac:dyDescent="0.25"/>
    <row r="1631" ht="15.75" customHeight="1" x14ac:dyDescent="0.25"/>
    <row r="1632" ht="15.75" customHeight="1" x14ac:dyDescent="0.25"/>
    <row r="1633" ht="15.75" customHeight="1" x14ac:dyDescent="0.25"/>
    <row r="1634" ht="15.75" customHeight="1" x14ac:dyDescent="0.25"/>
    <row r="1635" ht="15.75" customHeight="1" x14ac:dyDescent="0.25"/>
    <row r="1636" ht="15.75" customHeight="1" x14ac:dyDescent="0.25"/>
    <row r="1637" ht="15.75" customHeight="1" x14ac:dyDescent="0.25"/>
    <row r="1638" ht="15.75" customHeight="1" x14ac:dyDescent="0.25"/>
    <row r="1639" ht="15.75" customHeight="1" x14ac:dyDescent="0.25"/>
    <row r="1640" ht="15.75" customHeight="1" x14ac:dyDescent="0.25"/>
    <row r="1641" ht="15.75" customHeight="1" x14ac:dyDescent="0.25"/>
    <row r="1642" ht="15.75" customHeight="1" x14ac:dyDescent="0.25"/>
    <row r="1643" ht="15.75" customHeight="1" x14ac:dyDescent="0.25"/>
    <row r="1644" ht="15.75" customHeight="1" x14ac:dyDescent="0.25"/>
    <row r="1645" ht="15.75" customHeight="1" x14ac:dyDescent="0.25"/>
    <row r="1646" ht="15.75" customHeight="1" x14ac:dyDescent="0.25"/>
    <row r="1647" ht="15.75" customHeight="1" x14ac:dyDescent="0.25"/>
    <row r="1648" ht="15.75" customHeight="1" x14ac:dyDescent="0.25"/>
    <row r="1649" ht="15.75" customHeight="1" x14ac:dyDescent="0.25"/>
    <row r="1650" ht="15.75" customHeight="1" x14ac:dyDescent="0.25"/>
    <row r="1651" ht="15.75" customHeight="1" x14ac:dyDescent="0.25"/>
    <row r="1652" ht="15.75" customHeight="1" x14ac:dyDescent="0.25"/>
    <row r="1653" ht="15.75" customHeight="1" x14ac:dyDescent="0.25"/>
    <row r="1654" ht="15.75" customHeight="1" x14ac:dyDescent="0.25"/>
    <row r="1655" ht="15.75" customHeight="1" x14ac:dyDescent="0.25"/>
    <row r="1656" ht="15.75" customHeight="1" x14ac:dyDescent="0.25"/>
    <row r="1657" ht="15.75" customHeight="1" x14ac:dyDescent="0.25"/>
    <row r="1658" ht="15.75" customHeight="1" x14ac:dyDescent="0.25"/>
    <row r="1659" ht="15.75" customHeight="1" x14ac:dyDescent="0.25"/>
    <row r="1660" ht="15.75" customHeight="1" x14ac:dyDescent="0.25"/>
    <row r="1661" ht="15.75" customHeight="1" x14ac:dyDescent="0.25"/>
    <row r="1662" ht="15.75" customHeight="1" x14ac:dyDescent="0.25"/>
    <row r="1663" ht="15.75" customHeight="1" x14ac:dyDescent="0.25"/>
    <row r="1664" ht="15.75" customHeight="1" x14ac:dyDescent="0.25"/>
    <row r="1665" ht="15.75" customHeight="1" x14ac:dyDescent="0.25"/>
    <row r="1666" ht="15.75" customHeight="1" x14ac:dyDescent="0.25"/>
    <row r="1667" ht="15.75" customHeight="1" x14ac:dyDescent="0.25"/>
    <row r="1668" ht="15.75" customHeight="1" x14ac:dyDescent="0.25"/>
    <row r="1669" ht="15.75" customHeight="1" x14ac:dyDescent="0.25"/>
    <row r="1670" ht="15.75" customHeight="1" x14ac:dyDescent="0.25"/>
    <row r="1671" ht="15.75" customHeight="1" x14ac:dyDescent="0.25"/>
    <row r="1672" ht="15.75" customHeight="1" x14ac:dyDescent="0.25"/>
    <row r="1673" ht="15.75" customHeight="1" x14ac:dyDescent="0.25"/>
    <row r="1674" ht="15.75" customHeight="1" x14ac:dyDescent="0.25"/>
    <row r="1675" ht="15.75" customHeight="1" x14ac:dyDescent="0.25"/>
    <row r="1676" ht="15.75" customHeight="1" x14ac:dyDescent="0.25"/>
    <row r="1677" ht="15.75" customHeight="1" x14ac:dyDescent="0.25"/>
    <row r="1678" ht="15.75" customHeight="1" x14ac:dyDescent="0.25"/>
    <row r="1679" ht="15.75" customHeight="1" x14ac:dyDescent="0.25"/>
    <row r="1680" ht="15.75" customHeight="1" x14ac:dyDescent="0.25"/>
    <row r="1681" ht="15.75" customHeight="1" x14ac:dyDescent="0.25"/>
    <row r="1682" ht="15.75" customHeight="1" x14ac:dyDescent="0.25"/>
    <row r="1683" ht="15.75" customHeight="1" x14ac:dyDescent="0.25"/>
    <row r="1684" ht="15.75" customHeight="1" x14ac:dyDescent="0.25"/>
    <row r="1685" ht="15.75" customHeight="1" x14ac:dyDescent="0.25"/>
    <row r="1686" ht="15.75" customHeight="1" x14ac:dyDescent="0.25"/>
    <row r="1687" ht="15.75" customHeight="1" x14ac:dyDescent="0.25"/>
    <row r="1688" ht="15.75" customHeight="1" x14ac:dyDescent="0.25"/>
    <row r="1689" ht="15.75" customHeight="1" x14ac:dyDescent="0.25"/>
    <row r="1690" ht="15.75" customHeight="1" x14ac:dyDescent="0.25"/>
    <row r="1691" ht="15.75" customHeight="1" x14ac:dyDescent="0.25"/>
    <row r="1692" ht="15.75" customHeight="1" x14ac:dyDescent="0.25"/>
    <row r="1693" ht="15.75" customHeight="1" x14ac:dyDescent="0.25"/>
    <row r="1694" ht="15.75" customHeight="1" x14ac:dyDescent="0.25"/>
    <row r="1695" ht="15.75" customHeight="1" x14ac:dyDescent="0.25"/>
    <row r="1696" ht="15.75" customHeight="1" x14ac:dyDescent="0.25"/>
    <row r="1697" ht="15.75" customHeight="1" x14ac:dyDescent="0.25"/>
    <row r="1698" ht="15.75" customHeight="1" x14ac:dyDescent="0.25"/>
    <row r="1699" ht="15.75" customHeight="1" x14ac:dyDescent="0.25"/>
    <row r="1700" ht="15.75" customHeight="1" x14ac:dyDescent="0.25"/>
    <row r="1701" ht="15.75" customHeight="1" x14ac:dyDescent="0.25"/>
    <row r="1702" ht="15.75" customHeight="1" x14ac:dyDescent="0.25"/>
    <row r="1703" ht="15.75" customHeight="1" x14ac:dyDescent="0.25"/>
    <row r="1704" ht="15.75" customHeight="1" x14ac:dyDescent="0.25"/>
    <row r="1705" ht="15.75" customHeight="1" x14ac:dyDescent="0.25"/>
    <row r="1706" ht="15.75" customHeight="1" x14ac:dyDescent="0.25"/>
    <row r="1707" ht="15.75" customHeight="1" x14ac:dyDescent="0.25"/>
    <row r="1708" ht="15.75" customHeight="1" x14ac:dyDescent="0.25"/>
    <row r="1709" ht="15.75" customHeight="1" x14ac:dyDescent="0.25"/>
    <row r="1710" ht="15.75" customHeight="1" x14ac:dyDescent="0.25"/>
    <row r="1711" ht="15.75" customHeight="1" x14ac:dyDescent="0.25"/>
    <row r="1712" ht="15.75" customHeight="1" x14ac:dyDescent="0.25"/>
    <row r="1713" ht="15.75" customHeight="1" x14ac:dyDescent="0.25"/>
    <row r="1714" ht="15.75" customHeight="1" x14ac:dyDescent="0.25"/>
    <row r="1715" ht="15.75" customHeight="1" x14ac:dyDescent="0.25"/>
    <row r="1716" ht="15.75" customHeight="1" x14ac:dyDescent="0.25"/>
    <row r="1717" ht="15.75" customHeight="1" x14ac:dyDescent="0.25"/>
    <row r="1718" ht="15.75" customHeight="1" x14ac:dyDescent="0.25"/>
    <row r="1719" ht="15.75" customHeight="1" x14ac:dyDescent="0.25"/>
    <row r="1720" ht="15.75" customHeight="1" x14ac:dyDescent="0.25"/>
    <row r="1721" ht="15.75" customHeight="1" x14ac:dyDescent="0.25"/>
    <row r="1722" ht="15.75" customHeight="1" x14ac:dyDescent="0.25"/>
    <row r="1723" ht="15.75" customHeight="1" x14ac:dyDescent="0.25"/>
    <row r="1724" ht="15.75" customHeight="1" x14ac:dyDescent="0.25"/>
    <row r="1725" ht="15.75" customHeight="1" x14ac:dyDescent="0.25"/>
    <row r="1726" ht="15.75" customHeight="1" x14ac:dyDescent="0.25"/>
    <row r="1727" ht="15.75" customHeight="1" x14ac:dyDescent="0.25"/>
    <row r="1728" ht="15.75" customHeight="1" x14ac:dyDescent="0.25"/>
    <row r="1729" ht="15.75" customHeight="1" x14ac:dyDescent="0.25"/>
    <row r="1730" ht="15.75" customHeight="1" x14ac:dyDescent="0.25"/>
    <row r="1731" ht="15.75" customHeight="1" x14ac:dyDescent="0.25"/>
    <row r="1732" ht="15.75" customHeight="1" x14ac:dyDescent="0.25"/>
    <row r="1733" ht="15.75" customHeight="1" x14ac:dyDescent="0.25"/>
    <row r="1734" ht="15.75" customHeight="1" x14ac:dyDescent="0.25"/>
    <row r="1735" ht="15.75" customHeight="1" x14ac:dyDescent="0.25"/>
    <row r="1736" ht="15.75" customHeight="1" x14ac:dyDescent="0.25"/>
    <row r="1737" ht="15.75" customHeight="1" x14ac:dyDescent="0.25"/>
    <row r="1738" ht="15.75" customHeight="1" x14ac:dyDescent="0.25"/>
    <row r="1739" ht="15.75" customHeight="1" x14ac:dyDescent="0.25"/>
    <row r="1740" ht="15.75" customHeight="1" x14ac:dyDescent="0.25"/>
    <row r="1741" ht="15.75" customHeight="1" x14ac:dyDescent="0.25"/>
    <row r="1742" ht="15.75" customHeight="1" x14ac:dyDescent="0.25"/>
    <row r="1743" ht="15.75" customHeight="1" x14ac:dyDescent="0.25"/>
    <row r="1744" ht="15.75" customHeight="1" x14ac:dyDescent="0.25"/>
    <row r="1745" ht="15.75" customHeight="1" x14ac:dyDescent="0.25"/>
    <row r="1746" ht="15.75" customHeight="1" x14ac:dyDescent="0.25"/>
    <row r="1747" ht="15.75" customHeight="1" x14ac:dyDescent="0.25"/>
    <row r="1748" ht="15.75" customHeight="1" x14ac:dyDescent="0.25"/>
    <row r="1749" ht="15.75" customHeight="1" x14ac:dyDescent="0.25"/>
    <row r="1750" ht="15.75" customHeight="1" x14ac:dyDescent="0.25"/>
    <row r="1751" ht="15.75" customHeight="1" x14ac:dyDescent="0.25"/>
    <row r="1752" ht="15.75" customHeight="1" x14ac:dyDescent="0.25"/>
    <row r="1753" ht="15.75" customHeight="1" x14ac:dyDescent="0.25"/>
    <row r="1754" ht="15.75" customHeight="1" x14ac:dyDescent="0.25"/>
    <row r="1755" ht="15.75" customHeight="1" x14ac:dyDescent="0.25"/>
    <row r="1756" ht="15.75" customHeight="1" x14ac:dyDescent="0.25"/>
    <row r="1757" ht="15.75" customHeight="1" x14ac:dyDescent="0.25"/>
    <row r="1758" ht="15.75" customHeight="1" x14ac:dyDescent="0.25"/>
    <row r="1759" ht="15.75" customHeight="1" x14ac:dyDescent="0.25"/>
    <row r="1760" ht="15.75" customHeight="1" x14ac:dyDescent="0.25"/>
    <row r="1761" ht="15.75" customHeight="1" x14ac:dyDescent="0.25"/>
    <row r="1762" ht="15.75" customHeight="1" x14ac:dyDescent="0.25"/>
    <row r="1763" ht="15.75" customHeight="1" x14ac:dyDescent="0.25"/>
    <row r="1764" ht="15.75" customHeight="1" x14ac:dyDescent="0.25"/>
    <row r="1765" ht="15.75" customHeight="1" x14ac:dyDescent="0.25"/>
    <row r="1766" ht="15.75" customHeight="1" x14ac:dyDescent="0.25"/>
    <row r="1767" ht="15.75" customHeight="1" x14ac:dyDescent="0.25"/>
    <row r="1768" ht="15.75" customHeight="1" x14ac:dyDescent="0.25"/>
    <row r="1769" ht="15.75" customHeight="1" x14ac:dyDescent="0.25"/>
    <row r="1770" ht="15.75" customHeight="1" x14ac:dyDescent="0.25"/>
    <row r="1771" ht="15.75" customHeight="1" x14ac:dyDescent="0.25"/>
    <row r="1772" ht="15.75" customHeight="1" x14ac:dyDescent="0.25"/>
    <row r="1773" ht="15.75" customHeight="1" x14ac:dyDescent="0.25"/>
    <row r="1774" ht="15.75" customHeight="1" x14ac:dyDescent="0.25"/>
    <row r="1775" ht="15.75" customHeight="1" x14ac:dyDescent="0.25"/>
    <row r="1776" ht="15.75" customHeight="1" x14ac:dyDescent="0.25"/>
    <row r="1777" ht="15.75" customHeight="1" x14ac:dyDescent="0.25"/>
    <row r="1778" ht="15.75" customHeight="1" x14ac:dyDescent="0.25"/>
    <row r="1779" ht="15.75" customHeight="1" x14ac:dyDescent="0.25"/>
    <row r="1780" ht="15.75" customHeight="1" x14ac:dyDescent="0.25"/>
    <row r="1781" ht="15.75" customHeight="1" x14ac:dyDescent="0.25"/>
    <row r="1782" ht="15.75" customHeight="1" x14ac:dyDescent="0.25"/>
    <row r="1783" ht="15.75" customHeight="1" x14ac:dyDescent="0.25"/>
    <row r="1784" ht="15.75" customHeight="1" x14ac:dyDescent="0.25"/>
    <row r="1785" ht="15.75" customHeight="1" x14ac:dyDescent="0.25"/>
    <row r="1786" ht="15.75" customHeight="1" x14ac:dyDescent="0.25"/>
    <row r="1787" ht="15.75" customHeight="1" x14ac:dyDescent="0.25"/>
    <row r="1788" ht="15.75" customHeight="1" x14ac:dyDescent="0.25"/>
    <row r="1789" ht="15.75" customHeight="1" x14ac:dyDescent="0.25"/>
    <row r="1790" ht="15.75" customHeight="1" x14ac:dyDescent="0.25"/>
    <row r="1791" ht="15.75" customHeight="1" x14ac:dyDescent="0.25"/>
    <row r="1792" ht="15.75" customHeight="1" x14ac:dyDescent="0.25"/>
    <row r="1793" ht="15.75" customHeight="1" x14ac:dyDescent="0.25"/>
    <row r="1794" ht="15.75" customHeight="1" x14ac:dyDescent="0.25"/>
    <row r="1795" ht="15.75" customHeight="1" x14ac:dyDescent="0.25"/>
    <row r="1796" ht="15.75" customHeight="1" x14ac:dyDescent="0.25"/>
    <row r="1797" ht="15.75" customHeight="1" x14ac:dyDescent="0.25"/>
    <row r="1798" ht="15.75" customHeight="1" x14ac:dyDescent="0.25"/>
    <row r="1799" ht="15.75" customHeight="1" x14ac:dyDescent="0.25"/>
    <row r="1800" ht="15.75" customHeight="1" x14ac:dyDescent="0.25"/>
    <row r="1801" ht="15.75" customHeight="1" x14ac:dyDescent="0.25"/>
    <row r="1802" ht="15.75" customHeight="1" x14ac:dyDescent="0.25"/>
    <row r="1803" ht="15.75" customHeight="1" x14ac:dyDescent="0.25"/>
    <row r="1804" ht="15.75" customHeight="1" x14ac:dyDescent="0.25"/>
    <row r="1805" ht="15.75" customHeight="1" x14ac:dyDescent="0.25"/>
    <row r="1806" ht="15.75" customHeight="1" x14ac:dyDescent="0.25"/>
    <row r="1807" ht="15.75" customHeight="1" x14ac:dyDescent="0.25"/>
    <row r="1808" ht="15.75" customHeight="1" x14ac:dyDescent="0.25"/>
    <row r="1809" ht="15.75" customHeight="1" x14ac:dyDescent="0.25"/>
    <row r="1810" ht="15.75" customHeight="1" x14ac:dyDescent="0.25"/>
    <row r="1811" ht="15.75" customHeight="1" x14ac:dyDescent="0.25"/>
    <row r="1812" ht="15.75" customHeight="1" x14ac:dyDescent="0.25"/>
    <row r="1813" ht="15.75" customHeight="1" x14ac:dyDescent="0.25"/>
    <row r="1814" ht="15.75" customHeight="1" x14ac:dyDescent="0.25"/>
    <row r="1815" ht="15.75" customHeight="1" x14ac:dyDescent="0.25"/>
    <row r="1816" ht="15.75" customHeight="1" x14ac:dyDescent="0.25"/>
    <row r="1817" ht="15.75" customHeight="1" x14ac:dyDescent="0.25"/>
    <row r="1818" ht="15.75" customHeight="1" x14ac:dyDescent="0.25"/>
    <row r="1819" ht="15.75" customHeight="1" x14ac:dyDescent="0.25"/>
    <row r="1820" ht="15.75" customHeight="1" x14ac:dyDescent="0.25"/>
    <row r="1821" ht="15.75" customHeight="1" x14ac:dyDescent="0.25"/>
    <row r="1822" ht="15.75" customHeight="1" x14ac:dyDescent="0.25"/>
    <row r="1823" ht="15.75" customHeight="1" x14ac:dyDescent="0.25"/>
    <row r="1824" ht="15.75" customHeight="1" x14ac:dyDescent="0.25"/>
    <row r="1825" ht="15.75" customHeight="1" x14ac:dyDescent="0.25"/>
    <row r="1826" ht="15.75" customHeight="1" x14ac:dyDescent="0.25"/>
    <row r="1827" ht="15.75" customHeight="1" x14ac:dyDescent="0.25"/>
    <row r="1828" ht="15.75" customHeight="1" x14ac:dyDescent="0.25"/>
    <row r="1829" ht="15.75" customHeight="1" x14ac:dyDescent="0.25"/>
    <row r="1830" ht="15.75" customHeight="1" x14ac:dyDescent="0.25"/>
    <row r="1831" ht="15.75" customHeight="1" x14ac:dyDescent="0.25"/>
    <row r="1832" ht="15.75" customHeight="1" x14ac:dyDescent="0.25"/>
    <row r="1833" ht="15.75" customHeight="1" x14ac:dyDescent="0.25"/>
    <row r="1834" ht="15.75" customHeight="1" x14ac:dyDescent="0.25"/>
    <row r="1835" ht="15.75" customHeight="1" x14ac:dyDescent="0.25"/>
    <row r="1836" ht="15.75" customHeight="1" x14ac:dyDescent="0.25"/>
    <row r="1837" ht="15.75" customHeight="1" x14ac:dyDescent="0.25"/>
    <row r="1838" ht="15.75" customHeight="1" x14ac:dyDescent="0.25"/>
    <row r="1839" ht="15.75" customHeight="1" x14ac:dyDescent="0.25"/>
    <row r="1840" ht="15.75" customHeight="1" x14ac:dyDescent="0.25"/>
    <row r="1841" ht="15.75" customHeight="1" x14ac:dyDescent="0.25"/>
    <row r="1842" ht="15.75" customHeight="1" x14ac:dyDescent="0.25"/>
    <row r="1843" ht="15.75" customHeight="1" x14ac:dyDescent="0.25"/>
    <row r="1844" ht="15.75" customHeight="1" x14ac:dyDescent="0.25"/>
    <row r="1845" ht="15.75" customHeight="1" x14ac:dyDescent="0.25"/>
    <row r="1846" ht="15.75" customHeight="1" x14ac:dyDescent="0.25"/>
    <row r="1847" ht="15.75" customHeight="1" x14ac:dyDescent="0.25"/>
    <row r="1848" ht="15.75" customHeight="1" x14ac:dyDescent="0.25"/>
    <row r="1849" ht="15.75" customHeight="1" x14ac:dyDescent="0.25"/>
    <row r="1850" ht="15.75" customHeight="1" x14ac:dyDescent="0.25"/>
    <row r="1851" ht="15.75" customHeight="1" x14ac:dyDescent="0.25"/>
    <row r="1852" ht="15.75" customHeight="1" x14ac:dyDescent="0.25"/>
    <row r="1853" ht="15.75" customHeight="1" x14ac:dyDescent="0.25"/>
    <row r="1854" ht="15.75" customHeight="1" x14ac:dyDescent="0.25"/>
    <row r="1855" ht="15.75" customHeight="1" x14ac:dyDescent="0.25"/>
    <row r="1856" ht="15.75" customHeight="1" x14ac:dyDescent="0.25"/>
    <row r="1857" ht="15.75" customHeight="1" x14ac:dyDescent="0.25"/>
    <row r="1858" ht="15.75" customHeight="1" x14ac:dyDescent="0.25"/>
    <row r="1859" ht="15.75" customHeight="1" x14ac:dyDescent="0.25"/>
    <row r="1860" ht="15.75" customHeight="1" x14ac:dyDescent="0.25"/>
    <row r="1861" ht="15.75" customHeight="1" x14ac:dyDescent="0.25"/>
    <row r="1862" ht="15.75" customHeight="1" x14ac:dyDescent="0.25"/>
    <row r="1863" ht="15.75" customHeight="1" x14ac:dyDescent="0.25"/>
    <row r="1864" ht="15.75" customHeight="1" x14ac:dyDescent="0.25"/>
    <row r="1865" ht="15.75" customHeight="1" x14ac:dyDescent="0.25"/>
    <row r="1866" ht="15.75" customHeight="1" x14ac:dyDescent="0.25"/>
    <row r="1867" ht="15.75" customHeight="1" x14ac:dyDescent="0.25"/>
    <row r="1868" ht="15.75" customHeight="1" x14ac:dyDescent="0.25"/>
    <row r="1869" ht="15.75" customHeight="1" x14ac:dyDescent="0.25"/>
    <row r="1870" ht="15.75" customHeight="1" x14ac:dyDescent="0.25"/>
    <row r="1871" ht="15.75" customHeight="1" x14ac:dyDescent="0.25"/>
    <row r="1872" ht="15.75" customHeight="1" x14ac:dyDescent="0.25"/>
    <row r="1873" ht="15.75" customHeight="1" x14ac:dyDescent="0.25"/>
    <row r="1874" ht="15.75" customHeight="1" x14ac:dyDescent="0.25"/>
    <row r="1875" ht="15.75" customHeight="1" x14ac:dyDescent="0.25"/>
    <row r="1876" ht="15.75" customHeight="1" x14ac:dyDescent="0.25"/>
    <row r="1877" ht="15.75" customHeight="1" x14ac:dyDescent="0.25"/>
    <row r="1878" ht="15.75" customHeight="1" x14ac:dyDescent="0.25"/>
    <row r="1879" ht="15.75" customHeight="1" x14ac:dyDescent="0.25"/>
    <row r="1880" ht="15.75" customHeight="1" x14ac:dyDescent="0.25"/>
    <row r="1881" ht="15.75" customHeight="1" x14ac:dyDescent="0.25"/>
    <row r="1882" ht="15.75" customHeight="1" x14ac:dyDescent="0.25"/>
    <row r="1883" ht="15.75" customHeight="1" x14ac:dyDescent="0.25"/>
    <row r="1884" ht="15.75" customHeight="1" x14ac:dyDescent="0.25"/>
    <row r="1885" ht="15.75" customHeight="1" x14ac:dyDescent="0.25"/>
    <row r="1886" ht="15.75" customHeight="1" x14ac:dyDescent="0.25"/>
    <row r="1887" ht="15.75" customHeight="1" x14ac:dyDescent="0.25"/>
    <row r="1888" ht="15.75" customHeight="1" x14ac:dyDescent="0.25"/>
    <row r="1889" ht="15.75" customHeight="1" x14ac:dyDescent="0.25"/>
    <row r="1890" ht="15.75" customHeight="1" x14ac:dyDescent="0.25"/>
    <row r="1891" ht="15.75" customHeight="1" x14ac:dyDescent="0.25"/>
    <row r="1892" ht="15.75" customHeight="1" x14ac:dyDescent="0.25"/>
    <row r="1893" ht="15.75" customHeight="1" x14ac:dyDescent="0.25"/>
    <row r="1894" ht="15.75" customHeight="1" x14ac:dyDescent="0.25"/>
    <row r="1895" ht="15.75" customHeight="1" x14ac:dyDescent="0.25"/>
    <row r="1896" ht="15.75" customHeight="1" x14ac:dyDescent="0.25"/>
    <row r="1897" ht="15.75" customHeight="1" x14ac:dyDescent="0.25"/>
    <row r="1898" ht="15.75" customHeight="1" x14ac:dyDescent="0.25"/>
    <row r="1899" ht="15.75" customHeight="1" x14ac:dyDescent="0.25"/>
    <row r="1900" ht="15.75" customHeight="1" x14ac:dyDescent="0.25"/>
    <row r="1901" ht="15.75" customHeight="1" x14ac:dyDescent="0.25"/>
    <row r="1902" ht="15.75" customHeight="1" x14ac:dyDescent="0.25"/>
    <row r="1903" ht="15.75" customHeight="1" x14ac:dyDescent="0.25"/>
    <row r="1904" ht="15.75" customHeight="1" x14ac:dyDescent="0.25"/>
    <row r="1905" ht="15.75" customHeight="1" x14ac:dyDescent="0.25"/>
    <row r="1906" ht="15.75" customHeight="1" x14ac:dyDescent="0.25"/>
    <row r="1907" ht="15.75" customHeight="1" x14ac:dyDescent="0.25"/>
    <row r="1908" ht="15.75" customHeight="1" x14ac:dyDescent="0.25"/>
    <row r="1909" ht="15.75" customHeight="1" x14ac:dyDescent="0.25"/>
    <row r="1910" ht="15.75" customHeight="1" x14ac:dyDescent="0.25"/>
    <row r="1911" ht="15.75" customHeight="1" x14ac:dyDescent="0.25"/>
    <row r="1912" ht="15.75" customHeight="1" x14ac:dyDescent="0.25"/>
    <row r="1913" ht="15.75" customHeight="1" x14ac:dyDescent="0.25"/>
    <row r="1914" ht="15.75" customHeight="1" x14ac:dyDescent="0.25"/>
    <row r="1915" ht="15.75" customHeight="1" x14ac:dyDescent="0.25"/>
    <row r="1916" ht="15.75" customHeight="1" x14ac:dyDescent="0.25"/>
    <row r="1917" ht="15.75" customHeight="1" x14ac:dyDescent="0.25"/>
    <row r="1918" ht="15.75" customHeight="1" x14ac:dyDescent="0.25"/>
    <row r="1919" ht="15.75" customHeight="1" x14ac:dyDescent="0.25"/>
    <row r="1920" ht="15.75" customHeight="1" x14ac:dyDescent="0.25"/>
    <row r="1921" ht="15.75" customHeight="1" x14ac:dyDescent="0.25"/>
    <row r="1922" ht="15.75" customHeight="1" x14ac:dyDescent="0.25"/>
    <row r="1923" ht="15.75" customHeight="1" x14ac:dyDescent="0.25"/>
    <row r="1924" ht="15.75" customHeight="1" x14ac:dyDescent="0.25"/>
    <row r="1925" ht="15.75" customHeight="1" x14ac:dyDescent="0.25"/>
    <row r="1926" ht="15.75" customHeight="1" x14ac:dyDescent="0.25"/>
    <row r="1927" ht="15.75" customHeight="1" x14ac:dyDescent="0.25"/>
    <row r="1928" ht="15.75" customHeight="1" x14ac:dyDescent="0.25"/>
    <row r="1929" ht="15.75" customHeight="1" x14ac:dyDescent="0.25"/>
    <row r="1930" ht="15.75" customHeight="1" x14ac:dyDescent="0.25"/>
    <row r="1931" ht="15.75" customHeight="1" x14ac:dyDescent="0.25"/>
    <row r="1932" ht="15.75" customHeight="1" x14ac:dyDescent="0.25"/>
    <row r="1933" ht="15.75" customHeight="1" x14ac:dyDescent="0.25"/>
    <row r="1934" ht="15.75" customHeight="1" x14ac:dyDescent="0.25"/>
    <row r="1935" ht="15.75" customHeight="1" x14ac:dyDescent="0.25"/>
    <row r="1936" ht="15.75" customHeight="1" x14ac:dyDescent="0.25"/>
    <row r="1937" ht="15.75" customHeight="1" x14ac:dyDescent="0.25"/>
    <row r="1938" ht="15.75" customHeight="1" x14ac:dyDescent="0.25"/>
    <row r="1939" ht="15.75" customHeight="1" x14ac:dyDescent="0.25"/>
    <row r="1940" ht="15.75" customHeight="1" x14ac:dyDescent="0.25"/>
    <row r="1941" ht="15.75" customHeight="1" x14ac:dyDescent="0.25"/>
    <row r="1942" ht="15.75" customHeight="1" x14ac:dyDescent="0.25"/>
    <row r="1943" ht="15.75" customHeight="1" x14ac:dyDescent="0.25"/>
    <row r="1944" ht="15.75" customHeight="1" x14ac:dyDescent="0.25"/>
    <row r="1945" ht="15.75" customHeight="1" x14ac:dyDescent="0.25"/>
    <row r="1946" ht="15.75" customHeight="1" x14ac:dyDescent="0.25"/>
    <row r="1947" ht="15.75" customHeight="1" x14ac:dyDescent="0.25"/>
    <row r="1948" ht="15.75" customHeight="1" x14ac:dyDescent="0.25"/>
    <row r="1949" ht="15.75" customHeight="1" x14ac:dyDescent="0.25"/>
    <row r="1950" ht="15.75" customHeight="1" x14ac:dyDescent="0.25"/>
    <row r="1951" ht="15.75" customHeight="1" x14ac:dyDescent="0.25"/>
    <row r="1952" ht="15.75" customHeight="1" x14ac:dyDescent="0.25"/>
    <row r="1953" ht="15.75" customHeight="1" x14ac:dyDescent="0.25"/>
    <row r="1954" ht="15.75" customHeight="1" x14ac:dyDescent="0.25"/>
    <row r="1955" ht="15.75" customHeight="1" x14ac:dyDescent="0.25"/>
    <row r="1956" ht="15.75" customHeight="1" x14ac:dyDescent="0.25"/>
    <row r="1957" ht="15.75" customHeight="1" x14ac:dyDescent="0.25"/>
    <row r="1958" ht="15.75" customHeight="1" x14ac:dyDescent="0.25"/>
    <row r="1959" ht="15.75" customHeight="1" x14ac:dyDescent="0.25"/>
    <row r="1960" ht="15.75" customHeight="1" x14ac:dyDescent="0.25"/>
    <row r="1961" ht="15.75" customHeight="1" x14ac:dyDescent="0.25"/>
    <row r="1962" ht="15.75" customHeight="1" x14ac:dyDescent="0.25"/>
    <row r="1963" ht="15.75" customHeight="1" x14ac:dyDescent="0.25"/>
    <row r="1964" ht="15.75" customHeight="1" x14ac:dyDescent="0.25"/>
    <row r="1965" ht="15.75" customHeight="1" x14ac:dyDescent="0.25"/>
    <row r="1966" ht="15.75" customHeight="1" x14ac:dyDescent="0.25"/>
    <row r="1967" ht="15.75" customHeight="1" x14ac:dyDescent="0.25"/>
    <row r="1968" ht="15.75" customHeight="1" x14ac:dyDescent="0.25"/>
    <row r="1969" ht="15.75" customHeight="1" x14ac:dyDescent="0.25"/>
    <row r="1970" ht="15.75" customHeight="1" x14ac:dyDescent="0.25"/>
    <row r="1971" ht="15.75" customHeight="1" x14ac:dyDescent="0.25"/>
    <row r="1972" ht="15.75" customHeight="1" x14ac:dyDescent="0.25"/>
    <row r="1973" ht="15.75" customHeight="1" x14ac:dyDescent="0.25"/>
    <row r="1974" ht="15.75" customHeight="1" x14ac:dyDescent="0.25"/>
    <row r="1975" ht="15.75" customHeight="1" x14ac:dyDescent="0.25"/>
    <row r="1976" ht="15.75" customHeight="1" x14ac:dyDescent="0.25"/>
    <row r="1977" ht="15.75" customHeight="1" x14ac:dyDescent="0.25"/>
    <row r="1978" ht="15.75" customHeight="1" x14ac:dyDescent="0.25"/>
    <row r="1979" ht="15.75" customHeight="1" x14ac:dyDescent="0.25"/>
    <row r="1980" ht="15.75" customHeight="1" x14ac:dyDescent="0.25"/>
    <row r="1981" ht="15.75" customHeight="1" x14ac:dyDescent="0.25"/>
    <row r="1982" ht="15.75" customHeight="1" x14ac:dyDescent="0.25"/>
    <row r="1983" ht="15.75" customHeight="1" x14ac:dyDescent="0.25"/>
    <row r="1984" ht="15.75" customHeight="1" x14ac:dyDescent="0.25"/>
    <row r="1985" ht="15.75" customHeight="1" x14ac:dyDescent="0.25"/>
    <row r="1986" ht="15.75" customHeight="1" x14ac:dyDescent="0.25"/>
    <row r="1987" ht="15.75" customHeight="1" x14ac:dyDescent="0.25"/>
    <row r="1988" ht="15.75" customHeight="1" x14ac:dyDescent="0.25"/>
    <row r="1989" ht="15.75" customHeight="1" x14ac:dyDescent="0.25"/>
    <row r="1990" ht="15.75" customHeight="1" x14ac:dyDescent="0.25"/>
    <row r="1991" ht="15.75" customHeight="1" x14ac:dyDescent="0.25"/>
    <row r="1992" ht="15.75" customHeight="1" x14ac:dyDescent="0.25"/>
    <row r="1993" ht="15.75" customHeight="1" x14ac:dyDescent="0.25"/>
    <row r="1994" ht="15.75" customHeight="1" x14ac:dyDescent="0.25"/>
    <row r="1995" ht="15.75" customHeight="1" x14ac:dyDescent="0.25"/>
    <row r="1996" ht="15.75" customHeight="1" x14ac:dyDescent="0.25"/>
    <row r="1997" ht="15.75" customHeight="1" x14ac:dyDescent="0.25"/>
    <row r="1998" ht="15.75" customHeight="1" x14ac:dyDescent="0.25"/>
    <row r="1999" ht="15.75" customHeight="1" x14ac:dyDescent="0.25"/>
    <row r="2000" ht="15.75" customHeight="1" x14ac:dyDescent="0.25"/>
    <row r="2001" ht="15.75" customHeight="1" x14ac:dyDescent="0.25"/>
    <row r="2002" ht="15.75" customHeight="1" x14ac:dyDescent="0.25"/>
    <row r="2003" ht="15.75" customHeight="1" x14ac:dyDescent="0.25"/>
    <row r="2004" ht="15.75" customHeight="1" x14ac:dyDescent="0.25"/>
    <row r="2005" ht="15.75" customHeight="1" x14ac:dyDescent="0.25"/>
    <row r="2006" ht="15.75" customHeight="1" x14ac:dyDescent="0.25"/>
    <row r="2007" ht="15.75" customHeight="1" x14ac:dyDescent="0.25"/>
    <row r="2008" ht="15.75" customHeight="1" x14ac:dyDescent="0.25"/>
    <row r="2009" ht="15.75" customHeight="1" x14ac:dyDescent="0.25"/>
    <row r="2010" ht="15.75" customHeight="1" x14ac:dyDescent="0.25"/>
    <row r="2011" ht="15.75" customHeight="1" x14ac:dyDescent="0.25"/>
    <row r="2012" ht="15.75" customHeight="1" x14ac:dyDescent="0.25"/>
    <row r="2013" ht="15.75" customHeight="1" x14ac:dyDescent="0.25"/>
    <row r="2014" ht="15.75" customHeight="1" x14ac:dyDescent="0.25"/>
    <row r="2015" ht="15.75" customHeight="1" x14ac:dyDescent="0.25"/>
    <row r="2016" ht="15.75" customHeight="1" x14ac:dyDescent="0.25"/>
    <row r="2017" ht="15.75" customHeight="1" x14ac:dyDescent="0.25"/>
    <row r="2018" ht="15.75" customHeight="1" x14ac:dyDescent="0.25"/>
    <row r="2019" ht="15.75" customHeight="1" x14ac:dyDescent="0.25"/>
    <row r="2020" ht="15.75" customHeight="1" x14ac:dyDescent="0.25"/>
    <row r="2021" ht="15.75" customHeight="1" x14ac:dyDescent="0.25"/>
    <row r="2022" ht="15.75" customHeight="1" x14ac:dyDescent="0.25"/>
    <row r="2023" ht="15.75" customHeight="1" x14ac:dyDescent="0.25"/>
    <row r="2024" ht="15.75" customHeight="1" x14ac:dyDescent="0.25"/>
    <row r="2025" ht="15.75" customHeight="1" x14ac:dyDescent="0.25"/>
    <row r="2026" ht="15.75" customHeight="1" x14ac:dyDescent="0.25"/>
    <row r="2027" ht="15.75" customHeight="1" x14ac:dyDescent="0.25"/>
    <row r="2028" ht="15.75" customHeight="1" x14ac:dyDescent="0.25"/>
    <row r="2029" ht="15.75" customHeight="1" x14ac:dyDescent="0.25"/>
    <row r="2030" ht="15.75" customHeight="1" x14ac:dyDescent="0.25"/>
    <row r="2031" ht="15.75" customHeight="1" x14ac:dyDescent="0.25"/>
    <row r="2032" ht="15.75" customHeight="1" x14ac:dyDescent="0.25"/>
    <row r="2033" ht="15.75" customHeight="1" x14ac:dyDescent="0.25"/>
    <row r="2034" ht="15.75" customHeight="1" x14ac:dyDescent="0.25"/>
    <row r="2035" ht="15.75" customHeight="1" x14ac:dyDescent="0.25"/>
    <row r="2036" ht="15.75" customHeight="1" x14ac:dyDescent="0.25"/>
    <row r="2037" ht="15.75" customHeight="1" x14ac:dyDescent="0.25"/>
    <row r="2038" ht="15.75" customHeight="1" x14ac:dyDescent="0.25"/>
    <row r="2039" ht="15.75" customHeight="1" x14ac:dyDescent="0.25"/>
    <row r="2040" ht="15.75" customHeight="1" x14ac:dyDescent="0.25"/>
    <row r="2041" ht="15.75" customHeight="1" x14ac:dyDescent="0.25"/>
    <row r="2042" ht="15.75" customHeight="1" x14ac:dyDescent="0.25"/>
    <row r="2043" ht="15.75" customHeight="1" x14ac:dyDescent="0.25"/>
    <row r="2044" ht="15.75" customHeight="1" x14ac:dyDescent="0.25"/>
    <row r="2045" ht="15.75" customHeight="1" x14ac:dyDescent="0.25"/>
    <row r="2046" ht="15.75" customHeight="1" x14ac:dyDescent="0.25"/>
    <row r="2047" ht="15.75" customHeight="1" x14ac:dyDescent="0.25"/>
    <row r="2048" ht="15.75" customHeight="1" x14ac:dyDescent="0.25"/>
    <row r="2049" ht="15.75" customHeight="1" x14ac:dyDescent="0.25"/>
    <row r="2050" ht="15.75" customHeight="1" x14ac:dyDescent="0.25"/>
    <row r="2051" ht="15.75" customHeight="1" x14ac:dyDescent="0.25"/>
    <row r="2052" ht="15.75" customHeight="1" x14ac:dyDescent="0.25"/>
    <row r="2053" ht="15.75" customHeight="1" x14ac:dyDescent="0.25"/>
    <row r="2054" ht="15.75" customHeight="1" x14ac:dyDescent="0.25"/>
    <row r="2055" ht="15.75" customHeight="1" x14ac:dyDescent="0.25"/>
    <row r="2056" ht="15.75" customHeight="1" x14ac:dyDescent="0.25"/>
    <row r="2057" ht="15.75" customHeight="1" x14ac:dyDescent="0.25"/>
    <row r="2058" ht="15.75" customHeight="1" x14ac:dyDescent="0.25"/>
    <row r="2059" ht="15.75" customHeight="1" x14ac:dyDescent="0.25"/>
    <row r="2060" ht="15.75" customHeight="1" x14ac:dyDescent="0.25"/>
    <row r="2061" ht="15.75" customHeight="1" x14ac:dyDescent="0.25"/>
    <row r="2062" ht="15.75" customHeight="1" x14ac:dyDescent="0.25"/>
    <row r="2063" ht="15.75" customHeight="1" x14ac:dyDescent="0.25"/>
    <row r="2064" ht="15.75" customHeight="1" x14ac:dyDescent="0.25"/>
    <row r="2065" ht="15.75" customHeight="1" x14ac:dyDescent="0.25"/>
    <row r="2066" ht="15.75" customHeight="1" x14ac:dyDescent="0.25"/>
    <row r="2067" ht="15.75" customHeight="1" x14ac:dyDescent="0.25"/>
    <row r="2068" ht="15.75" customHeight="1" x14ac:dyDescent="0.25"/>
    <row r="2069" ht="15.75" customHeight="1" x14ac:dyDescent="0.25"/>
    <row r="2070" ht="15.75" customHeight="1" x14ac:dyDescent="0.25"/>
    <row r="2071" ht="15.75" customHeight="1" x14ac:dyDescent="0.25"/>
    <row r="2072" ht="15.75" customHeight="1" x14ac:dyDescent="0.25"/>
    <row r="2073" ht="15.75" customHeight="1" x14ac:dyDescent="0.25"/>
    <row r="2074" ht="15.75" customHeight="1" x14ac:dyDescent="0.25"/>
    <row r="2075" ht="15.75" customHeight="1" x14ac:dyDescent="0.25"/>
    <row r="2076" ht="15.75" customHeight="1" x14ac:dyDescent="0.25"/>
    <row r="2077" ht="15.75" customHeight="1" x14ac:dyDescent="0.25"/>
    <row r="2078" ht="15.75" customHeight="1" x14ac:dyDescent="0.25"/>
    <row r="2079" ht="15.75" customHeight="1" x14ac:dyDescent="0.25"/>
    <row r="2080" ht="15.75" customHeight="1" x14ac:dyDescent="0.25"/>
    <row r="2081" ht="15.75" customHeight="1" x14ac:dyDescent="0.25"/>
    <row r="2082" ht="15.75" customHeight="1" x14ac:dyDescent="0.25"/>
    <row r="2083" ht="15.75" customHeight="1" x14ac:dyDescent="0.25"/>
    <row r="2084" ht="15.75" customHeight="1" x14ac:dyDescent="0.25"/>
    <row r="2085" ht="15.75" customHeight="1" x14ac:dyDescent="0.25"/>
    <row r="2086" ht="15.75" customHeight="1" x14ac:dyDescent="0.25"/>
    <row r="2087" ht="15.75" customHeight="1" x14ac:dyDescent="0.25"/>
    <row r="2088" ht="15.75" customHeight="1" x14ac:dyDescent="0.25"/>
    <row r="2089" ht="15.75" customHeight="1" x14ac:dyDescent="0.25"/>
    <row r="2090" ht="15.75" customHeight="1" x14ac:dyDescent="0.25"/>
    <row r="2091" ht="15.75" customHeight="1" x14ac:dyDescent="0.25"/>
    <row r="2092" ht="15.75" customHeight="1" x14ac:dyDescent="0.25"/>
    <row r="2093" ht="15.75" customHeight="1" x14ac:dyDescent="0.25"/>
    <row r="2094" ht="15.75" customHeight="1" x14ac:dyDescent="0.25"/>
    <row r="2095" ht="15.75" customHeight="1" x14ac:dyDescent="0.25"/>
    <row r="2096" ht="15.75" customHeight="1" x14ac:dyDescent="0.25"/>
    <row r="2097" ht="15.75" customHeight="1" x14ac:dyDescent="0.25"/>
    <row r="2098" ht="15.75" customHeight="1" x14ac:dyDescent="0.25"/>
    <row r="2099" ht="15.75" customHeight="1" x14ac:dyDescent="0.25"/>
    <row r="2100" ht="15.75" customHeight="1" x14ac:dyDescent="0.25"/>
    <row r="2101" ht="15.75" customHeight="1" x14ac:dyDescent="0.25"/>
    <row r="2102" ht="15.75" customHeight="1" x14ac:dyDescent="0.25"/>
    <row r="2103" ht="15.75" customHeight="1" x14ac:dyDescent="0.25"/>
    <row r="2104" ht="15.75" customHeight="1" x14ac:dyDescent="0.25"/>
    <row r="2105" ht="15.75" customHeight="1" x14ac:dyDescent="0.25"/>
    <row r="2106" ht="15.75" customHeight="1" x14ac:dyDescent="0.25"/>
    <row r="2107" ht="15.75" customHeight="1" x14ac:dyDescent="0.25"/>
    <row r="2108" ht="15.75" customHeight="1" x14ac:dyDescent="0.25"/>
    <row r="2109" ht="15.75" customHeight="1" x14ac:dyDescent="0.25"/>
    <row r="2110" ht="15.75" customHeight="1" x14ac:dyDescent="0.25"/>
    <row r="2111" ht="15.75" customHeight="1" x14ac:dyDescent="0.25"/>
    <row r="2112" ht="15.75" customHeight="1" x14ac:dyDescent="0.25"/>
    <row r="2113" ht="15.75" customHeight="1" x14ac:dyDescent="0.25"/>
    <row r="2114" ht="15.75" customHeight="1" x14ac:dyDescent="0.25"/>
    <row r="2115" ht="15.75" customHeight="1" x14ac:dyDescent="0.25"/>
    <row r="2116" ht="15.75" customHeight="1" x14ac:dyDescent="0.25"/>
    <row r="2117" ht="15.75" customHeight="1" x14ac:dyDescent="0.25"/>
    <row r="2118" ht="15.75" customHeight="1" x14ac:dyDescent="0.25"/>
    <row r="2119" ht="15.75" customHeight="1" x14ac:dyDescent="0.25"/>
    <row r="2120" ht="15.75" customHeight="1" x14ac:dyDescent="0.25"/>
    <row r="2121" ht="15.75" customHeight="1" x14ac:dyDescent="0.25"/>
    <row r="2122" ht="15.75" customHeight="1" x14ac:dyDescent="0.25"/>
    <row r="2123" ht="15.75" customHeight="1" x14ac:dyDescent="0.25"/>
    <row r="2124" ht="15.75" customHeight="1" x14ac:dyDescent="0.25"/>
    <row r="2125" ht="15.75" customHeight="1" x14ac:dyDescent="0.25"/>
    <row r="2126" ht="15.75" customHeight="1" x14ac:dyDescent="0.25"/>
    <row r="2127" ht="15.75" customHeight="1" x14ac:dyDescent="0.25"/>
    <row r="2128" ht="15.75" customHeight="1" x14ac:dyDescent="0.25"/>
    <row r="2129" ht="15.75" customHeight="1" x14ac:dyDescent="0.25"/>
    <row r="2130" ht="15.75" customHeight="1" x14ac:dyDescent="0.25"/>
    <row r="2131" ht="15.75" customHeight="1" x14ac:dyDescent="0.25"/>
    <row r="2132" ht="15.75" customHeight="1" x14ac:dyDescent="0.25"/>
    <row r="2133" ht="15.75" customHeight="1" x14ac:dyDescent="0.25"/>
    <row r="2134" ht="15.75" customHeight="1" x14ac:dyDescent="0.25"/>
    <row r="2135" ht="15.75" customHeight="1" x14ac:dyDescent="0.25"/>
    <row r="2136" ht="15.75" customHeight="1" x14ac:dyDescent="0.25"/>
    <row r="2137" ht="15.75" customHeight="1" x14ac:dyDescent="0.25"/>
    <row r="2138" ht="15.75" customHeight="1" x14ac:dyDescent="0.25"/>
    <row r="2139" ht="15.75" customHeight="1" x14ac:dyDescent="0.25"/>
    <row r="2140" ht="15.75" customHeight="1" x14ac:dyDescent="0.25"/>
    <row r="2141" ht="15.75" customHeight="1" x14ac:dyDescent="0.25"/>
    <row r="2142" ht="15.75" customHeight="1" x14ac:dyDescent="0.25"/>
    <row r="2143" ht="15.75" customHeight="1" x14ac:dyDescent="0.25"/>
    <row r="2144" ht="15.75" customHeight="1" x14ac:dyDescent="0.25"/>
    <row r="2145" ht="15.75" customHeight="1" x14ac:dyDescent="0.25"/>
    <row r="2146" ht="15.75" customHeight="1" x14ac:dyDescent="0.25"/>
    <row r="2147" ht="15.75" customHeight="1" x14ac:dyDescent="0.25"/>
    <row r="2148" ht="15.75" customHeight="1" x14ac:dyDescent="0.25"/>
    <row r="2149" ht="15.75" customHeight="1" x14ac:dyDescent="0.25"/>
    <row r="2150" ht="15.75" customHeight="1" x14ac:dyDescent="0.25"/>
    <row r="2151" ht="15.75" customHeight="1" x14ac:dyDescent="0.25"/>
    <row r="2152" ht="15.75" customHeight="1" x14ac:dyDescent="0.25"/>
    <row r="2153" ht="15.75" customHeight="1" x14ac:dyDescent="0.25"/>
    <row r="2154" ht="15.75" customHeight="1" x14ac:dyDescent="0.25"/>
    <row r="2155" ht="15.75" customHeight="1" x14ac:dyDescent="0.25"/>
    <row r="2156" ht="15.75" customHeight="1" x14ac:dyDescent="0.25"/>
    <row r="2157" ht="15.75" customHeight="1" x14ac:dyDescent="0.25"/>
    <row r="2158" ht="15.75" customHeight="1" x14ac:dyDescent="0.25"/>
    <row r="2159" ht="15.75" customHeight="1" x14ac:dyDescent="0.25"/>
    <row r="2160" ht="15.75" customHeight="1" x14ac:dyDescent="0.25"/>
    <row r="2161" ht="15.75" customHeight="1" x14ac:dyDescent="0.25"/>
    <row r="2162" ht="15.75" customHeight="1" x14ac:dyDescent="0.25"/>
    <row r="2163" ht="15.75" customHeight="1" x14ac:dyDescent="0.25"/>
    <row r="2164" ht="15.75" customHeight="1" x14ac:dyDescent="0.25"/>
    <row r="2165" ht="15.75" customHeight="1" x14ac:dyDescent="0.25"/>
    <row r="2166" ht="15.75" customHeight="1" x14ac:dyDescent="0.25"/>
    <row r="2167" ht="15.75" customHeight="1" x14ac:dyDescent="0.25"/>
    <row r="2168" ht="15.75" customHeight="1" x14ac:dyDescent="0.25"/>
    <row r="2169" ht="15.75" customHeight="1" x14ac:dyDescent="0.25"/>
    <row r="2170" ht="15.75" customHeight="1" x14ac:dyDescent="0.25"/>
    <row r="2171" ht="15.75" customHeight="1" x14ac:dyDescent="0.25"/>
    <row r="2172" ht="15.75" customHeight="1" x14ac:dyDescent="0.25"/>
    <row r="2173" ht="15.75" customHeight="1" x14ac:dyDescent="0.25"/>
    <row r="2174" ht="15.75" customHeight="1" x14ac:dyDescent="0.25"/>
    <row r="2175" ht="15.75" customHeight="1" x14ac:dyDescent="0.25"/>
    <row r="2176" ht="15.75" customHeight="1" x14ac:dyDescent="0.25"/>
    <row r="2177" ht="15.75" customHeight="1" x14ac:dyDescent="0.25"/>
    <row r="2178" ht="15.75" customHeight="1" x14ac:dyDescent="0.25"/>
    <row r="2179" ht="15.75" customHeight="1" x14ac:dyDescent="0.25"/>
    <row r="2180" ht="15.75" customHeight="1" x14ac:dyDescent="0.25"/>
    <row r="2181" ht="15.75" customHeight="1" x14ac:dyDescent="0.25"/>
    <row r="2182" ht="15.75" customHeight="1" x14ac:dyDescent="0.25"/>
    <row r="2183" ht="15.75" customHeight="1" x14ac:dyDescent="0.25"/>
    <row r="2184" ht="15.75" customHeight="1" x14ac:dyDescent="0.25"/>
    <row r="2185" ht="15.75" customHeight="1" x14ac:dyDescent="0.25"/>
    <row r="2186" ht="15.75" customHeight="1" x14ac:dyDescent="0.25"/>
    <row r="2187" ht="15.75" customHeight="1" x14ac:dyDescent="0.25"/>
    <row r="2188" ht="15.75" customHeight="1" x14ac:dyDescent="0.25"/>
    <row r="2189" ht="15.75" customHeight="1" x14ac:dyDescent="0.25"/>
    <row r="2190" ht="15.75" customHeight="1" x14ac:dyDescent="0.25"/>
    <row r="2191" ht="15.75" customHeight="1" x14ac:dyDescent="0.25"/>
    <row r="2192" ht="15.75" customHeight="1" x14ac:dyDescent="0.25"/>
    <row r="2193" ht="15.75" customHeight="1" x14ac:dyDescent="0.25"/>
    <row r="2194" ht="15.75" customHeight="1" x14ac:dyDescent="0.25"/>
    <row r="2195" ht="15.75" customHeight="1" x14ac:dyDescent="0.25"/>
    <row r="2196" ht="15.75" customHeight="1" x14ac:dyDescent="0.25"/>
    <row r="2197" ht="15.75" customHeight="1" x14ac:dyDescent="0.25"/>
    <row r="2198" ht="15.75" customHeight="1" x14ac:dyDescent="0.25"/>
    <row r="2199" ht="15.75" customHeight="1" x14ac:dyDescent="0.25"/>
    <row r="2200" ht="15.75" customHeight="1" x14ac:dyDescent="0.25"/>
    <row r="2201" ht="15.75" customHeight="1" x14ac:dyDescent="0.25"/>
    <row r="2202" ht="15.75" customHeight="1" x14ac:dyDescent="0.25"/>
    <row r="2203" ht="15.75" customHeight="1" x14ac:dyDescent="0.25"/>
    <row r="2204" ht="15.75" customHeight="1" x14ac:dyDescent="0.25"/>
    <row r="2205" ht="15.75" customHeight="1" x14ac:dyDescent="0.25"/>
    <row r="2206" ht="15.75" customHeight="1" x14ac:dyDescent="0.25"/>
    <row r="2207" ht="15.75" customHeight="1" x14ac:dyDescent="0.25"/>
    <row r="2208" ht="15.75" customHeight="1" x14ac:dyDescent="0.25"/>
    <row r="2209" ht="15.75" customHeight="1" x14ac:dyDescent="0.25"/>
    <row r="2210" ht="15.75" customHeight="1" x14ac:dyDescent="0.25"/>
    <row r="2211" ht="15.75" customHeight="1" x14ac:dyDescent="0.25"/>
    <row r="2212" ht="15.75" customHeight="1" x14ac:dyDescent="0.25"/>
    <row r="2213" ht="15.75" customHeight="1" x14ac:dyDescent="0.25"/>
    <row r="2214" ht="15.75" customHeight="1" x14ac:dyDescent="0.25"/>
    <row r="2215" ht="15.75" customHeight="1" x14ac:dyDescent="0.25"/>
    <row r="2216" ht="15.75" customHeight="1" x14ac:dyDescent="0.25"/>
    <row r="2217" ht="15.75" customHeight="1" x14ac:dyDescent="0.25"/>
    <row r="2218" ht="15.75" customHeight="1" x14ac:dyDescent="0.25"/>
    <row r="2219" ht="15.75" customHeight="1" x14ac:dyDescent="0.25"/>
    <row r="2220" ht="15.75" customHeight="1" x14ac:dyDescent="0.25"/>
    <row r="2221" ht="15.75" customHeight="1" x14ac:dyDescent="0.25"/>
    <row r="2222" ht="15.75" customHeight="1" x14ac:dyDescent="0.25"/>
    <row r="2223" ht="15.75" customHeight="1" x14ac:dyDescent="0.25"/>
    <row r="2224" ht="15.75" customHeight="1" x14ac:dyDescent="0.25"/>
    <row r="2225" ht="15.75" customHeight="1" x14ac:dyDescent="0.25"/>
    <row r="2226" ht="15.75" customHeight="1" x14ac:dyDescent="0.25"/>
    <row r="2227" ht="15.75" customHeight="1" x14ac:dyDescent="0.25"/>
    <row r="2228" ht="15.75" customHeight="1" x14ac:dyDescent="0.25"/>
    <row r="2229" ht="15.75" customHeight="1" x14ac:dyDescent="0.25"/>
    <row r="2230" ht="15.75" customHeight="1" x14ac:dyDescent="0.25"/>
    <row r="2231" ht="15.75" customHeight="1" x14ac:dyDescent="0.25"/>
    <row r="2232" ht="15.75" customHeight="1" x14ac:dyDescent="0.25"/>
    <row r="2233" ht="15.75" customHeight="1" x14ac:dyDescent="0.25"/>
    <row r="2234" ht="15.75" customHeight="1" x14ac:dyDescent="0.25"/>
    <row r="2235" ht="15.75" customHeight="1" x14ac:dyDescent="0.25"/>
    <row r="2236" ht="15.75" customHeight="1" x14ac:dyDescent="0.25"/>
    <row r="2237" ht="15.75" customHeight="1" x14ac:dyDescent="0.25"/>
    <row r="2238" ht="15.75" customHeight="1" x14ac:dyDescent="0.25"/>
    <row r="2239" ht="15.75" customHeight="1" x14ac:dyDescent="0.25"/>
    <row r="2240" ht="15.75" customHeight="1" x14ac:dyDescent="0.25"/>
    <row r="2241" ht="15.75" customHeight="1" x14ac:dyDescent="0.25"/>
    <row r="2242" ht="15.75" customHeight="1" x14ac:dyDescent="0.25"/>
    <row r="2243" ht="15.75" customHeight="1" x14ac:dyDescent="0.25"/>
    <row r="2244" ht="15.75" customHeight="1" x14ac:dyDescent="0.25"/>
    <row r="2245" ht="15.75" customHeight="1" x14ac:dyDescent="0.25"/>
    <row r="2246" ht="15.75" customHeight="1" x14ac:dyDescent="0.25"/>
    <row r="2247" ht="15.75" customHeight="1" x14ac:dyDescent="0.25"/>
    <row r="2248" ht="15.75" customHeight="1" x14ac:dyDescent="0.25"/>
    <row r="2249" ht="15.75" customHeight="1" x14ac:dyDescent="0.25"/>
    <row r="2250" ht="15.75" customHeight="1" x14ac:dyDescent="0.25"/>
    <row r="2251" ht="15.75" customHeight="1" x14ac:dyDescent="0.25"/>
    <row r="2252" ht="15.75" customHeight="1" x14ac:dyDescent="0.25"/>
    <row r="2253" ht="15.75" customHeight="1" x14ac:dyDescent="0.25"/>
    <row r="2254" ht="15.75" customHeight="1" x14ac:dyDescent="0.25"/>
    <row r="2255" ht="15.75" customHeight="1" x14ac:dyDescent="0.25"/>
    <row r="2256" ht="15.75" customHeight="1" x14ac:dyDescent="0.25"/>
    <row r="2257" ht="15.75" customHeight="1" x14ac:dyDescent="0.25"/>
    <row r="2258" ht="15.75" customHeight="1" x14ac:dyDescent="0.25"/>
    <row r="2259" ht="15.75" customHeight="1" x14ac:dyDescent="0.25"/>
    <row r="2260" ht="15.75" customHeight="1" x14ac:dyDescent="0.25"/>
    <row r="2261" ht="15.75" customHeight="1" x14ac:dyDescent="0.25"/>
    <row r="2262" ht="15.75" customHeight="1" x14ac:dyDescent="0.25"/>
    <row r="2263" ht="15.75" customHeight="1" x14ac:dyDescent="0.25"/>
    <row r="2264" ht="15.75" customHeight="1" x14ac:dyDescent="0.25"/>
    <row r="2265" ht="15.75" customHeight="1" x14ac:dyDescent="0.25"/>
    <row r="2266" ht="15.75" customHeight="1" x14ac:dyDescent="0.25"/>
    <row r="2267" ht="15.75" customHeight="1" x14ac:dyDescent="0.25"/>
    <row r="2268" ht="15.75" customHeight="1" x14ac:dyDescent="0.25"/>
    <row r="2269" ht="15.75" customHeight="1" x14ac:dyDescent="0.25"/>
    <row r="2270" ht="15.75" customHeight="1" x14ac:dyDescent="0.25"/>
    <row r="2271" ht="15.75" customHeight="1" x14ac:dyDescent="0.25"/>
    <row r="2272" ht="15.75" customHeight="1" x14ac:dyDescent="0.25"/>
    <row r="2273" ht="15.75" customHeight="1" x14ac:dyDescent="0.25"/>
    <row r="2274" ht="15.75" customHeight="1" x14ac:dyDescent="0.25"/>
    <row r="2275" ht="15.75" customHeight="1" x14ac:dyDescent="0.25"/>
    <row r="2276" ht="15.75" customHeight="1" x14ac:dyDescent="0.25"/>
    <row r="2277" ht="15.75" customHeight="1" x14ac:dyDescent="0.25"/>
    <row r="2278" ht="15.75" customHeight="1" x14ac:dyDescent="0.25"/>
    <row r="2279" ht="15.75" customHeight="1" x14ac:dyDescent="0.25"/>
    <row r="2280" ht="15.75" customHeight="1" x14ac:dyDescent="0.25"/>
    <row r="2281" ht="15.75" customHeight="1" x14ac:dyDescent="0.25"/>
    <row r="2282" ht="15.75" customHeight="1" x14ac:dyDescent="0.25"/>
    <row r="2283" ht="15.75" customHeight="1" x14ac:dyDescent="0.25"/>
    <row r="2284" ht="15.75" customHeight="1" x14ac:dyDescent="0.25"/>
    <row r="2285" ht="15.75" customHeight="1" x14ac:dyDescent="0.25"/>
    <row r="2286" ht="15.75" customHeight="1" x14ac:dyDescent="0.25"/>
    <row r="2287" ht="15.75" customHeight="1" x14ac:dyDescent="0.25"/>
    <row r="2288" ht="15.75" customHeight="1" x14ac:dyDescent="0.25"/>
    <row r="2289" ht="15.75" customHeight="1" x14ac:dyDescent="0.25"/>
    <row r="2290" ht="15.75" customHeight="1" x14ac:dyDescent="0.25"/>
    <row r="2291" ht="15.75" customHeight="1" x14ac:dyDescent="0.25"/>
    <row r="2292" ht="15.75" customHeight="1" x14ac:dyDescent="0.25"/>
    <row r="2293" ht="15.75" customHeight="1" x14ac:dyDescent="0.25"/>
    <row r="2294" ht="15.75" customHeight="1" x14ac:dyDescent="0.25"/>
    <row r="2295" ht="15.75" customHeight="1" x14ac:dyDescent="0.25"/>
    <row r="2296" ht="15.75" customHeight="1" x14ac:dyDescent="0.25"/>
    <row r="2297" ht="15.75" customHeight="1" x14ac:dyDescent="0.25"/>
    <row r="2298" ht="15.75" customHeight="1" x14ac:dyDescent="0.25"/>
    <row r="2299" ht="15.75" customHeight="1" x14ac:dyDescent="0.25"/>
    <row r="2300" ht="15.75" customHeight="1" x14ac:dyDescent="0.25"/>
    <row r="2301" ht="15.75" customHeight="1" x14ac:dyDescent="0.25"/>
    <row r="2302" ht="15.75" customHeight="1" x14ac:dyDescent="0.25"/>
    <row r="2303" ht="15.75" customHeight="1" x14ac:dyDescent="0.25"/>
    <row r="2304" ht="15.75" customHeight="1" x14ac:dyDescent="0.25"/>
    <row r="2305" ht="15.75" customHeight="1" x14ac:dyDescent="0.25"/>
    <row r="2306" ht="15.75" customHeight="1" x14ac:dyDescent="0.25"/>
    <row r="2307" ht="15.75" customHeight="1" x14ac:dyDescent="0.25"/>
    <row r="2308" ht="15.75" customHeight="1" x14ac:dyDescent="0.25"/>
    <row r="2309" ht="15.75" customHeight="1" x14ac:dyDescent="0.25"/>
    <row r="2310" ht="15.75" customHeight="1" x14ac:dyDescent="0.25"/>
    <row r="2311" ht="15.75" customHeight="1" x14ac:dyDescent="0.25"/>
    <row r="2312" ht="15.75" customHeight="1" x14ac:dyDescent="0.25"/>
    <row r="2313" ht="15.75" customHeight="1" x14ac:dyDescent="0.25"/>
    <row r="2314" ht="15.75" customHeight="1" x14ac:dyDescent="0.25"/>
    <row r="2315" ht="15.75" customHeight="1" x14ac:dyDescent="0.25"/>
    <row r="2316" ht="15.75" customHeight="1" x14ac:dyDescent="0.25"/>
    <row r="2317" ht="15.75" customHeight="1" x14ac:dyDescent="0.25"/>
    <row r="2318" ht="15.75" customHeight="1" x14ac:dyDescent="0.25"/>
    <row r="2319" ht="15.75" customHeight="1" x14ac:dyDescent="0.25"/>
    <row r="2320" ht="15.75" customHeight="1" x14ac:dyDescent="0.25"/>
    <row r="2321" ht="15.75" customHeight="1" x14ac:dyDescent="0.25"/>
    <row r="2322" ht="15.75" customHeight="1" x14ac:dyDescent="0.25"/>
    <row r="2323" ht="15.75" customHeight="1" x14ac:dyDescent="0.25"/>
    <row r="2324" ht="15.75" customHeight="1" x14ac:dyDescent="0.25"/>
    <row r="2325" ht="15.75" customHeight="1" x14ac:dyDescent="0.25"/>
    <row r="2326" ht="15.75" customHeight="1" x14ac:dyDescent="0.25"/>
    <row r="2327" ht="15.75" customHeight="1" x14ac:dyDescent="0.25"/>
    <row r="2328" ht="15.75" customHeight="1" x14ac:dyDescent="0.25"/>
    <row r="2329" ht="15.75" customHeight="1" x14ac:dyDescent="0.25"/>
    <row r="2330" ht="15.75" customHeight="1" x14ac:dyDescent="0.25"/>
    <row r="2331" ht="15.75" customHeight="1" x14ac:dyDescent="0.25"/>
    <row r="2332" ht="15.75" customHeight="1" x14ac:dyDescent="0.25"/>
    <row r="2333" ht="15.75" customHeight="1" x14ac:dyDescent="0.25"/>
    <row r="2334" ht="15.75" customHeight="1" x14ac:dyDescent="0.25"/>
    <row r="2335" ht="15.75" customHeight="1" x14ac:dyDescent="0.25"/>
    <row r="2336" ht="15.75" customHeight="1" x14ac:dyDescent="0.25"/>
    <row r="2337" ht="15.75" customHeight="1" x14ac:dyDescent="0.25"/>
    <row r="2338" ht="15.75" customHeight="1" x14ac:dyDescent="0.25"/>
    <row r="2339" ht="15.75" customHeight="1" x14ac:dyDescent="0.25"/>
    <row r="2340" ht="15.75" customHeight="1" x14ac:dyDescent="0.25"/>
    <row r="2341" ht="15.75" customHeight="1" x14ac:dyDescent="0.25"/>
    <row r="2342" ht="15.75" customHeight="1" x14ac:dyDescent="0.25"/>
    <row r="2343" ht="15.75" customHeight="1" x14ac:dyDescent="0.25"/>
    <row r="2344" ht="15.75" customHeight="1" x14ac:dyDescent="0.25"/>
    <row r="2345" ht="15.75" customHeight="1" x14ac:dyDescent="0.25"/>
    <row r="2346" ht="15.75" customHeight="1" x14ac:dyDescent="0.25"/>
    <row r="2347" ht="15.75" customHeight="1" x14ac:dyDescent="0.25"/>
    <row r="2348" ht="15.75" customHeight="1" x14ac:dyDescent="0.25"/>
    <row r="2349" ht="15.75" customHeight="1" x14ac:dyDescent="0.25"/>
    <row r="2350" ht="15.75" customHeight="1" x14ac:dyDescent="0.25"/>
    <row r="2351" ht="15.75" customHeight="1" x14ac:dyDescent="0.25"/>
    <row r="2352" ht="15.75" customHeight="1" x14ac:dyDescent="0.25"/>
    <row r="2353" ht="15.75" customHeight="1" x14ac:dyDescent="0.25"/>
    <row r="2354" ht="15.75" customHeight="1" x14ac:dyDescent="0.25"/>
    <row r="2355" ht="15.75" customHeight="1" x14ac:dyDescent="0.25"/>
    <row r="2356" ht="15.75" customHeight="1" x14ac:dyDescent="0.25"/>
    <row r="2357" ht="15.75" customHeight="1" x14ac:dyDescent="0.25"/>
    <row r="2358" ht="15.75" customHeight="1" x14ac:dyDescent="0.25"/>
    <row r="2359" ht="15.75" customHeight="1" x14ac:dyDescent="0.25"/>
    <row r="2360" ht="15.75" customHeight="1" x14ac:dyDescent="0.25"/>
    <row r="2361" ht="15.75" customHeight="1" x14ac:dyDescent="0.25"/>
    <row r="2362" ht="15.75" customHeight="1" x14ac:dyDescent="0.25"/>
    <row r="2363" ht="15.75" customHeight="1" x14ac:dyDescent="0.25"/>
    <row r="2364" ht="15.75" customHeight="1" x14ac:dyDescent="0.25"/>
    <row r="2365" ht="15.75" customHeight="1" x14ac:dyDescent="0.25"/>
    <row r="2366" ht="15.75" customHeight="1" x14ac:dyDescent="0.25"/>
    <row r="2367" ht="15.75" customHeight="1" x14ac:dyDescent="0.25"/>
    <row r="2368" ht="15.75" customHeight="1" x14ac:dyDescent="0.25"/>
    <row r="2369" ht="15.75" customHeight="1" x14ac:dyDescent="0.25"/>
    <row r="2370" ht="15.75" customHeight="1" x14ac:dyDescent="0.25"/>
    <row r="2371" ht="15.75" customHeight="1" x14ac:dyDescent="0.25"/>
    <row r="2372" ht="15.75" customHeight="1" x14ac:dyDescent="0.25"/>
    <row r="2373" ht="15.75" customHeight="1" x14ac:dyDescent="0.25"/>
    <row r="2374" ht="15.75" customHeight="1" x14ac:dyDescent="0.25"/>
    <row r="2375" ht="15.75" customHeight="1" x14ac:dyDescent="0.25"/>
    <row r="2376" ht="15.75" customHeight="1" x14ac:dyDescent="0.25"/>
    <row r="2377" ht="15.75" customHeight="1" x14ac:dyDescent="0.25"/>
    <row r="2378" ht="15.75" customHeight="1" x14ac:dyDescent="0.25"/>
    <row r="2379" ht="15.75" customHeight="1" x14ac:dyDescent="0.25"/>
    <row r="2380" ht="15.75" customHeight="1" x14ac:dyDescent="0.25"/>
    <row r="2381" ht="15.75" customHeight="1" x14ac:dyDescent="0.25"/>
    <row r="2382" ht="15.75" customHeight="1" x14ac:dyDescent="0.25"/>
    <row r="2383" ht="15.75" customHeight="1" x14ac:dyDescent="0.25"/>
    <row r="2384" ht="15.75" customHeight="1" x14ac:dyDescent="0.25"/>
    <row r="2385" ht="15.75" customHeight="1" x14ac:dyDescent="0.25"/>
    <row r="2386" ht="15.75" customHeight="1" x14ac:dyDescent="0.25"/>
    <row r="2387" ht="15.75" customHeight="1" x14ac:dyDescent="0.25"/>
    <row r="2388" ht="15.75" customHeight="1" x14ac:dyDescent="0.25"/>
    <row r="2389" ht="15.75" customHeight="1" x14ac:dyDescent="0.25"/>
    <row r="2390" ht="15.75" customHeight="1" x14ac:dyDescent="0.25"/>
    <row r="2391" ht="15.75" customHeight="1" x14ac:dyDescent="0.25"/>
    <row r="2392" ht="15.75" customHeight="1" x14ac:dyDescent="0.25"/>
    <row r="2393" ht="15.75" customHeight="1" x14ac:dyDescent="0.25"/>
    <row r="2394" ht="15.75" customHeight="1" x14ac:dyDescent="0.25"/>
    <row r="2395" ht="15.75" customHeight="1" x14ac:dyDescent="0.25"/>
    <row r="2396" ht="15.75" customHeight="1" x14ac:dyDescent="0.25"/>
    <row r="2397" ht="15.75" customHeight="1" x14ac:dyDescent="0.25"/>
    <row r="2398" ht="15.75" customHeight="1" x14ac:dyDescent="0.25"/>
    <row r="2399" ht="15.75" customHeight="1" x14ac:dyDescent="0.25"/>
    <row r="2400" ht="15.75" customHeight="1" x14ac:dyDescent="0.25"/>
    <row r="2401" ht="15.75" customHeight="1" x14ac:dyDescent="0.25"/>
    <row r="2402" ht="15.75" customHeight="1" x14ac:dyDescent="0.25"/>
    <row r="2403" ht="15.75" customHeight="1" x14ac:dyDescent="0.25"/>
    <row r="2404" ht="15.75" customHeight="1" x14ac:dyDescent="0.25"/>
    <row r="2405" ht="15.75" customHeight="1" x14ac:dyDescent="0.25"/>
    <row r="2406" ht="15.75" customHeight="1" x14ac:dyDescent="0.25"/>
    <row r="2407" ht="15.75" customHeight="1" x14ac:dyDescent="0.25"/>
    <row r="2408" ht="15.75" customHeight="1" x14ac:dyDescent="0.25"/>
    <row r="2409" ht="15.75" customHeight="1" x14ac:dyDescent="0.25"/>
    <row r="2410" ht="15.75" customHeight="1" x14ac:dyDescent="0.25"/>
    <row r="2411" ht="15.75" customHeight="1" x14ac:dyDescent="0.25"/>
    <row r="2412" ht="15.75" customHeight="1" x14ac:dyDescent="0.25"/>
    <row r="2413" ht="15.75" customHeight="1" x14ac:dyDescent="0.25"/>
    <row r="2414" ht="15.75" customHeight="1" x14ac:dyDescent="0.25"/>
    <row r="2415" ht="15.75" customHeight="1" x14ac:dyDescent="0.25"/>
    <row r="2416" ht="15.75" customHeight="1" x14ac:dyDescent="0.25"/>
    <row r="2417" ht="15.75" customHeight="1" x14ac:dyDescent="0.25"/>
    <row r="2418" ht="15.75" customHeight="1" x14ac:dyDescent="0.25"/>
    <row r="2419" ht="15.75" customHeight="1" x14ac:dyDescent="0.25"/>
    <row r="2420" ht="15.75" customHeight="1" x14ac:dyDescent="0.25"/>
    <row r="2421" ht="15.75" customHeight="1" x14ac:dyDescent="0.25"/>
    <row r="2422" ht="15.75" customHeight="1" x14ac:dyDescent="0.25"/>
    <row r="2423" ht="15.75" customHeight="1" x14ac:dyDescent="0.25"/>
    <row r="2424" ht="15.75" customHeight="1" x14ac:dyDescent="0.25"/>
    <row r="2425" ht="15.75" customHeight="1" x14ac:dyDescent="0.25"/>
    <row r="2426" ht="15.75" customHeight="1" x14ac:dyDescent="0.25"/>
    <row r="2427" ht="15.75" customHeight="1" x14ac:dyDescent="0.25"/>
    <row r="2428" ht="15.75" customHeight="1" x14ac:dyDescent="0.25"/>
    <row r="2429" ht="15.75" customHeight="1" x14ac:dyDescent="0.25"/>
    <row r="2430" ht="15.75" customHeight="1" x14ac:dyDescent="0.25"/>
    <row r="2431" ht="15.75" customHeight="1" x14ac:dyDescent="0.25"/>
    <row r="2432" ht="15.75" customHeight="1" x14ac:dyDescent="0.25"/>
    <row r="2433" ht="15.75" customHeight="1" x14ac:dyDescent="0.25"/>
    <row r="2434" ht="15.75" customHeight="1" x14ac:dyDescent="0.25"/>
    <row r="2435" ht="15.75" customHeight="1" x14ac:dyDescent="0.25"/>
    <row r="2436" ht="15.75" customHeight="1" x14ac:dyDescent="0.25"/>
    <row r="2437" ht="15.75" customHeight="1" x14ac:dyDescent="0.25"/>
    <row r="2438" ht="15.75" customHeight="1" x14ac:dyDescent="0.25"/>
    <row r="2439" ht="15.75" customHeight="1" x14ac:dyDescent="0.25"/>
    <row r="2440" ht="15.75" customHeight="1" x14ac:dyDescent="0.25"/>
    <row r="2441" ht="15.75" customHeight="1" x14ac:dyDescent="0.25"/>
    <row r="2442" ht="15.75" customHeight="1" x14ac:dyDescent="0.25"/>
    <row r="2443" ht="15.75" customHeight="1" x14ac:dyDescent="0.25"/>
    <row r="2444" ht="15.75" customHeight="1" x14ac:dyDescent="0.25"/>
    <row r="2445" ht="15.75" customHeight="1" x14ac:dyDescent="0.25"/>
    <row r="2446" ht="15.75" customHeight="1" x14ac:dyDescent="0.25"/>
    <row r="2447" ht="15.75" customHeight="1" x14ac:dyDescent="0.25"/>
    <row r="2448" ht="15.75" customHeight="1" x14ac:dyDescent="0.25"/>
    <row r="2449" ht="15.75" customHeight="1" x14ac:dyDescent="0.25"/>
    <row r="2450" ht="15.75" customHeight="1" x14ac:dyDescent="0.25"/>
    <row r="2451" ht="15.75" customHeight="1" x14ac:dyDescent="0.25"/>
    <row r="2452" ht="15.75" customHeight="1" x14ac:dyDescent="0.25"/>
    <row r="2453" ht="15.75" customHeight="1" x14ac:dyDescent="0.25"/>
    <row r="2454" ht="15.75" customHeight="1" x14ac:dyDescent="0.25"/>
    <row r="2455" ht="15.75" customHeight="1" x14ac:dyDescent="0.25"/>
    <row r="2456" ht="15.75" customHeight="1" x14ac:dyDescent="0.25"/>
    <row r="2457" ht="15.75" customHeight="1" x14ac:dyDescent="0.25"/>
    <row r="2458" ht="15.75" customHeight="1" x14ac:dyDescent="0.25"/>
    <row r="2459" ht="15.75" customHeight="1" x14ac:dyDescent="0.25"/>
    <row r="2460" ht="15.75" customHeight="1" x14ac:dyDescent="0.25"/>
    <row r="2461" ht="15.75" customHeight="1" x14ac:dyDescent="0.25"/>
    <row r="2462" ht="15.75" customHeight="1" x14ac:dyDescent="0.25"/>
    <row r="2463" ht="15.75" customHeight="1" x14ac:dyDescent="0.25"/>
    <row r="2464" ht="15.75" customHeight="1" x14ac:dyDescent="0.25"/>
    <row r="2465" ht="15.75" customHeight="1" x14ac:dyDescent="0.25"/>
    <row r="2466" ht="15.75" customHeight="1" x14ac:dyDescent="0.25"/>
    <row r="2467" ht="15.75" customHeight="1" x14ac:dyDescent="0.25"/>
    <row r="2468" ht="15.75" customHeight="1" x14ac:dyDescent="0.25"/>
    <row r="2469" ht="15.75" customHeight="1" x14ac:dyDescent="0.25"/>
    <row r="2470" ht="15.75" customHeight="1" x14ac:dyDescent="0.25"/>
    <row r="2471" ht="15.75" customHeight="1" x14ac:dyDescent="0.25"/>
    <row r="2472" ht="15.75" customHeight="1" x14ac:dyDescent="0.25"/>
    <row r="2473" ht="15.75" customHeight="1" x14ac:dyDescent="0.25"/>
    <row r="2474" ht="15.75" customHeight="1" x14ac:dyDescent="0.25"/>
    <row r="2475" ht="15.75" customHeight="1" x14ac:dyDescent="0.25"/>
    <row r="2476" ht="15.75" customHeight="1" x14ac:dyDescent="0.25"/>
    <row r="2477" ht="15.75" customHeight="1" x14ac:dyDescent="0.25"/>
    <row r="2478" ht="15.75" customHeight="1" x14ac:dyDescent="0.25"/>
    <row r="2479" ht="15.75" customHeight="1" x14ac:dyDescent="0.25"/>
    <row r="2480" ht="15.75" customHeight="1" x14ac:dyDescent="0.25"/>
    <row r="2481" ht="15.75" customHeight="1" x14ac:dyDescent="0.25"/>
    <row r="2482" ht="15.75" customHeight="1" x14ac:dyDescent="0.25"/>
    <row r="2483" ht="15.75" customHeight="1" x14ac:dyDescent="0.25"/>
    <row r="2484" ht="15.75" customHeight="1" x14ac:dyDescent="0.25"/>
    <row r="2485" ht="15.75" customHeight="1" x14ac:dyDescent="0.25"/>
    <row r="2486" ht="15.75" customHeight="1" x14ac:dyDescent="0.25"/>
    <row r="2487" ht="15.75" customHeight="1" x14ac:dyDescent="0.25"/>
    <row r="2488" ht="15.75" customHeight="1" x14ac:dyDescent="0.25"/>
    <row r="2489" ht="15.75" customHeight="1" x14ac:dyDescent="0.25"/>
    <row r="2490" ht="15.75" customHeight="1" x14ac:dyDescent="0.25"/>
    <row r="2491" ht="15.75" customHeight="1" x14ac:dyDescent="0.25"/>
    <row r="2492" ht="15.75" customHeight="1" x14ac:dyDescent="0.25"/>
    <row r="2493" ht="15.75" customHeight="1" x14ac:dyDescent="0.25"/>
    <row r="2494" ht="15.75" customHeight="1" x14ac:dyDescent="0.25"/>
    <row r="2495" ht="15.75" customHeight="1" x14ac:dyDescent="0.25"/>
    <row r="2496" ht="15.75" customHeight="1" x14ac:dyDescent="0.25"/>
    <row r="2497" ht="15.75" customHeight="1" x14ac:dyDescent="0.25"/>
    <row r="2498" ht="15.75" customHeight="1" x14ac:dyDescent="0.25"/>
    <row r="2499" ht="15.75" customHeight="1" x14ac:dyDescent="0.25"/>
    <row r="2500" ht="15.75" customHeight="1" x14ac:dyDescent="0.25"/>
    <row r="2501" ht="15.75" customHeight="1" x14ac:dyDescent="0.25"/>
    <row r="2502" ht="15.75" customHeight="1" x14ac:dyDescent="0.25"/>
    <row r="2503" ht="15.75" customHeight="1" x14ac:dyDescent="0.25"/>
    <row r="2504" ht="15.75" customHeight="1" x14ac:dyDescent="0.25"/>
    <row r="2505" ht="15.75" customHeight="1" x14ac:dyDescent="0.25"/>
    <row r="2506" ht="15.75" customHeight="1" x14ac:dyDescent="0.25"/>
    <row r="2507" ht="15.75" customHeight="1" x14ac:dyDescent="0.25"/>
    <row r="2508" ht="15.75" customHeight="1" x14ac:dyDescent="0.25"/>
    <row r="2509" ht="15.75" customHeight="1" x14ac:dyDescent="0.25"/>
    <row r="2510" ht="15.75" customHeight="1" x14ac:dyDescent="0.25"/>
    <row r="2511" ht="15.75" customHeight="1" x14ac:dyDescent="0.25"/>
    <row r="2512" ht="15.75" customHeight="1" x14ac:dyDescent="0.25"/>
    <row r="2513" ht="15.75" customHeight="1" x14ac:dyDescent="0.25"/>
    <row r="2514" ht="15.75" customHeight="1" x14ac:dyDescent="0.25"/>
    <row r="2515" ht="15.75" customHeight="1" x14ac:dyDescent="0.25"/>
    <row r="2516" ht="15.75" customHeight="1" x14ac:dyDescent="0.25"/>
    <row r="2517" ht="15.75" customHeight="1" x14ac:dyDescent="0.25"/>
    <row r="2518" ht="15.75" customHeight="1" x14ac:dyDescent="0.25"/>
    <row r="2519" ht="15.75" customHeight="1" x14ac:dyDescent="0.25"/>
    <row r="2520" ht="15.75" customHeight="1" x14ac:dyDescent="0.25"/>
    <row r="2521" ht="15.75" customHeight="1" x14ac:dyDescent="0.25"/>
    <row r="2522" ht="15.75" customHeight="1" x14ac:dyDescent="0.25"/>
    <row r="2523" ht="15.75" customHeight="1" x14ac:dyDescent="0.25"/>
    <row r="2524" ht="15.75" customHeight="1" x14ac:dyDescent="0.25"/>
    <row r="2525" ht="15.75" customHeight="1" x14ac:dyDescent="0.25"/>
    <row r="2526" ht="15.75" customHeight="1" x14ac:dyDescent="0.25"/>
    <row r="2527" ht="15.75" customHeight="1" x14ac:dyDescent="0.25"/>
    <row r="2528" ht="15.75" customHeight="1" x14ac:dyDescent="0.25"/>
    <row r="2529" ht="15.75" customHeight="1" x14ac:dyDescent="0.25"/>
    <row r="2530" ht="15.75" customHeight="1" x14ac:dyDescent="0.25"/>
    <row r="2531" ht="15.75" customHeight="1" x14ac:dyDescent="0.25"/>
    <row r="2532" ht="15.75" customHeight="1" x14ac:dyDescent="0.25"/>
    <row r="2533" ht="15.75" customHeight="1" x14ac:dyDescent="0.25"/>
    <row r="2534" ht="15.75" customHeight="1" x14ac:dyDescent="0.25"/>
    <row r="2535" ht="15.75" customHeight="1" x14ac:dyDescent="0.25"/>
    <row r="2536" ht="15.75" customHeight="1" x14ac:dyDescent="0.25"/>
    <row r="2537" ht="15.75" customHeight="1" x14ac:dyDescent="0.25"/>
    <row r="2538" ht="15.75" customHeight="1" x14ac:dyDescent="0.25"/>
    <row r="2539" ht="15.75" customHeight="1" x14ac:dyDescent="0.25"/>
    <row r="2540" ht="15.75" customHeight="1" x14ac:dyDescent="0.25"/>
    <row r="2541" ht="15.75" customHeight="1" x14ac:dyDescent="0.25"/>
    <row r="2542" ht="15.75" customHeight="1" x14ac:dyDescent="0.25"/>
    <row r="2543" ht="15.75" customHeight="1" x14ac:dyDescent="0.25"/>
    <row r="2544" ht="15.75" customHeight="1" x14ac:dyDescent="0.25"/>
    <row r="2545" ht="15.75" customHeight="1" x14ac:dyDescent="0.25"/>
    <row r="2546" ht="15.75" customHeight="1" x14ac:dyDescent="0.25"/>
    <row r="2547" ht="15.75" customHeight="1" x14ac:dyDescent="0.25"/>
    <row r="2548" ht="15.75" customHeight="1" x14ac:dyDescent="0.25"/>
    <row r="2549" ht="15.75" customHeight="1" x14ac:dyDescent="0.25"/>
    <row r="2550" ht="15.75" customHeight="1" x14ac:dyDescent="0.25"/>
    <row r="2551" ht="15.75" customHeight="1" x14ac:dyDescent="0.25"/>
    <row r="2552" ht="15.75" customHeight="1" x14ac:dyDescent="0.25"/>
    <row r="2553" ht="15.75" customHeight="1" x14ac:dyDescent="0.25"/>
    <row r="2554" ht="15.75" customHeight="1" x14ac:dyDescent="0.25"/>
    <row r="2555" ht="15.75" customHeight="1" x14ac:dyDescent="0.25"/>
    <row r="2556" ht="15.75" customHeight="1" x14ac:dyDescent="0.25"/>
    <row r="2557" ht="15.75" customHeight="1" x14ac:dyDescent="0.25"/>
    <row r="2558" ht="15.75" customHeight="1" x14ac:dyDescent="0.25"/>
    <row r="2559" ht="15.75" customHeight="1" x14ac:dyDescent="0.25"/>
    <row r="2560" ht="15.75" customHeight="1" x14ac:dyDescent="0.25"/>
    <row r="2561" ht="15.75" customHeight="1" x14ac:dyDescent="0.25"/>
    <row r="2562" ht="15.75" customHeight="1" x14ac:dyDescent="0.25"/>
    <row r="2563" ht="15.75" customHeight="1" x14ac:dyDescent="0.25"/>
    <row r="2564" ht="15.75" customHeight="1" x14ac:dyDescent="0.25"/>
    <row r="2565" ht="15.75" customHeight="1" x14ac:dyDescent="0.25"/>
    <row r="2566" ht="15.75" customHeight="1" x14ac:dyDescent="0.25"/>
    <row r="2567" ht="15.75" customHeight="1" x14ac:dyDescent="0.25"/>
    <row r="2568" ht="15.75" customHeight="1" x14ac:dyDescent="0.25"/>
    <row r="2569" ht="15.75" customHeight="1" x14ac:dyDescent="0.25"/>
    <row r="2570" ht="15.75" customHeight="1" x14ac:dyDescent="0.25"/>
    <row r="2571" ht="15.75" customHeight="1" x14ac:dyDescent="0.25"/>
    <row r="2572" ht="15.75" customHeight="1" x14ac:dyDescent="0.25"/>
    <row r="2573" ht="15.75" customHeight="1" x14ac:dyDescent="0.25"/>
    <row r="2574" ht="15.75" customHeight="1" x14ac:dyDescent="0.25"/>
    <row r="2575" ht="15.75" customHeight="1" x14ac:dyDescent="0.25"/>
    <row r="2576" ht="15.75" customHeight="1" x14ac:dyDescent="0.25"/>
    <row r="2577" ht="15.75" customHeight="1" x14ac:dyDescent="0.25"/>
    <row r="2578" ht="15.75" customHeight="1" x14ac:dyDescent="0.25"/>
    <row r="2579" ht="15.75" customHeight="1" x14ac:dyDescent="0.25"/>
    <row r="2580" ht="15.75" customHeight="1" x14ac:dyDescent="0.25"/>
    <row r="2581" ht="15.75" customHeight="1" x14ac:dyDescent="0.25"/>
    <row r="2582" ht="15.75" customHeight="1" x14ac:dyDescent="0.25"/>
    <row r="2583" ht="15.75" customHeight="1" x14ac:dyDescent="0.25"/>
    <row r="2584" ht="15.75" customHeight="1" x14ac:dyDescent="0.25"/>
    <row r="2585" ht="15.75" customHeight="1" x14ac:dyDescent="0.25"/>
    <row r="2586" ht="15.75" customHeight="1" x14ac:dyDescent="0.25"/>
    <row r="2587" ht="15.75" customHeight="1" x14ac:dyDescent="0.25"/>
    <row r="2588" ht="15.75" customHeight="1" x14ac:dyDescent="0.25"/>
    <row r="2589" ht="15.75" customHeight="1" x14ac:dyDescent="0.25"/>
    <row r="2590" ht="15.75" customHeight="1" x14ac:dyDescent="0.25"/>
    <row r="2591" ht="15.75" customHeight="1" x14ac:dyDescent="0.25"/>
    <row r="2592" ht="15.75" customHeight="1" x14ac:dyDescent="0.25"/>
    <row r="2593" ht="15.75" customHeight="1" x14ac:dyDescent="0.25"/>
    <row r="2594" ht="15.75" customHeight="1" x14ac:dyDescent="0.25"/>
    <row r="2595" ht="15.75" customHeight="1" x14ac:dyDescent="0.25"/>
    <row r="2596" ht="15.75" customHeight="1" x14ac:dyDescent="0.25"/>
    <row r="2597" ht="15.75" customHeight="1" x14ac:dyDescent="0.25"/>
    <row r="2598" ht="15.75" customHeight="1" x14ac:dyDescent="0.25"/>
    <row r="2599" ht="15.75" customHeight="1" x14ac:dyDescent="0.25"/>
    <row r="2600" ht="15.75" customHeight="1" x14ac:dyDescent="0.25"/>
    <row r="2601" ht="15.75" customHeight="1" x14ac:dyDescent="0.25"/>
    <row r="2602" ht="15.75" customHeight="1" x14ac:dyDescent="0.25"/>
    <row r="2603" ht="15.75" customHeight="1" x14ac:dyDescent="0.25"/>
    <row r="2604" ht="15.75" customHeight="1" x14ac:dyDescent="0.25"/>
    <row r="2605" ht="15.75" customHeight="1" x14ac:dyDescent="0.25"/>
    <row r="2606" ht="15.75" customHeight="1" x14ac:dyDescent="0.25"/>
    <row r="2607" ht="15.75" customHeight="1" x14ac:dyDescent="0.25"/>
    <row r="2608" ht="15.75" customHeight="1" x14ac:dyDescent="0.25"/>
    <row r="2609" ht="15.75" customHeight="1" x14ac:dyDescent="0.25"/>
    <row r="2610" ht="15.75" customHeight="1" x14ac:dyDescent="0.25"/>
    <row r="2611" ht="15.75" customHeight="1" x14ac:dyDescent="0.25"/>
    <row r="2612" ht="15.75" customHeight="1" x14ac:dyDescent="0.25"/>
    <row r="2613" ht="15.75" customHeight="1" x14ac:dyDescent="0.25"/>
    <row r="2614" ht="15.75" customHeight="1" x14ac:dyDescent="0.25"/>
    <row r="2615" ht="15.75" customHeight="1" x14ac:dyDescent="0.25"/>
    <row r="2616" ht="15.75" customHeight="1" x14ac:dyDescent="0.25"/>
    <row r="2617" ht="15.75" customHeight="1" x14ac:dyDescent="0.25"/>
    <row r="2618" ht="15.75" customHeight="1" x14ac:dyDescent="0.25"/>
    <row r="2619" ht="15.75" customHeight="1" x14ac:dyDescent="0.25"/>
    <row r="2620" ht="15.75" customHeight="1" x14ac:dyDescent="0.25"/>
    <row r="2621" ht="15.75" customHeight="1" x14ac:dyDescent="0.25"/>
    <row r="2622" ht="15.75" customHeight="1" x14ac:dyDescent="0.25"/>
    <row r="2623" ht="15.75" customHeight="1" x14ac:dyDescent="0.25"/>
    <row r="2624" ht="15.75" customHeight="1" x14ac:dyDescent="0.25"/>
    <row r="2625" ht="15.75" customHeight="1" x14ac:dyDescent="0.25"/>
    <row r="2626" ht="15.75" customHeight="1" x14ac:dyDescent="0.25"/>
    <row r="2627" ht="15.75" customHeight="1" x14ac:dyDescent="0.25"/>
    <row r="2628" ht="15.75" customHeight="1" x14ac:dyDescent="0.25"/>
    <row r="2629" ht="15.75" customHeight="1" x14ac:dyDescent="0.25"/>
    <row r="2630" ht="15.75" customHeight="1" x14ac:dyDescent="0.25"/>
    <row r="2631" ht="15.75" customHeight="1" x14ac:dyDescent="0.25"/>
    <row r="2632" ht="15.75" customHeight="1" x14ac:dyDescent="0.25"/>
    <row r="2633" ht="15.75" customHeight="1" x14ac:dyDescent="0.25"/>
    <row r="2634" ht="15.75" customHeight="1" x14ac:dyDescent="0.25"/>
    <row r="2635" ht="15.75" customHeight="1" x14ac:dyDescent="0.25"/>
    <row r="2636" ht="15.75" customHeight="1" x14ac:dyDescent="0.25"/>
    <row r="2637" ht="15.75" customHeight="1" x14ac:dyDescent="0.25"/>
    <row r="2638" ht="15.75" customHeight="1" x14ac:dyDescent="0.25"/>
    <row r="2639" ht="15.75" customHeight="1" x14ac:dyDescent="0.25"/>
    <row r="2640" ht="15.75" customHeight="1" x14ac:dyDescent="0.25"/>
    <row r="2641" ht="15.75" customHeight="1" x14ac:dyDescent="0.25"/>
    <row r="2642" ht="15.75" customHeight="1" x14ac:dyDescent="0.25"/>
    <row r="2643" ht="15.75" customHeight="1" x14ac:dyDescent="0.25"/>
    <row r="2644" ht="15.75" customHeight="1" x14ac:dyDescent="0.25"/>
    <row r="2645" ht="15.75" customHeight="1" x14ac:dyDescent="0.25"/>
    <row r="2646" ht="15.75" customHeight="1" x14ac:dyDescent="0.25"/>
    <row r="2647" ht="15.75" customHeight="1" x14ac:dyDescent="0.25"/>
    <row r="2648" ht="15.75" customHeight="1" x14ac:dyDescent="0.25"/>
    <row r="2649" ht="15.75" customHeight="1" x14ac:dyDescent="0.25"/>
    <row r="2650" ht="15.75" customHeight="1" x14ac:dyDescent="0.25"/>
    <row r="2651" ht="15.75" customHeight="1" x14ac:dyDescent="0.25"/>
    <row r="2652" ht="15.75" customHeight="1" x14ac:dyDescent="0.25"/>
    <row r="2653" ht="15.75" customHeight="1" x14ac:dyDescent="0.25"/>
    <row r="2654" ht="15.75" customHeight="1" x14ac:dyDescent="0.25"/>
    <row r="2655" ht="15.75" customHeight="1" x14ac:dyDescent="0.25"/>
    <row r="2656" ht="15.75" customHeight="1" x14ac:dyDescent="0.25"/>
    <row r="2657" ht="15.75" customHeight="1" x14ac:dyDescent="0.25"/>
    <row r="2658" ht="15.75" customHeight="1" x14ac:dyDescent="0.25"/>
    <row r="2659" ht="15.75" customHeight="1" x14ac:dyDescent="0.25"/>
    <row r="2660" ht="15.75" customHeight="1" x14ac:dyDescent="0.25"/>
    <row r="2661" ht="15.75" customHeight="1" x14ac:dyDescent="0.25"/>
    <row r="2662" ht="15.75" customHeight="1" x14ac:dyDescent="0.25"/>
    <row r="2663" ht="15.75" customHeight="1" x14ac:dyDescent="0.25"/>
    <row r="2664" ht="15.75" customHeight="1" x14ac:dyDescent="0.25"/>
    <row r="2665" ht="15.75" customHeight="1" x14ac:dyDescent="0.25"/>
    <row r="2666" ht="15.75" customHeight="1" x14ac:dyDescent="0.25"/>
    <row r="2667" ht="15.75" customHeight="1" x14ac:dyDescent="0.25"/>
    <row r="2668" ht="15.75" customHeight="1" x14ac:dyDescent="0.25"/>
    <row r="2669" ht="15.75" customHeight="1" x14ac:dyDescent="0.25"/>
    <row r="2670" ht="15.75" customHeight="1" x14ac:dyDescent="0.25"/>
    <row r="2671" ht="15.75" customHeight="1" x14ac:dyDescent="0.25"/>
    <row r="2672" ht="15.75" customHeight="1" x14ac:dyDescent="0.25"/>
    <row r="2673" ht="15.75" customHeight="1" x14ac:dyDescent="0.25"/>
    <row r="2674" ht="15.75" customHeight="1" x14ac:dyDescent="0.25"/>
    <row r="2675" ht="15.75" customHeight="1" x14ac:dyDescent="0.25"/>
    <row r="2676" ht="15.75" customHeight="1" x14ac:dyDescent="0.25"/>
    <row r="2677" ht="15.75" customHeight="1" x14ac:dyDescent="0.25"/>
    <row r="2678" ht="15.75" customHeight="1" x14ac:dyDescent="0.25"/>
    <row r="2679" ht="15.75" customHeight="1" x14ac:dyDescent="0.25"/>
    <row r="2680" ht="15.75" customHeight="1" x14ac:dyDescent="0.25"/>
    <row r="2681" ht="15.75" customHeight="1" x14ac:dyDescent="0.25"/>
    <row r="2682" ht="15.75" customHeight="1" x14ac:dyDescent="0.25"/>
    <row r="2683" ht="15.75" customHeight="1" x14ac:dyDescent="0.25"/>
    <row r="2684" ht="15.75" customHeight="1" x14ac:dyDescent="0.25"/>
    <row r="2685" ht="15.75" customHeight="1" x14ac:dyDescent="0.25"/>
    <row r="2686" ht="15.75" customHeight="1" x14ac:dyDescent="0.25"/>
    <row r="2687" ht="15.75" customHeight="1" x14ac:dyDescent="0.25"/>
    <row r="2688" ht="15.75" customHeight="1" x14ac:dyDescent="0.25"/>
    <row r="2689" ht="15.75" customHeight="1" x14ac:dyDescent="0.25"/>
    <row r="2690" ht="15.75" customHeight="1" x14ac:dyDescent="0.25"/>
    <row r="2691" ht="15.75" customHeight="1" x14ac:dyDescent="0.25"/>
    <row r="2692" ht="15.75" customHeight="1" x14ac:dyDescent="0.25"/>
    <row r="2693" ht="15.75" customHeight="1" x14ac:dyDescent="0.25"/>
    <row r="2694" ht="15.75" customHeight="1" x14ac:dyDescent="0.25"/>
    <row r="2695" ht="15.75" customHeight="1" x14ac:dyDescent="0.25"/>
    <row r="2696" ht="15.75" customHeight="1" x14ac:dyDescent="0.25"/>
    <row r="2697" ht="15.75" customHeight="1" x14ac:dyDescent="0.25"/>
    <row r="2698" ht="15.75" customHeight="1" x14ac:dyDescent="0.25"/>
    <row r="2699" ht="15.75" customHeight="1" x14ac:dyDescent="0.25"/>
    <row r="2700" ht="15.75" customHeight="1" x14ac:dyDescent="0.25"/>
    <row r="2701" ht="15.75" customHeight="1" x14ac:dyDescent="0.25"/>
    <row r="2702" ht="15.75" customHeight="1" x14ac:dyDescent="0.25"/>
    <row r="2703" ht="15.75" customHeight="1" x14ac:dyDescent="0.25"/>
    <row r="2704" ht="15.75" customHeight="1" x14ac:dyDescent="0.25"/>
    <row r="2705" ht="15.75" customHeight="1" x14ac:dyDescent="0.25"/>
    <row r="2706" ht="15.75" customHeight="1" x14ac:dyDescent="0.25"/>
    <row r="2707" ht="15.75" customHeight="1" x14ac:dyDescent="0.25"/>
    <row r="2708" ht="15.75" customHeight="1" x14ac:dyDescent="0.25"/>
    <row r="2709" ht="15.75" customHeight="1" x14ac:dyDescent="0.25"/>
    <row r="2710" ht="15.75" customHeight="1" x14ac:dyDescent="0.25"/>
    <row r="2711" ht="15.75" customHeight="1" x14ac:dyDescent="0.25"/>
    <row r="2712" ht="15.75" customHeight="1" x14ac:dyDescent="0.25"/>
    <row r="2713" ht="15.75" customHeight="1" x14ac:dyDescent="0.25"/>
    <row r="2714" ht="15.75" customHeight="1" x14ac:dyDescent="0.25"/>
    <row r="2715" ht="15.75" customHeight="1" x14ac:dyDescent="0.25"/>
    <row r="2716" ht="15.75" customHeight="1" x14ac:dyDescent="0.25"/>
    <row r="2717" ht="15.75" customHeight="1" x14ac:dyDescent="0.25"/>
    <row r="2718" ht="15.75" customHeight="1" x14ac:dyDescent="0.25"/>
    <row r="2719" ht="15.75" customHeight="1" x14ac:dyDescent="0.25"/>
    <row r="2720" ht="15.75" customHeight="1" x14ac:dyDescent="0.25"/>
    <row r="2721" ht="15.75" customHeight="1" x14ac:dyDescent="0.25"/>
    <row r="2722" ht="15.75" customHeight="1" x14ac:dyDescent="0.25"/>
    <row r="2723" ht="15.75" customHeight="1" x14ac:dyDescent="0.25"/>
    <row r="2724" ht="15.75" customHeight="1" x14ac:dyDescent="0.25"/>
    <row r="2725" ht="15.75" customHeight="1" x14ac:dyDescent="0.25"/>
    <row r="2726" ht="15.75" customHeight="1" x14ac:dyDescent="0.25"/>
    <row r="2727" ht="15.75" customHeight="1" x14ac:dyDescent="0.25"/>
    <row r="2728" ht="15.75" customHeight="1" x14ac:dyDescent="0.25"/>
    <row r="2729" ht="15.75" customHeight="1" x14ac:dyDescent="0.25"/>
    <row r="2730" ht="15.75" customHeight="1" x14ac:dyDescent="0.25"/>
    <row r="2731" ht="15.75" customHeight="1" x14ac:dyDescent="0.25"/>
    <row r="2732" ht="15.75" customHeight="1" x14ac:dyDescent="0.25"/>
    <row r="2733" ht="15.75" customHeight="1" x14ac:dyDescent="0.25"/>
    <row r="2734" ht="15.75" customHeight="1" x14ac:dyDescent="0.25"/>
    <row r="2735" ht="15.75" customHeight="1" x14ac:dyDescent="0.25"/>
    <row r="2736" ht="15.75" customHeight="1" x14ac:dyDescent="0.25"/>
    <row r="2737" ht="15.75" customHeight="1" x14ac:dyDescent="0.25"/>
    <row r="2738" ht="15.75" customHeight="1" x14ac:dyDescent="0.25"/>
    <row r="2739" ht="15.75" customHeight="1" x14ac:dyDescent="0.25"/>
    <row r="2740" ht="15.75" customHeight="1" x14ac:dyDescent="0.25"/>
    <row r="2741" ht="15.75" customHeight="1" x14ac:dyDescent="0.25"/>
    <row r="2742" ht="15.75" customHeight="1" x14ac:dyDescent="0.25"/>
    <row r="2743" ht="15.75" customHeight="1" x14ac:dyDescent="0.25"/>
    <row r="2744" ht="15.75" customHeight="1" x14ac:dyDescent="0.25"/>
    <row r="2745" ht="15.75" customHeight="1" x14ac:dyDescent="0.25"/>
    <row r="2746" ht="15.75" customHeight="1" x14ac:dyDescent="0.25"/>
    <row r="2747" ht="15.75" customHeight="1" x14ac:dyDescent="0.25"/>
    <row r="2748" ht="15.75" customHeight="1" x14ac:dyDescent="0.25"/>
    <row r="2749" ht="15.75" customHeight="1" x14ac:dyDescent="0.25"/>
    <row r="2750" ht="15.75" customHeight="1" x14ac:dyDescent="0.25"/>
    <row r="2751" ht="15.75" customHeight="1" x14ac:dyDescent="0.25"/>
    <row r="2752" ht="15.75" customHeight="1" x14ac:dyDescent="0.25"/>
    <row r="2753" ht="15.75" customHeight="1" x14ac:dyDescent="0.25"/>
    <row r="2754" ht="15.75" customHeight="1" x14ac:dyDescent="0.25"/>
    <row r="2755" ht="15.75" customHeight="1" x14ac:dyDescent="0.25"/>
    <row r="2756" ht="15.75" customHeight="1" x14ac:dyDescent="0.25"/>
    <row r="2757" ht="15.75" customHeight="1" x14ac:dyDescent="0.25"/>
    <row r="2758" ht="15.75" customHeight="1" x14ac:dyDescent="0.25"/>
    <row r="2759" ht="15.75" customHeight="1" x14ac:dyDescent="0.25"/>
    <row r="2760" ht="15.75" customHeight="1" x14ac:dyDescent="0.25"/>
    <row r="2761" ht="15.75" customHeight="1" x14ac:dyDescent="0.25"/>
    <row r="2762" ht="15.75" customHeight="1" x14ac:dyDescent="0.25"/>
    <row r="2763" ht="15.75" customHeight="1" x14ac:dyDescent="0.25"/>
    <row r="2764" ht="15.75" customHeight="1" x14ac:dyDescent="0.25"/>
    <row r="2765" ht="15.75" customHeight="1" x14ac:dyDescent="0.25"/>
    <row r="2766" ht="15.75" customHeight="1" x14ac:dyDescent="0.25"/>
    <row r="2767" ht="15.75" customHeight="1" x14ac:dyDescent="0.25"/>
    <row r="2768" ht="15.75" customHeight="1" x14ac:dyDescent="0.25"/>
    <row r="2769" ht="15.75" customHeight="1" x14ac:dyDescent="0.25"/>
    <row r="2770" ht="15.75" customHeight="1" x14ac:dyDescent="0.25"/>
    <row r="2771" ht="15.75" customHeight="1" x14ac:dyDescent="0.25"/>
    <row r="2772" ht="15.75" customHeight="1" x14ac:dyDescent="0.25"/>
    <row r="2773" ht="15.75" customHeight="1" x14ac:dyDescent="0.25"/>
    <row r="2774" ht="15.75" customHeight="1" x14ac:dyDescent="0.25"/>
    <row r="2775" ht="15.75" customHeight="1" x14ac:dyDescent="0.25"/>
    <row r="2776" ht="15.75" customHeight="1" x14ac:dyDescent="0.25"/>
    <row r="2777" ht="15.75" customHeight="1" x14ac:dyDescent="0.25"/>
    <row r="2778" ht="15.75" customHeight="1" x14ac:dyDescent="0.25"/>
    <row r="2779" ht="15.75" customHeight="1" x14ac:dyDescent="0.25"/>
    <row r="2780" ht="15.75" customHeight="1" x14ac:dyDescent="0.25"/>
    <row r="2781" ht="15.75" customHeight="1" x14ac:dyDescent="0.25"/>
    <row r="2782" ht="15.75" customHeight="1" x14ac:dyDescent="0.25"/>
    <row r="2783" ht="15.75" customHeight="1" x14ac:dyDescent="0.25"/>
    <row r="2784" ht="15.75" customHeight="1" x14ac:dyDescent="0.25"/>
    <row r="2785" ht="15.75" customHeight="1" x14ac:dyDescent="0.25"/>
    <row r="2786" ht="15.75" customHeight="1" x14ac:dyDescent="0.25"/>
    <row r="2787" ht="15.75" customHeight="1" x14ac:dyDescent="0.25"/>
    <row r="2788" ht="15.75" customHeight="1" x14ac:dyDescent="0.25"/>
    <row r="2789" ht="15.75" customHeight="1" x14ac:dyDescent="0.25"/>
    <row r="2790" ht="15.75" customHeight="1" x14ac:dyDescent="0.25"/>
    <row r="2791" ht="15.75" customHeight="1" x14ac:dyDescent="0.25"/>
    <row r="2792" ht="15.75" customHeight="1" x14ac:dyDescent="0.25"/>
    <row r="2793" ht="15.75" customHeight="1" x14ac:dyDescent="0.25"/>
    <row r="2794" ht="15.75" customHeight="1" x14ac:dyDescent="0.25"/>
    <row r="2795" ht="15.75" customHeight="1" x14ac:dyDescent="0.25"/>
    <row r="2796" ht="15.75" customHeight="1" x14ac:dyDescent="0.25"/>
    <row r="2797" ht="15.75" customHeight="1" x14ac:dyDescent="0.25"/>
    <row r="2798" ht="15.75" customHeight="1" x14ac:dyDescent="0.25"/>
    <row r="2799" ht="15.75" customHeight="1" x14ac:dyDescent="0.25"/>
    <row r="2800" ht="15.75" customHeight="1" x14ac:dyDescent="0.25"/>
    <row r="2801" ht="15.75" customHeight="1" x14ac:dyDescent="0.25"/>
    <row r="2802" ht="15.75" customHeight="1" x14ac:dyDescent="0.25"/>
    <row r="2803" ht="15.75" customHeight="1" x14ac:dyDescent="0.25"/>
    <row r="2804" ht="15.75" customHeight="1" x14ac:dyDescent="0.25"/>
    <row r="2805" ht="15.75" customHeight="1" x14ac:dyDescent="0.25"/>
    <row r="2806" ht="15.75" customHeight="1" x14ac:dyDescent="0.25"/>
    <row r="2807" ht="15.75" customHeight="1" x14ac:dyDescent="0.25"/>
    <row r="2808" ht="15.75" customHeight="1" x14ac:dyDescent="0.25"/>
    <row r="2809" ht="15.75" customHeight="1" x14ac:dyDescent="0.25"/>
    <row r="2810" ht="15.75" customHeight="1" x14ac:dyDescent="0.25"/>
    <row r="2811" ht="15.75" customHeight="1" x14ac:dyDescent="0.25"/>
    <row r="2812" ht="15.75" customHeight="1" x14ac:dyDescent="0.25"/>
    <row r="2813" ht="15.75" customHeight="1" x14ac:dyDescent="0.25"/>
    <row r="2814" ht="15.75" customHeight="1" x14ac:dyDescent="0.25"/>
    <row r="2815" ht="15.75" customHeight="1" x14ac:dyDescent="0.25"/>
    <row r="2816" ht="15.75" customHeight="1" x14ac:dyDescent="0.25"/>
    <row r="2817" ht="15.75" customHeight="1" x14ac:dyDescent="0.25"/>
    <row r="2818" ht="15.75" customHeight="1" x14ac:dyDescent="0.25"/>
    <row r="2819" ht="15.75" customHeight="1" x14ac:dyDescent="0.25"/>
    <row r="2820" ht="15.75" customHeight="1" x14ac:dyDescent="0.25"/>
    <row r="2821" ht="15.75" customHeight="1" x14ac:dyDescent="0.25"/>
    <row r="2822" ht="15.75" customHeight="1" x14ac:dyDescent="0.25"/>
    <row r="2823" ht="15.75" customHeight="1" x14ac:dyDescent="0.25"/>
    <row r="2824" ht="15.75" customHeight="1" x14ac:dyDescent="0.25"/>
    <row r="2825" ht="15.75" customHeight="1" x14ac:dyDescent="0.25"/>
    <row r="2826" ht="15.75" customHeight="1" x14ac:dyDescent="0.25"/>
    <row r="2827" ht="15.75" customHeight="1" x14ac:dyDescent="0.25"/>
    <row r="2828" ht="15.75" customHeight="1" x14ac:dyDescent="0.25"/>
    <row r="2829" ht="15.75" customHeight="1" x14ac:dyDescent="0.25"/>
    <row r="2830" ht="15.75" customHeight="1" x14ac:dyDescent="0.25"/>
    <row r="2831" ht="15.75" customHeight="1" x14ac:dyDescent="0.25"/>
    <row r="2832" ht="15.75" customHeight="1" x14ac:dyDescent="0.25"/>
    <row r="2833" ht="15.75" customHeight="1" x14ac:dyDescent="0.25"/>
    <row r="2834" ht="15.75" customHeight="1" x14ac:dyDescent="0.25"/>
    <row r="2835" ht="15.75" customHeight="1" x14ac:dyDescent="0.25"/>
    <row r="2836" ht="15.75" customHeight="1" x14ac:dyDescent="0.25"/>
    <row r="2837" ht="15.75" customHeight="1" x14ac:dyDescent="0.25"/>
    <row r="2838" ht="15.75" customHeight="1" x14ac:dyDescent="0.25"/>
    <row r="2839" ht="15.75" customHeight="1" x14ac:dyDescent="0.25"/>
    <row r="2840" ht="15.75" customHeight="1" x14ac:dyDescent="0.25"/>
    <row r="2841" ht="15.75" customHeight="1" x14ac:dyDescent="0.25"/>
    <row r="2842" ht="15.75" customHeight="1" x14ac:dyDescent="0.25"/>
    <row r="2843" ht="15.75" customHeight="1" x14ac:dyDescent="0.25"/>
    <row r="2844" ht="15.75" customHeight="1" x14ac:dyDescent="0.25"/>
    <row r="2845" ht="15.75" customHeight="1" x14ac:dyDescent="0.25"/>
    <row r="2846" ht="15.75" customHeight="1" x14ac:dyDescent="0.25"/>
    <row r="2847" ht="15.75" customHeight="1" x14ac:dyDescent="0.25"/>
    <row r="2848" ht="15.75" customHeight="1" x14ac:dyDescent="0.25"/>
    <row r="2849" ht="15.75" customHeight="1" x14ac:dyDescent="0.25"/>
    <row r="2850" ht="15.75" customHeight="1" x14ac:dyDescent="0.25"/>
    <row r="2851" ht="15.75" customHeight="1" x14ac:dyDescent="0.25"/>
    <row r="2852" ht="15.75" customHeight="1" x14ac:dyDescent="0.25"/>
    <row r="2853" ht="15.75" customHeight="1" x14ac:dyDescent="0.25"/>
    <row r="2854" ht="15.75" customHeight="1" x14ac:dyDescent="0.25"/>
    <row r="2855" ht="15.75" customHeight="1" x14ac:dyDescent="0.25"/>
    <row r="2856" ht="15.75" customHeight="1" x14ac:dyDescent="0.25"/>
    <row r="2857" ht="15.75" customHeight="1" x14ac:dyDescent="0.25"/>
    <row r="2858" ht="15.75" customHeight="1" x14ac:dyDescent="0.25"/>
    <row r="2859" ht="15.75" customHeight="1" x14ac:dyDescent="0.25"/>
    <row r="2860" ht="15.75" customHeight="1" x14ac:dyDescent="0.25"/>
    <row r="2861" ht="15.75" customHeight="1" x14ac:dyDescent="0.25"/>
    <row r="2862" ht="15.75" customHeight="1" x14ac:dyDescent="0.25"/>
    <row r="2863" ht="15.75" customHeight="1" x14ac:dyDescent="0.25"/>
    <row r="2864" ht="15.75" customHeight="1" x14ac:dyDescent="0.25"/>
    <row r="2865" ht="15.75" customHeight="1" x14ac:dyDescent="0.25"/>
    <row r="2866" ht="15.75" customHeight="1" x14ac:dyDescent="0.25"/>
    <row r="2867" ht="15.75" customHeight="1" x14ac:dyDescent="0.25"/>
    <row r="2868" ht="15.75" customHeight="1" x14ac:dyDescent="0.25"/>
    <row r="2869" ht="15.75" customHeight="1" x14ac:dyDescent="0.25"/>
    <row r="2870" ht="15.75" customHeight="1" x14ac:dyDescent="0.25"/>
    <row r="2871" ht="15.75" customHeight="1" x14ac:dyDescent="0.25"/>
    <row r="2872" ht="15.75" customHeight="1" x14ac:dyDescent="0.25"/>
    <row r="2873" ht="15.75" customHeight="1" x14ac:dyDescent="0.25"/>
    <row r="2874" ht="15.75" customHeight="1" x14ac:dyDescent="0.25"/>
    <row r="2875" ht="15.75" customHeight="1" x14ac:dyDescent="0.25"/>
    <row r="2876" ht="15.75" customHeight="1" x14ac:dyDescent="0.25"/>
    <row r="2877" ht="15.75" customHeight="1" x14ac:dyDescent="0.25"/>
    <row r="2878" ht="15.75" customHeight="1" x14ac:dyDescent="0.25"/>
    <row r="2879" ht="15.75" customHeight="1" x14ac:dyDescent="0.25"/>
    <row r="2880" ht="15.75" customHeight="1" x14ac:dyDescent="0.25"/>
    <row r="2881" ht="15.75" customHeight="1" x14ac:dyDescent="0.25"/>
    <row r="2882" ht="15.75" customHeight="1" x14ac:dyDescent="0.25"/>
    <row r="2883" ht="15.75" customHeight="1" x14ac:dyDescent="0.25"/>
    <row r="2884" ht="15.75" customHeight="1" x14ac:dyDescent="0.25"/>
    <row r="2885" ht="15.75" customHeight="1" x14ac:dyDescent="0.25"/>
    <row r="2886" ht="15.75" customHeight="1" x14ac:dyDescent="0.25"/>
    <row r="2887" ht="15.75" customHeight="1" x14ac:dyDescent="0.25"/>
    <row r="2888" ht="15.75" customHeight="1" x14ac:dyDescent="0.25"/>
    <row r="2889" ht="15.75" customHeight="1" x14ac:dyDescent="0.25"/>
    <row r="2890" ht="15.75" customHeight="1" x14ac:dyDescent="0.25"/>
    <row r="2891" ht="15.75" customHeight="1" x14ac:dyDescent="0.25"/>
    <row r="2892" ht="15.75" customHeight="1" x14ac:dyDescent="0.25"/>
    <row r="2893" ht="15.75" customHeight="1" x14ac:dyDescent="0.25"/>
    <row r="2894" ht="15.75" customHeight="1" x14ac:dyDescent="0.25"/>
    <row r="2895" ht="15.75" customHeight="1" x14ac:dyDescent="0.25"/>
    <row r="2896" ht="15.75" customHeight="1" x14ac:dyDescent="0.25"/>
    <row r="2897" ht="15.75" customHeight="1" x14ac:dyDescent="0.25"/>
    <row r="2898" ht="15.75" customHeight="1" x14ac:dyDescent="0.25"/>
    <row r="2899" ht="15.75" customHeight="1" x14ac:dyDescent="0.25"/>
    <row r="2900" ht="15.75" customHeight="1" x14ac:dyDescent="0.25"/>
    <row r="2901" ht="15.75" customHeight="1" x14ac:dyDescent="0.25"/>
    <row r="2902" ht="15.75" customHeight="1" x14ac:dyDescent="0.25"/>
    <row r="2903" ht="15.75" customHeight="1" x14ac:dyDescent="0.25"/>
    <row r="2904" ht="15.75" customHeight="1" x14ac:dyDescent="0.25"/>
    <row r="2905" ht="15.75" customHeight="1" x14ac:dyDescent="0.25"/>
    <row r="2906" ht="15.75" customHeight="1" x14ac:dyDescent="0.25"/>
    <row r="2907" ht="15.75" customHeight="1" x14ac:dyDescent="0.25"/>
    <row r="2908" ht="15.75" customHeight="1" x14ac:dyDescent="0.25"/>
    <row r="2909" ht="15.75" customHeight="1" x14ac:dyDescent="0.25"/>
    <row r="2910" ht="15.75" customHeight="1" x14ac:dyDescent="0.25"/>
    <row r="2911" ht="15.75" customHeight="1" x14ac:dyDescent="0.25"/>
    <row r="2912" ht="15.75" customHeight="1" x14ac:dyDescent="0.25"/>
    <row r="2913" ht="15.75" customHeight="1" x14ac:dyDescent="0.25"/>
    <row r="2914" ht="15.75" customHeight="1" x14ac:dyDescent="0.25"/>
    <row r="2915" ht="15.75" customHeight="1" x14ac:dyDescent="0.25"/>
    <row r="2916" ht="15.75" customHeight="1" x14ac:dyDescent="0.25"/>
    <row r="2917" ht="15.75" customHeight="1" x14ac:dyDescent="0.25"/>
    <row r="2918" ht="15.75" customHeight="1" x14ac:dyDescent="0.25"/>
    <row r="2919" ht="15.75" customHeight="1" x14ac:dyDescent="0.25"/>
    <row r="2920" ht="15.75" customHeight="1" x14ac:dyDescent="0.25"/>
    <row r="2921" ht="15.75" customHeight="1" x14ac:dyDescent="0.25"/>
    <row r="2922" ht="15.75" customHeight="1" x14ac:dyDescent="0.25"/>
    <row r="2923" ht="15.75" customHeight="1" x14ac:dyDescent="0.25"/>
    <row r="2924" ht="15.75" customHeight="1" x14ac:dyDescent="0.25"/>
    <row r="2925" ht="15.75" customHeight="1" x14ac:dyDescent="0.25"/>
    <row r="2926" ht="15.75" customHeight="1" x14ac:dyDescent="0.25"/>
    <row r="2927" ht="15.75" customHeight="1" x14ac:dyDescent="0.25"/>
    <row r="2928" ht="15.75" customHeight="1" x14ac:dyDescent="0.25"/>
    <row r="2929" ht="15.75" customHeight="1" x14ac:dyDescent="0.25"/>
    <row r="2930" ht="15.75" customHeight="1" x14ac:dyDescent="0.25"/>
    <row r="2931" ht="15.75" customHeight="1" x14ac:dyDescent="0.25"/>
    <row r="2932" ht="15.75" customHeight="1" x14ac:dyDescent="0.25"/>
    <row r="2933" ht="15.75" customHeight="1" x14ac:dyDescent="0.25"/>
    <row r="2934" ht="15.75" customHeight="1" x14ac:dyDescent="0.25"/>
    <row r="2935" ht="15.75" customHeight="1" x14ac:dyDescent="0.25"/>
    <row r="2936" ht="15.75" customHeight="1" x14ac:dyDescent="0.25"/>
    <row r="2937" ht="15.75" customHeight="1" x14ac:dyDescent="0.25"/>
    <row r="2938" ht="15.75" customHeight="1" x14ac:dyDescent="0.25"/>
    <row r="2939" ht="15.75" customHeight="1" x14ac:dyDescent="0.25"/>
    <row r="2940" ht="15.75" customHeight="1" x14ac:dyDescent="0.25"/>
    <row r="2941" ht="15.75" customHeight="1" x14ac:dyDescent="0.25"/>
    <row r="2942" ht="15.75" customHeight="1" x14ac:dyDescent="0.25"/>
    <row r="2943" ht="15.75" customHeight="1" x14ac:dyDescent="0.25"/>
    <row r="2944" ht="15.75" customHeight="1" x14ac:dyDescent="0.25"/>
    <row r="2945" ht="15.75" customHeight="1" x14ac:dyDescent="0.25"/>
    <row r="2946" ht="15.75" customHeight="1" x14ac:dyDescent="0.25"/>
    <row r="2947" ht="15.75" customHeight="1" x14ac:dyDescent="0.25"/>
    <row r="2948" ht="15.75" customHeight="1" x14ac:dyDescent="0.25"/>
    <row r="2949" ht="15.75" customHeight="1" x14ac:dyDescent="0.25"/>
    <row r="2950" ht="15.75" customHeight="1" x14ac:dyDescent="0.25"/>
    <row r="2951" ht="15.75" customHeight="1" x14ac:dyDescent="0.25"/>
    <row r="2952" ht="15.75" customHeight="1" x14ac:dyDescent="0.25"/>
    <row r="2953" ht="15.75" customHeight="1" x14ac:dyDescent="0.25"/>
    <row r="2954" ht="15.75" customHeight="1" x14ac:dyDescent="0.25"/>
    <row r="2955" ht="15.75" customHeight="1" x14ac:dyDescent="0.25"/>
    <row r="2956" ht="15.75" customHeight="1" x14ac:dyDescent="0.25"/>
    <row r="2957" ht="15.75" customHeight="1" x14ac:dyDescent="0.25"/>
    <row r="2958" ht="15.75" customHeight="1" x14ac:dyDescent="0.25"/>
    <row r="2959" ht="15.75" customHeight="1" x14ac:dyDescent="0.25"/>
    <row r="2960" ht="15.75" customHeight="1" x14ac:dyDescent="0.25"/>
    <row r="2961" ht="15.75" customHeight="1" x14ac:dyDescent="0.25"/>
    <row r="2962" ht="15.75" customHeight="1" x14ac:dyDescent="0.25"/>
    <row r="2963" ht="15.75" customHeight="1" x14ac:dyDescent="0.25"/>
    <row r="2964" ht="15.75" customHeight="1" x14ac:dyDescent="0.25"/>
    <row r="2965" ht="15.75" customHeight="1" x14ac:dyDescent="0.25"/>
    <row r="2966" ht="15.75" customHeight="1" x14ac:dyDescent="0.25"/>
    <row r="2967" ht="15.75" customHeight="1" x14ac:dyDescent="0.25"/>
    <row r="2968" ht="15.75" customHeight="1" x14ac:dyDescent="0.25"/>
    <row r="2969" ht="15.75" customHeight="1" x14ac:dyDescent="0.25"/>
    <row r="2970" ht="15.75" customHeight="1" x14ac:dyDescent="0.25"/>
    <row r="2971" ht="15.75" customHeight="1" x14ac:dyDescent="0.25"/>
    <row r="2972" ht="15.75" customHeight="1" x14ac:dyDescent="0.25"/>
    <row r="2973" ht="15.75" customHeight="1" x14ac:dyDescent="0.25"/>
    <row r="2974" ht="15.75" customHeight="1" x14ac:dyDescent="0.25"/>
    <row r="2975" ht="15.75" customHeight="1" x14ac:dyDescent="0.25"/>
    <row r="2976" ht="15.75" customHeight="1" x14ac:dyDescent="0.25"/>
    <row r="2977" ht="15.75" customHeight="1" x14ac:dyDescent="0.25"/>
    <row r="2978" ht="15.75" customHeight="1" x14ac:dyDescent="0.25"/>
    <row r="2979" ht="15.75" customHeight="1" x14ac:dyDescent="0.25"/>
    <row r="2980" ht="15.75" customHeight="1" x14ac:dyDescent="0.25"/>
    <row r="2981" ht="15.75" customHeight="1" x14ac:dyDescent="0.25"/>
    <row r="2982" ht="15.75" customHeight="1" x14ac:dyDescent="0.25"/>
    <row r="2983" ht="15.75" customHeight="1" x14ac:dyDescent="0.25"/>
    <row r="2984" ht="15.75" customHeight="1" x14ac:dyDescent="0.25"/>
    <row r="2985" ht="15.75" customHeight="1" x14ac:dyDescent="0.25"/>
    <row r="2986" ht="15.75" customHeight="1" x14ac:dyDescent="0.25"/>
    <row r="2987" ht="15.75" customHeight="1" x14ac:dyDescent="0.25"/>
    <row r="2988" ht="15.75" customHeight="1" x14ac:dyDescent="0.25"/>
    <row r="2989" ht="15.75" customHeight="1" x14ac:dyDescent="0.25"/>
    <row r="2990" ht="15.75" customHeight="1" x14ac:dyDescent="0.25"/>
    <row r="2991" ht="15.75" customHeight="1" x14ac:dyDescent="0.25"/>
    <row r="2992" ht="15.75" customHeight="1" x14ac:dyDescent="0.25"/>
    <row r="2993" ht="15.75" customHeight="1" x14ac:dyDescent="0.25"/>
    <row r="2994" ht="15.75" customHeight="1" x14ac:dyDescent="0.25"/>
    <row r="2995" ht="15.75" customHeight="1" x14ac:dyDescent="0.25"/>
    <row r="2996" ht="15.75" customHeight="1" x14ac:dyDescent="0.25"/>
    <row r="2997" ht="15.75" customHeight="1" x14ac:dyDescent="0.25"/>
    <row r="2998" ht="15.75" customHeight="1" x14ac:dyDescent="0.25"/>
    <row r="2999" ht="15.75" customHeight="1" x14ac:dyDescent="0.25"/>
    <row r="3000" ht="15.75" customHeight="1" x14ac:dyDescent="0.25"/>
    <row r="3001" ht="15.75" customHeight="1" x14ac:dyDescent="0.25"/>
    <row r="3002" ht="15.75" customHeight="1" x14ac:dyDescent="0.25"/>
    <row r="3003" ht="15.75" customHeight="1" x14ac:dyDescent="0.25"/>
    <row r="3004" ht="15.75" customHeight="1" x14ac:dyDescent="0.25"/>
    <row r="3005" ht="15.75" customHeight="1" x14ac:dyDescent="0.25"/>
    <row r="3006" ht="15.75" customHeight="1" x14ac:dyDescent="0.25"/>
    <row r="3007" ht="15.75" customHeight="1" x14ac:dyDescent="0.25"/>
    <row r="3008" ht="15.75" customHeight="1" x14ac:dyDescent="0.25"/>
    <row r="3009" ht="15.75" customHeight="1" x14ac:dyDescent="0.25"/>
    <row r="3010" ht="15.75" customHeight="1" x14ac:dyDescent="0.25"/>
    <row r="3011" ht="15.75" customHeight="1" x14ac:dyDescent="0.25"/>
    <row r="3012" ht="15.75" customHeight="1" x14ac:dyDescent="0.25"/>
    <row r="3013" ht="15.75" customHeight="1" x14ac:dyDescent="0.25"/>
    <row r="3014" ht="15.75" customHeight="1" x14ac:dyDescent="0.25"/>
    <row r="3015" ht="15.75" customHeight="1" x14ac:dyDescent="0.25"/>
    <row r="3016" ht="15.75" customHeight="1" x14ac:dyDescent="0.25"/>
    <row r="3017" ht="15.75" customHeight="1" x14ac:dyDescent="0.25"/>
    <row r="3018" ht="15.75" customHeight="1" x14ac:dyDescent="0.25"/>
    <row r="3019" ht="15.75" customHeight="1" x14ac:dyDescent="0.25"/>
    <row r="3020" ht="15.75" customHeight="1" x14ac:dyDescent="0.25"/>
    <row r="3021" ht="15.75" customHeight="1" x14ac:dyDescent="0.25"/>
    <row r="3022" ht="15.75" customHeight="1" x14ac:dyDescent="0.25"/>
    <row r="3023" ht="15.75" customHeight="1" x14ac:dyDescent="0.25"/>
    <row r="3024" ht="15.75" customHeight="1" x14ac:dyDescent="0.25"/>
    <row r="3025" ht="15.75" customHeight="1" x14ac:dyDescent="0.25"/>
    <row r="3026" ht="15.75" customHeight="1" x14ac:dyDescent="0.25"/>
    <row r="3027" ht="15.75" customHeight="1" x14ac:dyDescent="0.25"/>
    <row r="3028" ht="15.75" customHeight="1" x14ac:dyDescent="0.25"/>
    <row r="3029" ht="15.75" customHeight="1" x14ac:dyDescent="0.25"/>
    <row r="3030" ht="15.75" customHeight="1" x14ac:dyDescent="0.25"/>
    <row r="3031" ht="15.75" customHeight="1" x14ac:dyDescent="0.25"/>
    <row r="3032" ht="15.75" customHeight="1" x14ac:dyDescent="0.25"/>
    <row r="3033" ht="15.75" customHeight="1" x14ac:dyDescent="0.25"/>
    <row r="3034" ht="15.75" customHeight="1" x14ac:dyDescent="0.25"/>
    <row r="3035" ht="15.75" customHeight="1" x14ac:dyDescent="0.25"/>
    <row r="3036" ht="15.75" customHeight="1" x14ac:dyDescent="0.25"/>
    <row r="3037" ht="15.75" customHeight="1" x14ac:dyDescent="0.25"/>
    <row r="3038" ht="15.75" customHeight="1" x14ac:dyDescent="0.25"/>
    <row r="3039" ht="15.75" customHeight="1" x14ac:dyDescent="0.25"/>
    <row r="3040" ht="15.75" customHeight="1" x14ac:dyDescent="0.25"/>
    <row r="3041" ht="15.75" customHeight="1" x14ac:dyDescent="0.25"/>
    <row r="3042" ht="15.75" customHeight="1" x14ac:dyDescent="0.25"/>
    <row r="3043" ht="15.75" customHeight="1" x14ac:dyDescent="0.25"/>
    <row r="3044" ht="15.75" customHeight="1" x14ac:dyDescent="0.25"/>
    <row r="3045" ht="15.75" customHeight="1" x14ac:dyDescent="0.25"/>
    <row r="3046" ht="15.75" customHeight="1" x14ac:dyDescent="0.25"/>
    <row r="3047" ht="15.75" customHeight="1" x14ac:dyDescent="0.25"/>
    <row r="3048" ht="15.75" customHeight="1" x14ac:dyDescent="0.25"/>
    <row r="3049" ht="15.75" customHeight="1" x14ac:dyDescent="0.25"/>
    <row r="3050" ht="15.75" customHeight="1" x14ac:dyDescent="0.25"/>
    <row r="3051" ht="15.75" customHeight="1" x14ac:dyDescent="0.25"/>
    <row r="3052" ht="15.75" customHeight="1" x14ac:dyDescent="0.25"/>
    <row r="3053" ht="15.75" customHeight="1" x14ac:dyDescent="0.25"/>
    <row r="3054" ht="15.75" customHeight="1" x14ac:dyDescent="0.25"/>
    <row r="3055" ht="15.75" customHeight="1" x14ac:dyDescent="0.25"/>
    <row r="3056" ht="15.75" customHeight="1" x14ac:dyDescent="0.25"/>
    <row r="3057" ht="15.75" customHeight="1" x14ac:dyDescent="0.25"/>
    <row r="3058" ht="15.75" customHeight="1" x14ac:dyDescent="0.25"/>
    <row r="3059" ht="15.75" customHeight="1" x14ac:dyDescent="0.25"/>
    <row r="3060" ht="15.75" customHeight="1" x14ac:dyDescent="0.25"/>
    <row r="3061" ht="15.75" customHeight="1" x14ac:dyDescent="0.25"/>
    <row r="3062" ht="15.75" customHeight="1" x14ac:dyDescent="0.25"/>
    <row r="3063" ht="15.75" customHeight="1" x14ac:dyDescent="0.25"/>
    <row r="3064" ht="15.75" customHeight="1" x14ac:dyDescent="0.25"/>
    <row r="3065" ht="15.75" customHeight="1" x14ac:dyDescent="0.25"/>
    <row r="3066" ht="15.75" customHeight="1" x14ac:dyDescent="0.25"/>
    <row r="3067" ht="15.75" customHeight="1" x14ac:dyDescent="0.25"/>
    <row r="3068" ht="15.75" customHeight="1" x14ac:dyDescent="0.25"/>
    <row r="3069" ht="15.75" customHeight="1" x14ac:dyDescent="0.25"/>
    <row r="3070" ht="15.75" customHeight="1" x14ac:dyDescent="0.25"/>
    <row r="3071" ht="15.75" customHeight="1" x14ac:dyDescent="0.25"/>
    <row r="3072" ht="15.75" customHeight="1" x14ac:dyDescent="0.25"/>
    <row r="3073" ht="15.75" customHeight="1" x14ac:dyDescent="0.25"/>
    <row r="3074" ht="15.75" customHeight="1" x14ac:dyDescent="0.25"/>
    <row r="3075" ht="15.75" customHeight="1" x14ac:dyDescent="0.25"/>
    <row r="3076" ht="15.75" customHeight="1" x14ac:dyDescent="0.25"/>
    <row r="3077" ht="15.75" customHeight="1" x14ac:dyDescent="0.25"/>
    <row r="3078" ht="15.75" customHeight="1" x14ac:dyDescent="0.25"/>
    <row r="3079" ht="15.75" customHeight="1" x14ac:dyDescent="0.25"/>
    <row r="3080" ht="15.75" customHeight="1" x14ac:dyDescent="0.25"/>
    <row r="3081" ht="15.75" customHeight="1" x14ac:dyDescent="0.25"/>
    <row r="3082" ht="15.75" customHeight="1" x14ac:dyDescent="0.25"/>
    <row r="3083" ht="15.75" customHeight="1" x14ac:dyDescent="0.25"/>
    <row r="3084" ht="15.75" customHeight="1" x14ac:dyDescent="0.25"/>
    <row r="3085" ht="15.75" customHeight="1" x14ac:dyDescent="0.25"/>
    <row r="3086" ht="15.75" customHeight="1" x14ac:dyDescent="0.25"/>
    <row r="3087" ht="15.75" customHeight="1" x14ac:dyDescent="0.25"/>
    <row r="3088" ht="15.75" customHeight="1" x14ac:dyDescent="0.25"/>
    <row r="3089" ht="15.75" customHeight="1" x14ac:dyDescent="0.25"/>
    <row r="3090" ht="15.75" customHeight="1" x14ac:dyDescent="0.25"/>
    <row r="3091" ht="15.75" customHeight="1" x14ac:dyDescent="0.25"/>
    <row r="3092" ht="15.75" customHeight="1" x14ac:dyDescent="0.25"/>
    <row r="3093" ht="15.75" customHeight="1" x14ac:dyDescent="0.25"/>
    <row r="3094" ht="15.75" customHeight="1" x14ac:dyDescent="0.25"/>
    <row r="3095" ht="15.75" customHeight="1" x14ac:dyDescent="0.25"/>
    <row r="3096" ht="15.75" customHeight="1" x14ac:dyDescent="0.25"/>
    <row r="3097" ht="15.75" customHeight="1" x14ac:dyDescent="0.25"/>
    <row r="3098" ht="15.75" customHeight="1" x14ac:dyDescent="0.25"/>
    <row r="3099" ht="15.75" customHeight="1" x14ac:dyDescent="0.25"/>
    <row r="3100" ht="15.75" customHeight="1" x14ac:dyDescent="0.25"/>
    <row r="3101" ht="15.75" customHeight="1" x14ac:dyDescent="0.25"/>
    <row r="3102" ht="15.75" customHeight="1" x14ac:dyDescent="0.25"/>
    <row r="3103" ht="15.75" customHeight="1" x14ac:dyDescent="0.25"/>
    <row r="3104" ht="15.75" customHeight="1" x14ac:dyDescent="0.25"/>
    <row r="3105" ht="15.75" customHeight="1" x14ac:dyDescent="0.25"/>
    <row r="3106" ht="15.75" customHeight="1" x14ac:dyDescent="0.25"/>
    <row r="3107" ht="15.75" customHeight="1" x14ac:dyDescent="0.25"/>
    <row r="3108" ht="15.75" customHeight="1" x14ac:dyDescent="0.25"/>
    <row r="3109" ht="15.75" customHeight="1" x14ac:dyDescent="0.25"/>
    <row r="3110" ht="15.75" customHeight="1" x14ac:dyDescent="0.25"/>
    <row r="3111" ht="15.75" customHeight="1" x14ac:dyDescent="0.25"/>
    <row r="3112" ht="15.75" customHeight="1" x14ac:dyDescent="0.25"/>
    <row r="3113" ht="15.75" customHeight="1" x14ac:dyDescent="0.25"/>
    <row r="3114" ht="15.75" customHeight="1" x14ac:dyDescent="0.25"/>
    <row r="3115" ht="15.75" customHeight="1" x14ac:dyDescent="0.25"/>
    <row r="3116" ht="15.75" customHeight="1" x14ac:dyDescent="0.25"/>
    <row r="3117" ht="15.75" customHeight="1" x14ac:dyDescent="0.25"/>
    <row r="3118" ht="15.75" customHeight="1" x14ac:dyDescent="0.25"/>
    <row r="3119" ht="15.75" customHeight="1" x14ac:dyDescent="0.25"/>
    <row r="3120" ht="15.75" customHeight="1" x14ac:dyDescent="0.25"/>
    <row r="3121" ht="15.75" customHeight="1" x14ac:dyDescent="0.25"/>
    <row r="3122" ht="15.75" customHeight="1" x14ac:dyDescent="0.25"/>
    <row r="3123" ht="15.75" customHeight="1" x14ac:dyDescent="0.25"/>
    <row r="3124" ht="15.75" customHeight="1" x14ac:dyDescent="0.25"/>
    <row r="3125" ht="15.75" customHeight="1" x14ac:dyDescent="0.25"/>
    <row r="3126" ht="15.75" customHeight="1" x14ac:dyDescent="0.25"/>
    <row r="3127" ht="15.75" customHeight="1" x14ac:dyDescent="0.25"/>
    <row r="3128" ht="15.75" customHeight="1" x14ac:dyDescent="0.25"/>
    <row r="3129" ht="15.75" customHeight="1" x14ac:dyDescent="0.25"/>
    <row r="3130" ht="15.75" customHeight="1" x14ac:dyDescent="0.25"/>
    <row r="3131" ht="15.75" customHeight="1" x14ac:dyDescent="0.25"/>
    <row r="3132" ht="15.75" customHeight="1" x14ac:dyDescent="0.25"/>
    <row r="3133" ht="15.75" customHeight="1" x14ac:dyDescent="0.25"/>
    <row r="3134" ht="15.75" customHeight="1" x14ac:dyDescent="0.25"/>
    <row r="3135" ht="15.75" customHeight="1" x14ac:dyDescent="0.25"/>
    <row r="3136" ht="15.75" customHeight="1" x14ac:dyDescent="0.25"/>
    <row r="3137" ht="15.75" customHeight="1" x14ac:dyDescent="0.25"/>
    <row r="3138" ht="15.75" customHeight="1" x14ac:dyDescent="0.25"/>
    <row r="3139" ht="15.75" customHeight="1" x14ac:dyDescent="0.25"/>
    <row r="3140" ht="15.75" customHeight="1" x14ac:dyDescent="0.25"/>
    <row r="3141" ht="15.75" customHeight="1" x14ac:dyDescent="0.25"/>
    <row r="3142" ht="15.75" customHeight="1" x14ac:dyDescent="0.25"/>
    <row r="3143" ht="15.75" customHeight="1" x14ac:dyDescent="0.25"/>
    <row r="3144" ht="15.75" customHeight="1" x14ac:dyDescent="0.25"/>
    <row r="3145" ht="15.75" customHeight="1" x14ac:dyDescent="0.25"/>
    <row r="3146" ht="15.75" customHeight="1" x14ac:dyDescent="0.25"/>
    <row r="3147" ht="15.75" customHeight="1" x14ac:dyDescent="0.25"/>
    <row r="3148" ht="15.75" customHeight="1" x14ac:dyDescent="0.25"/>
    <row r="3149" ht="15.75" customHeight="1" x14ac:dyDescent="0.25"/>
    <row r="3150" ht="15.75" customHeight="1" x14ac:dyDescent="0.25"/>
    <row r="3151" ht="15.75" customHeight="1" x14ac:dyDescent="0.25"/>
    <row r="3152" ht="15.75" customHeight="1" x14ac:dyDescent="0.25"/>
    <row r="3153" ht="15.75" customHeight="1" x14ac:dyDescent="0.25"/>
    <row r="3154" ht="15.75" customHeight="1" x14ac:dyDescent="0.25"/>
    <row r="3155" ht="15.75" customHeight="1" x14ac:dyDescent="0.25"/>
    <row r="3156" ht="15.75" customHeight="1" x14ac:dyDescent="0.25"/>
    <row r="3157" ht="15.75" customHeight="1" x14ac:dyDescent="0.25"/>
    <row r="3158" ht="15.75" customHeight="1" x14ac:dyDescent="0.25"/>
    <row r="3159" ht="15.75" customHeight="1" x14ac:dyDescent="0.25"/>
    <row r="3160" ht="15.75" customHeight="1" x14ac:dyDescent="0.25"/>
    <row r="3161" ht="15.75" customHeight="1" x14ac:dyDescent="0.25"/>
    <row r="3162" ht="15.75" customHeight="1" x14ac:dyDescent="0.25"/>
    <row r="3163" ht="15.75" customHeight="1" x14ac:dyDescent="0.25"/>
    <row r="3164" ht="15.75" customHeight="1" x14ac:dyDescent="0.25"/>
    <row r="3165" ht="15.75" customHeight="1" x14ac:dyDescent="0.25"/>
    <row r="3166" ht="15.75" customHeight="1" x14ac:dyDescent="0.25"/>
    <row r="3167" ht="15.75" customHeight="1" x14ac:dyDescent="0.25"/>
    <row r="3168" ht="15.75" customHeight="1" x14ac:dyDescent="0.25"/>
    <row r="3169" ht="15.75" customHeight="1" x14ac:dyDescent="0.25"/>
    <row r="3170" ht="15.75" customHeight="1" x14ac:dyDescent="0.25"/>
    <row r="3171" ht="15.75" customHeight="1" x14ac:dyDescent="0.25"/>
    <row r="3172" ht="15.75" customHeight="1" x14ac:dyDescent="0.25"/>
    <row r="3173" ht="15.75" customHeight="1" x14ac:dyDescent="0.25"/>
    <row r="3174" ht="15.75" customHeight="1" x14ac:dyDescent="0.25"/>
    <row r="3175" ht="15.75" customHeight="1" x14ac:dyDescent="0.25"/>
    <row r="3176" ht="15.75" customHeight="1" x14ac:dyDescent="0.25"/>
    <row r="3177" ht="15.75" customHeight="1" x14ac:dyDescent="0.25"/>
    <row r="3178" ht="15.75" customHeight="1" x14ac:dyDescent="0.25"/>
    <row r="3179" ht="15.75" customHeight="1" x14ac:dyDescent="0.25"/>
    <row r="3180" ht="15.75" customHeight="1" x14ac:dyDescent="0.25"/>
    <row r="3181" ht="15.75" customHeight="1" x14ac:dyDescent="0.25"/>
    <row r="3182" ht="15.75" customHeight="1" x14ac:dyDescent="0.25"/>
    <row r="3183" ht="15.75" customHeight="1" x14ac:dyDescent="0.25"/>
    <row r="3184" ht="15.75" customHeight="1" x14ac:dyDescent="0.25"/>
    <row r="3185" ht="15.75" customHeight="1" x14ac:dyDescent="0.25"/>
    <row r="3186" ht="15.75" customHeight="1" x14ac:dyDescent="0.25"/>
    <row r="3187" ht="15.75" customHeight="1" x14ac:dyDescent="0.25"/>
    <row r="3188" ht="15.75" customHeight="1" x14ac:dyDescent="0.25"/>
    <row r="3189" ht="15.75" customHeight="1" x14ac:dyDescent="0.25"/>
    <row r="3190" ht="15.75" customHeight="1" x14ac:dyDescent="0.25"/>
    <row r="3191" ht="15.75" customHeight="1" x14ac:dyDescent="0.25"/>
    <row r="3192" ht="15.75" customHeight="1" x14ac:dyDescent="0.25"/>
    <row r="3193" ht="15.75" customHeight="1" x14ac:dyDescent="0.25"/>
    <row r="3194" ht="15.75" customHeight="1" x14ac:dyDescent="0.25"/>
    <row r="3195" ht="15.75" customHeight="1" x14ac:dyDescent="0.25"/>
    <row r="3196" ht="15.75" customHeight="1" x14ac:dyDescent="0.25"/>
    <row r="3197" ht="15.75" customHeight="1" x14ac:dyDescent="0.25"/>
    <row r="3198" ht="15.75" customHeight="1" x14ac:dyDescent="0.25"/>
    <row r="3199" ht="15.75" customHeight="1" x14ac:dyDescent="0.25"/>
    <row r="3200" ht="15.75" customHeight="1" x14ac:dyDescent="0.25"/>
    <row r="3201" ht="15.75" customHeight="1" x14ac:dyDescent="0.25"/>
    <row r="3202" ht="15.75" customHeight="1" x14ac:dyDescent="0.25"/>
    <row r="3203" ht="15.75" customHeight="1" x14ac:dyDescent="0.25"/>
    <row r="3204" ht="15.75" customHeight="1" x14ac:dyDescent="0.25"/>
    <row r="3205" ht="15.75" customHeight="1" x14ac:dyDescent="0.25"/>
    <row r="3206" ht="15.75" customHeight="1" x14ac:dyDescent="0.25"/>
    <row r="3207" ht="15.75" customHeight="1" x14ac:dyDescent="0.25"/>
    <row r="3208" ht="15.75" customHeight="1" x14ac:dyDescent="0.25"/>
    <row r="3209" ht="15.75" customHeight="1" x14ac:dyDescent="0.25"/>
    <row r="3210" ht="15.75" customHeight="1" x14ac:dyDescent="0.25"/>
    <row r="3211" ht="15.75" customHeight="1" x14ac:dyDescent="0.25"/>
    <row r="3212" ht="15.75" customHeight="1" x14ac:dyDescent="0.25"/>
    <row r="3213" ht="15.75" customHeight="1" x14ac:dyDescent="0.25"/>
    <row r="3214" ht="15.75" customHeight="1" x14ac:dyDescent="0.25"/>
    <row r="3215" ht="15.75" customHeight="1" x14ac:dyDescent="0.25"/>
    <row r="3216" ht="15.75" customHeight="1" x14ac:dyDescent="0.25"/>
    <row r="3217" ht="15.75" customHeight="1" x14ac:dyDescent="0.25"/>
    <row r="3218" ht="15.75" customHeight="1" x14ac:dyDescent="0.25"/>
    <row r="3219" ht="15.75" customHeight="1" x14ac:dyDescent="0.25"/>
    <row r="3220" ht="15.75" customHeight="1" x14ac:dyDescent="0.25"/>
    <row r="3221" ht="15.75" customHeight="1" x14ac:dyDescent="0.25"/>
    <row r="3222" ht="15.75" customHeight="1" x14ac:dyDescent="0.25"/>
    <row r="3223" ht="15.75" customHeight="1" x14ac:dyDescent="0.25"/>
    <row r="3224" ht="15.75" customHeight="1" x14ac:dyDescent="0.25"/>
    <row r="3225" ht="15.75" customHeight="1" x14ac:dyDescent="0.25"/>
    <row r="3226" ht="15.75" customHeight="1" x14ac:dyDescent="0.25"/>
    <row r="3227" ht="15.75" customHeight="1" x14ac:dyDescent="0.25"/>
    <row r="3228" ht="15.75" customHeight="1" x14ac:dyDescent="0.25"/>
    <row r="3229" ht="15.75" customHeight="1" x14ac:dyDescent="0.25"/>
    <row r="3230" ht="15.75" customHeight="1" x14ac:dyDescent="0.25"/>
    <row r="3231" ht="15.75" customHeight="1" x14ac:dyDescent="0.25"/>
    <row r="3232" ht="15.75" customHeight="1" x14ac:dyDescent="0.25"/>
    <row r="3233" ht="15.75" customHeight="1" x14ac:dyDescent="0.25"/>
    <row r="3234" ht="15.75" customHeight="1" x14ac:dyDescent="0.25"/>
    <row r="3235" ht="15.75" customHeight="1" x14ac:dyDescent="0.25"/>
    <row r="3236" ht="15.75" customHeight="1" x14ac:dyDescent="0.25"/>
    <row r="3237" ht="15.75" customHeight="1" x14ac:dyDescent="0.25"/>
    <row r="3238" ht="15.75" customHeight="1" x14ac:dyDescent="0.25"/>
    <row r="3239" ht="15.75" customHeight="1" x14ac:dyDescent="0.25"/>
    <row r="3240" ht="15.75" customHeight="1" x14ac:dyDescent="0.25"/>
    <row r="3241" ht="15.75" customHeight="1" x14ac:dyDescent="0.25"/>
    <row r="3242" ht="15.75" customHeight="1" x14ac:dyDescent="0.25"/>
    <row r="3243" ht="15.75" customHeight="1" x14ac:dyDescent="0.25"/>
    <row r="3244" ht="15.75" customHeight="1" x14ac:dyDescent="0.25"/>
    <row r="3245" ht="15.75" customHeight="1" x14ac:dyDescent="0.25"/>
    <row r="3246" ht="15.75" customHeight="1" x14ac:dyDescent="0.25"/>
    <row r="3247" ht="15.75" customHeight="1" x14ac:dyDescent="0.25"/>
    <row r="3248" ht="15.75" customHeight="1" x14ac:dyDescent="0.25"/>
    <row r="3249" ht="15.75" customHeight="1" x14ac:dyDescent="0.25"/>
    <row r="3250" ht="15.75" customHeight="1" x14ac:dyDescent="0.25"/>
    <row r="3251" ht="15.75" customHeight="1" x14ac:dyDescent="0.25"/>
    <row r="3252" ht="15.75" customHeight="1" x14ac:dyDescent="0.25"/>
    <row r="3253" ht="15.75" customHeight="1" x14ac:dyDescent="0.25"/>
    <row r="3254" ht="15.75" customHeight="1" x14ac:dyDescent="0.25"/>
    <row r="3255" ht="15.75" customHeight="1" x14ac:dyDescent="0.25"/>
    <row r="3256" ht="15.75" customHeight="1" x14ac:dyDescent="0.25"/>
    <row r="3257" ht="15.75" customHeight="1" x14ac:dyDescent="0.25"/>
    <row r="3258" ht="15.75" customHeight="1" x14ac:dyDescent="0.25"/>
    <row r="3259" ht="15.75" customHeight="1" x14ac:dyDescent="0.25"/>
    <row r="3260" ht="15.75" customHeight="1" x14ac:dyDescent="0.25"/>
    <row r="3261" ht="15.75" customHeight="1" x14ac:dyDescent="0.25"/>
    <row r="3262" ht="15.75" customHeight="1" x14ac:dyDescent="0.25"/>
    <row r="3263" ht="15.75" customHeight="1" x14ac:dyDescent="0.25"/>
    <row r="3264" ht="15.75" customHeight="1" x14ac:dyDescent="0.25"/>
    <row r="3265" ht="15.75" customHeight="1" x14ac:dyDescent="0.25"/>
    <row r="3266" ht="15.75" customHeight="1" x14ac:dyDescent="0.25"/>
    <row r="3267" ht="15.75" customHeight="1" x14ac:dyDescent="0.25"/>
    <row r="3268" ht="15.75" customHeight="1" x14ac:dyDescent="0.25"/>
    <row r="3269" ht="15.75" customHeight="1" x14ac:dyDescent="0.25"/>
    <row r="3270" ht="15.75" customHeight="1" x14ac:dyDescent="0.25"/>
    <row r="3271" ht="15.75" customHeight="1" x14ac:dyDescent="0.25"/>
    <row r="3272" ht="15.75" customHeight="1" x14ac:dyDescent="0.25"/>
    <row r="3273" ht="15.75" customHeight="1" x14ac:dyDescent="0.25"/>
    <row r="3274" ht="15.75" customHeight="1" x14ac:dyDescent="0.25"/>
    <row r="3275" ht="15.75" customHeight="1" x14ac:dyDescent="0.25"/>
    <row r="3276" ht="15.75" customHeight="1" x14ac:dyDescent="0.25"/>
    <row r="3277" ht="15.75" customHeight="1" x14ac:dyDescent="0.25"/>
    <row r="3278" ht="15.75" customHeight="1" x14ac:dyDescent="0.25"/>
    <row r="3279" ht="15.75" customHeight="1" x14ac:dyDescent="0.25"/>
    <row r="3280" ht="15.75" customHeight="1" x14ac:dyDescent="0.25"/>
    <row r="3281" ht="15.75" customHeight="1" x14ac:dyDescent="0.25"/>
    <row r="3282" ht="15.75" customHeight="1" x14ac:dyDescent="0.25"/>
    <row r="3283" ht="15.75" customHeight="1" x14ac:dyDescent="0.25"/>
    <row r="3284" ht="15.75" customHeight="1" x14ac:dyDescent="0.25"/>
    <row r="3285" ht="15.75" customHeight="1" x14ac:dyDescent="0.25"/>
    <row r="3286" ht="15.75" customHeight="1" x14ac:dyDescent="0.25"/>
    <row r="3287" ht="15.75" customHeight="1" x14ac:dyDescent="0.25"/>
    <row r="3288" ht="15.75" customHeight="1" x14ac:dyDescent="0.25"/>
    <row r="3289" ht="15.75" customHeight="1" x14ac:dyDescent="0.25"/>
    <row r="3290" ht="15.75" customHeight="1" x14ac:dyDescent="0.25"/>
    <row r="3291" ht="15.75" customHeight="1" x14ac:dyDescent="0.25"/>
    <row r="3292" ht="15.75" customHeight="1" x14ac:dyDescent="0.25"/>
    <row r="3293" ht="15.75" customHeight="1" x14ac:dyDescent="0.25"/>
    <row r="3294" ht="15.75" customHeight="1" x14ac:dyDescent="0.25"/>
    <row r="3295" ht="15.75" customHeight="1" x14ac:dyDescent="0.25"/>
    <row r="3296" ht="15.75" customHeight="1" x14ac:dyDescent="0.25"/>
    <row r="3297" ht="15.75" customHeight="1" x14ac:dyDescent="0.25"/>
    <row r="3298" ht="15.75" customHeight="1" x14ac:dyDescent="0.25"/>
    <row r="3299" ht="15.75" customHeight="1" x14ac:dyDescent="0.25"/>
    <row r="3300" ht="15.75" customHeight="1" x14ac:dyDescent="0.25"/>
    <row r="3301" ht="15.75" customHeight="1" x14ac:dyDescent="0.25"/>
    <row r="3302" ht="15.75" customHeight="1" x14ac:dyDescent="0.25"/>
    <row r="3303" ht="15.75" customHeight="1" x14ac:dyDescent="0.25"/>
    <row r="3304" ht="15.75" customHeight="1" x14ac:dyDescent="0.25"/>
    <row r="3305" ht="15.75" customHeight="1" x14ac:dyDescent="0.25"/>
    <row r="3306" ht="15.75" customHeight="1" x14ac:dyDescent="0.25"/>
    <row r="3307" ht="15.75" customHeight="1" x14ac:dyDescent="0.25"/>
    <row r="3308" ht="15.75" customHeight="1" x14ac:dyDescent="0.25"/>
    <row r="3309" ht="15.75" customHeight="1" x14ac:dyDescent="0.25"/>
    <row r="3310" ht="15.75" customHeight="1" x14ac:dyDescent="0.25"/>
    <row r="3311" ht="15.75" customHeight="1" x14ac:dyDescent="0.25"/>
    <row r="3312" ht="15.75" customHeight="1" x14ac:dyDescent="0.25"/>
    <row r="3313" ht="15.75" customHeight="1" x14ac:dyDescent="0.25"/>
    <row r="3314" ht="15.75" customHeight="1" x14ac:dyDescent="0.25"/>
    <row r="3315" ht="15.75" customHeight="1" x14ac:dyDescent="0.25"/>
    <row r="3316" ht="15.75" customHeight="1" x14ac:dyDescent="0.25"/>
    <row r="3317" ht="15.75" customHeight="1" x14ac:dyDescent="0.25"/>
    <row r="3318" ht="15.75" customHeight="1" x14ac:dyDescent="0.25"/>
    <row r="3319" ht="15.75" customHeight="1" x14ac:dyDescent="0.25"/>
    <row r="3320" ht="15.75" customHeight="1" x14ac:dyDescent="0.25"/>
    <row r="3321" ht="15.75" customHeight="1" x14ac:dyDescent="0.25"/>
    <row r="3322" ht="15.75" customHeight="1" x14ac:dyDescent="0.25"/>
    <row r="3323" ht="15.75" customHeight="1" x14ac:dyDescent="0.25"/>
    <row r="3324" ht="15.75" customHeight="1" x14ac:dyDescent="0.25"/>
    <row r="3325" ht="15.75" customHeight="1" x14ac:dyDescent="0.25"/>
    <row r="3326" ht="15.75" customHeight="1" x14ac:dyDescent="0.25"/>
    <row r="3327" ht="15.75" customHeight="1" x14ac:dyDescent="0.25"/>
    <row r="3328" ht="15.75" customHeight="1" x14ac:dyDescent="0.25"/>
    <row r="3329" ht="15.75" customHeight="1" x14ac:dyDescent="0.25"/>
    <row r="3330" ht="15.75" customHeight="1" x14ac:dyDescent="0.25"/>
    <row r="3331" ht="15.75" customHeight="1" x14ac:dyDescent="0.25"/>
    <row r="3332" ht="15.75" customHeight="1" x14ac:dyDescent="0.25"/>
    <row r="3333" ht="15.75" customHeight="1" x14ac:dyDescent="0.25"/>
    <row r="3334" ht="15.75" customHeight="1" x14ac:dyDescent="0.25"/>
    <row r="3335" ht="15.75" customHeight="1" x14ac:dyDescent="0.25"/>
    <row r="3336" ht="15.75" customHeight="1" x14ac:dyDescent="0.25"/>
    <row r="3337" ht="15.75" customHeight="1" x14ac:dyDescent="0.25"/>
    <row r="3338" ht="15.75" customHeight="1" x14ac:dyDescent="0.25"/>
    <row r="3339" ht="15.75" customHeight="1" x14ac:dyDescent="0.25"/>
    <row r="3340" ht="15.75" customHeight="1" x14ac:dyDescent="0.25"/>
    <row r="3341" ht="15.75" customHeight="1" x14ac:dyDescent="0.25"/>
    <row r="3342" ht="15.75" customHeight="1" x14ac:dyDescent="0.25"/>
    <row r="3343" ht="15.75" customHeight="1" x14ac:dyDescent="0.25"/>
    <row r="3344" ht="15.75" customHeight="1" x14ac:dyDescent="0.25"/>
    <row r="3345" ht="15.75" customHeight="1" x14ac:dyDescent="0.25"/>
    <row r="3346" ht="15.75" customHeight="1" x14ac:dyDescent="0.25"/>
    <row r="3347" ht="15.75" customHeight="1" x14ac:dyDescent="0.25"/>
    <row r="3348" ht="15.75" customHeight="1" x14ac:dyDescent="0.25"/>
    <row r="3349" ht="15.75" customHeight="1" x14ac:dyDescent="0.25"/>
    <row r="3350" ht="15.75" customHeight="1" x14ac:dyDescent="0.25"/>
    <row r="3351" ht="15.75" customHeight="1" x14ac:dyDescent="0.25"/>
    <row r="3352" ht="15.75" customHeight="1" x14ac:dyDescent="0.25"/>
    <row r="3353" ht="15.75" customHeight="1" x14ac:dyDescent="0.25"/>
    <row r="3354" ht="15.75" customHeight="1" x14ac:dyDescent="0.25"/>
    <row r="3355" ht="15.75" customHeight="1" x14ac:dyDescent="0.25"/>
    <row r="3356" ht="15.75" customHeight="1" x14ac:dyDescent="0.25"/>
    <row r="3357" ht="15.75" customHeight="1" x14ac:dyDescent="0.25"/>
    <row r="3358" ht="15.75" customHeight="1" x14ac:dyDescent="0.25"/>
    <row r="3359" ht="15.75" customHeight="1" x14ac:dyDescent="0.25"/>
    <row r="3360" ht="15.75" customHeight="1" x14ac:dyDescent="0.25"/>
    <row r="3361" ht="15.75" customHeight="1" x14ac:dyDescent="0.25"/>
    <row r="3362" ht="15.75" customHeight="1" x14ac:dyDescent="0.25"/>
    <row r="3363" ht="15.75" customHeight="1" x14ac:dyDescent="0.25"/>
    <row r="3364" ht="15.75" customHeight="1" x14ac:dyDescent="0.25"/>
    <row r="3365" ht="15.75" customHeight="1" x14ac:dyDescent="0.25"/>
    <row r="3366" ht="15.75" customHeight="1" x14ac:dyDescent="0.25"/>
    <row r="3367" ht="15.75" customHeight="1" x14ac:dyDescent="0.25"/>
    <row r="3368" ht="15.75" customHeight="1" x14ac:dyDescent="0.25"/>
    <row r="3369" ht="15.75" customHeight="1" x14ac:dyDescent="0.25"/>
    <row r="3370" ht="15.75" customHeight="1" x14ac:dyDescent="0.25"/>
    <row r="3371" ht="15.75" customHeight="1" x14ac:dyDescent="0.25"/>
    <row r="3372" ht="15.75" customHeight="1" x14ac:dyDescent="0.25"/>
    <row r="3373" ht="15.75" customHeight="1" x14ac:dyDescent="0.25"/>
    <row r="3374" ht="15.75" customHeight="1" x14ac:dyDescent="0.25"/>
    <row r="3375" ht="15.75" customHeight="1" x14ac:dyDescent="0.25"/>
    <row r="3376" ht="15.75" customHeight="1" x14ac:dyDescent="0.25"/>
    <row r="3377" ht="15.75" customHeight="1" x14ac:dyDescent="0.25"/>
    <row r="3378" ht="15.75" customHeight="1" x14ac:dyDescent="0.25"/>
    <row r="3379" ht="15.75" customHeight="1" x14ac:dyDescent="0.25"/>
    <row r="3380" ht="15.75" customHeight="1" x14ac:dyDescent="0.25"/>
    <row r="3381" ht="15.75" customHeight="1" x14ac:dyDescent="0.25"/>
    <row r="3382" ht="15.75" customHeight="1" x14ac:dyDescent="0.25"/>
    <row r="3383" ht="15.75" customHeight="1" x14ac:dyDescent="0.25"/>
    <row r="3384" ht="15.75" customHeight="1" x14ac:dyDescent="0.25"/>
    <row r="3385" ht="15.75" customHeight="1" x14ac:dyDescent="0.25"/>
    <row r="3386" ht="15.75" customHeight="1" x14ac:dyDescent="0.25"/>
    <row r="3387" ht="15.75" customHeight="1" x14ac:dyDescent="0.25"/>
    <row r="3388" ht="15.75" customHeight="1" x14ac:dyDescent="0.25"/>
    <row r="3389" ht="15.75" customHeight="1" x14ac:dyDescent="0.25"/>
    <row r="3390" ht="15.75" customHeight="1" x14ac:dyDescent="0.25"/>
    <row r="3391" ht="15.75" customHeight="1" x14ac:dyDescent="0.25"/>
    <row r="3392" ht="15.75" customHeight="1" x14ac:dyDescent="0.25"/>
    <row r="3393" ht="15.75" customHeight="1" x14ac:dyDescent="0.25"/>
    <row r="3394" ht="15.75" customHeight="1" x14ac:dyDescent="0.25"/>
    <row r="3395" ht="15.75" customHeight="1" x14ac:dyDescent="0.25"/>
    <row r="3396" ht="15.75" customHeight="1" x14ac:dyDescent="0.25"/>
    <row r="3397" ht="15.75" customHeight="1" x14ac:dyDescent="0.25"/>
    <row r="3398" ht="15.75" customHeight="1" x14ac:dyDescent="0.25"/>
    <row r="3399" ht="15.75" customHeight="1" x14ac:dyDescent="0.25"/>
    <row r="3400" ht="15.75" customHeight="1" x14ac:dyDescent="0.25"/>
    <row r="3401" ht="15.75" customHeight="1" x14ac:dyDescent="0.25"/>
    <row r="3402" ht="15.75" customHeight="1" x14ac:dyDescent="0.25"/>
    <row r="3403" ht="15.75" customHeight="1" x14ac:dyDescent="0.25"/>
    <row r="3404" ht="15.75" customHeight="1" x14ac:dyDescent="0.25"/>
    <row r="3405" ht="15.75" customHeight="1" x14ac:dyDescent="0.25"/>
    <row r="3406" ht="15.75" customHeight="1" x14ac:dyDescent="0.25"/>
    <row r="3407" ht="15.75" customHeight="1" x14ac:dyDescent="0.25"/>
    <row r="3408" ht="15.75" customHeight="1" x14ac:dyDescent="0.25"/>
    <row r="3409" ht="15.75" customHeight="1" x14ac:dyDescent="0.25"/>
    <row r="3410" ht="15.75" customHeight="1" x14ac:dyDescent="0.25"/>
    <row r="3411" ht="15.75" customHeight="1" x14ac:dyDescent="0.25"/>
    <row r="3412" ht="15.75" customHeight="1" x14ac:dyDescent="0.25"/>
    <row r="3413" ht="15.75" customHeight="1" x14ac:dyDescent="0.25"/>
    <row r="3414" ht="15.75" customHeight="1" x14ac:dyDescent="0.25"/>
    <row r="3415" ht="15.75" customHeight="1" x14ac:dyDescent="0.25"/>
    <row r="3416" ht="15.75" customHeight="1" x14ac:dyDescent="0.25"/>
    <row r="3417" ht="15.75" customHeight="1" x14ac:dyDescent="0.25"/>
    <row r="3418" ht="15.75" customHeight="1" x14ac:dyDescent="0.25"/>
    <row r="3419" ht="15.75" customHeight="1" x14ac:dyDescent="0.25"/>
    <row r="3420" ht="15.75" customHeight="1" x14ac:dyDescent="0.25"/>
    <row r="3421" ht="15.75" customHeight="1" x14ac:dyDescent="0.25"/>
    <row r="3422" ht="15.75" customHeight="1" x14ac:dyDescent="0.25"/>
    <row r="3423" ht="15.75" customHeight="1" x14ac:dyDescent="0.25"/>
    <row r="3424" ht="15.75" customHeight="1" x14ac:dyDescent="0.25"/>
    <row r="3425" ht="15.75" customHeight="1" x14ac:dyDescent="0.25"/>
    <row r="3426" ht="15.75" customHeight="1" x14ac:dyDescent="0.25"/>
    <row r="3427" ht="15.75" customHeight="1" x14ac:dyDescent="0.25"/>
    <row r="3428" ht="15.75" customHeight="1" x14ac:dyDescent="0.25"/>
    <row r="3429" ht="15.75" customHeight="1" x14ac:dyDescent="0.25"/>
    <row r="3430" ht="15.75" customHeight="1" x14ac:dyDescent="0.25"/>
    <row r="3431" ht="15.75" customHeight="1" x14ac:dyDescent="0.25"/>
    <row r="3432" ht="15.75" customHeight="1" x14ac:dyDescent="0.25"/>
    <row r="3433" ht="15.75" customHeight="1" x14ac:dyDescent="0.25"/>
    <row r="3434" ht="15.75" customHeight="1" x14ac:dyDescent="0.25"/>
    <row r="3435" ht="15.75" customHeight="1" x14ac:dyDescent="0.25"/>
    <row r="3436" ht="15.75" customHeight="1" x14ac:dyDescent="0.25"/>
    <row r="3437" ht="15.75" customHeight="1" x14ac:dyDescent="0.25"/>
    <row r="3438" ht="15.75" customHeight="1" x14ac:dyDescent="0.25"/>
    <row r="3439" ht="15.75" customHeight="1" x14ac:dyDescent="0.25"/>
    <row r="3440" ht="15.75" customHeight="1" x14ac:dyDescent="0.25"/>
    <row r="3441" ht="15.75" customHeight="1" x14ac:dyDescent="0.25"/>
    <row r="3442" ht="15.75" customHeight="1" x14ac:dyDescent="0.25"/>
    <row r="3443" ht="15.75" customHeight="1" x14ac:dyDescent="0.25"/>
    <row r="3444" ht="15.75" customHeight="1" x14ac:dyDescent="0.25"/>
    <row r="3445" ht="15.75" customHeight="1" x14ac:dyDescent="0.25"/>
    <row r="3446" ht="15.75" customHeight="1" x14ac:dyDescent="0.25"/>
    <row r="3447" ht="15.75" customHeight="1" x14ac:dyDescent="0.25"/>
    <row r="3448" ht="15.75" customHeight="1" x14ac:dyDescent="0.25"/>
    <row r="3449" ht="15.75" customHeight="1" x14ac:dyDescent="0.25"/>
    <row r="3450" ht="15.75" customHeight="1" x14ac:dyDescent="0.25"/>
    <row r="3451" ht="15.75" customHeight="1" x14ac:dyDescent="0.25"/>
    <row r="3452" ht="15.75" customHeight="1" x14ac:dyDescent="0.25"/>
    <row r="3453" ht="15.75" customHeight="1" x14ac:dyDescent="0.25"/>
    <row r="3454" ht="15.75" customHeight="1" x14ac:dyDescent="0.25"/>
    <row r="3455" ht="15.75" customHeight="1" x14ac:dyDescent="0.25"/>
    <row r="3456" ht="15.75" customHeight="1" x14ac:dyDescent="0.25"/>
    <row r="3457" ht="15.75" customHeight="1" x14ac:dyDescent="0.25"/>
    <row r="3458" ht="15.75" customHeight="1" x14ac:dyDescent="0.25"/>
    <row r="3459" ht="15.75" customHeight="1" x14ac:dyDescent="0.25"/>
    <row r="3460" ht="15.75" customHeight="1" x14ac:dyDescent="0.25"/>
    <row r="3461" ht="15.75" customHeight="1" x14ac:dyDescent="0.25"/>
    <row r="3462" ht="15.75" customHeight="1" x14ac:dyDescent="0.25"/>
    <row r="3463" ht="15.75" customHeight="1" x14ac:dyDescent="0.25"/>
    <row r="3464" ht="15.75" customHeight="1" x14ac:dyDescent="0.25"/>
    <row r="3465" ht="15.75" customHeight="1" x14ac:dyDescent="0.25"/>
    <row r="3466" ht="15.75" customHeight="1" x14ac:dyDescent="0.25"/>
    <row r="3467" ht="15.75" customHeight="1" x14ac:dyDescent="0.25"/>
    <row r="3468" ht="15.75" customHeight="1" x14ac:dyDescent="0.25"/>
    <row r="3469" ht="15.75" customHeight="1" x14ac:dyDescent="0.25"/>
    <row r="3470" ht="15.75" customHeight="1" x14ac:dyDescent="0.25"/>
    <row r="3471" ht="15.75" customHeight="1" x14ac:dyDescent="0.25"/>
    <row r="3472" ht="15.75" customHeight="1" x14ac:dyDescent="0.25"/>
    <row r="3473" ht="15.75" customHeight="1" x14ac:dyDescent="0.25"/>
    <row r="3474" ht="15.75" customHeight="1" x14ac:dyDescent="0.25"/>
    <row r="3475" ht="15.75" customHeight="1" x14ac:dyDescent="0.25"/>
    <row r="3476" ht="15.75" customHeight="1" x14ac:dyDescent="0.25"/>
    <row r="3477" ht="15.75" customHeight="1" x14ac:dyDescent="0.25"/>
    <row r="3478" ht="15.75" customHeight="1" x14ac:dyDescent="0.25"/>
    <row r="3479" ht="15.75" customHeight="1" x14ac:dyDescent="0.25"/>
    <row r="3480" ht="15.75" customHeight="1" x14ac:dyDescent="0.25"/>
    <row r="3481" ht="15.75" customHeight="1" x14ac:dyDescent="0.25"/>
    <row r="3482" ht="15.75" customHeight="1" x14ac:dyDescent="0.25"/>
    <row r="3483" ht="15.75" customHeight="1" x14ac:dyDescent="0.25"/>
    <row r="3484" ht="15.75" customHeight="1" x14ac:dyDescent="0.25"/>
    <row r="3485" ht="15.75" customHeight="1" x14ac:dyDescent="0.25"/>
    <row r="3486" ht="15.75" customHeight="1" x14ac:dyDescent="0.25"/>
    <row r="3487" ht="15.75" customHeight="1" x14ac:dyDescent="0.25"/>
    <row r="3488" ht="15.75" customHeight="1" x14ac:dyDescent="0.25"/>
    <row r="3489" ht="15.75" customHeight="1" x14ac:dyDescent="0.25"/>
    <row r="3490" ht="15.75" customHeight="1" x14ac:dyDescent="0.25"/>
    <row r="3491" ht="15.75" customHeight="1" x14ac:dyDescent="0.25"/>
    <row r="3492" ht="15.75" customHeight="1" x14ac:dyDescent="0.25"/>
    <row r="3493" ht="15.75" customHeight="1" x14ac:dyDescent="0.25"/>
    <row r="3494" ht="15.75" customHeight="1" x14ac:dyDescent="0.25"/>
    <row r="3495" ht="15.75" customHeight="1" x14ac:dyDescent="0.25"/>
    <row r="3496" ht="15.75" customHeight="1" x14ac:dyDescent="0.25"/>
    <row r="3497" ht="15.75" customHeight="1" x14ac:dyDescent="0.25"/>
    <row r="3498" ht="15.75" customHeight="1" x14ac:dyDescent="0.25"/>
    <row r="3499" ht="15.75" customHeight="1" x14ac:dyDescent="0.25"/>
    <row r="3500" ht="15.75" customHeight="1" x14ac:dyDescent="0.25"/>
    <row r="3501" ht="15.75" customHeight="1" x14ac:dyDescent="0.25"/>
    <row r="3502" ht="15.75" customHeight="1" x14ac:dyDescent="0.25"/>
    <row r="3503" ht="15.75" customHeight="1" x14ac:dyDescent="0.25"/>
    <row r="3504" ht="15.75" customHeight="1" x14ac:dyDescent="0.25"/>
    <row r="3505" ht="15.75" customHeight="1" x14ac:dyDescent="0.25"/>
    <row r="3506" ht="15.75" customHeight="1" x14ac:dyDescent="0.25"/>
    <row r="3507" ht="15.75" customHeight="1" x14ac:dyDescent="0.25"/>
    <row r="3508" ht="15.75" customHeight="1" x14ac:dyDescent="0.25"/>
    <row r="3509" ht="15.75" customHeight="1" x14ac:dyDescent="0.25"/>
    <row r="3510" ht="15.75" customHeight="1" x14ac:dyDescent="0.25"/>
    <row r="3511" ht="15.75" customHeight="1" x14ac:dyDescent="0.25"/>
    <row r="3512" ht="15.75" customHeight="1" x14ac:dyDescent="0.25"/>
    <row r="3513" ht="15.75" customHeight="1" x14ac:dyDescent="0.25"/>
    <row r="3514" ht="15.75" customHeight="1" x14ac:dyDescent="0.25"/>
    <row r="3515" ht="15.75" customHeight="1" x14ac:dyDescent="0.25"/>
    <row r="3516" ht="15.75" customHeight="1" x14ac:dyDescent="0.25"/>
    <row r="3517" ht="15.75" customHeight="1" x14ac:dyDescent="0.25"/>
    <row r="3518" ht="15.75" customHeight="1" x14ac:dyDescent="0.25"/>
    <row r="3519" ht="15.75" customHeight="1" x14ac:dyDescent="0.25"/>
    <row r="3520" ht="15.75" customHeight="1" x14ac:dyDescent="0.25"/>
    <row r="3521" ht="15.75" customHeight="1" x14ac:dyDescent="0.25"/>
    <row r="3522" ht="15.75" customHeight="1" x14ac:dyDescent="0.25"/>
    <row r="3523" ht="15.75" customHeight="1" x14ac:dyDescent="0.25"/>
    <row r="3524" ht="15.75" customHeight="1" x14ac:dyDescent="0.25"/>
    <row r="3525" ht="15.75" customHeight="1" x14ac:dyDescent="0.25"/>
    <row r="3526" ht="15.75" customHeight="1" x14ac:dyDescent="0.25"/>
    <row r="3527" ht="15.75" customHeight="1" x14ac:dyDescent="0.25"/>
    <row r="3528" ht="15.75" customHeight="1" x14ac:dyDescent="0.25"/>
    <row r="3529" ht="15.75" customHeight="1" x14ac:dyDescent="0.25"/>
    <row r="3530" ht="15.75" customHeight="1" x14ac:dyDescent="0.25"/>
    <row r="3531" ht="15.75" customHeight="1" x14ac:dyDescent="0.25"/>
    <row r="3532" ht="15.75" customHeight="1" x14ac:dyDescent="0.25"/>
    <row r="3533" ht="15.75" customHeight="1" x14ac:dyDescent="0.25"/>
    <row r="3534" ht="15.75" customHeight="1" x14ac:dyDescent="0.25"/>
    <row r="3535" ht="15.75" customHeight="1" x14ac:dyDescent="0.25"/>
    <row r="3536" ht="15.75" customHeight="1" x14ac:dyDescent="0.25"/>
    <row r="3537" ht="15.75" customHeight="1" x14ac:dyDescent="0.25"/>
    <row r="3538" ht="15.75" customHeight="1" x14ac:dyDescent="0.25"/>
    <row r="3539" ht="15.75" customHeight="1" x14ac:dyDescent="0.25"/>
    <row r="3540" ht="15.75" customHeight="1" x14ac:dyDescent="0.25"/>
    <row r="3541" ht="15.75" customHeight="1" x14ac:dyDescent="0.25"/>
    <row r="3542" ht="15.75" customHeight="1" x14ac:dyDescent="0.25"/>
    <row r="3543" ht="15.75" customHeight="1" x14ac:dyDescent="0.25"/>
    <row r="3544" ht="15.75" customHeight="1" x14ac:dyDescent="0.25"/>
    <row r="3545" ht="15.75" customHeight="1" x14ac:dyDescent="0.25"/>
    <row r="3546" ht="15.75" customHeight="1" x14ac:dyDescent="0.25"/>
    <row r="3547" ht="15.75" customHeight="1" x14ac:dyDescent="0.25"/>
    <row r="3548" ht="15.75" customHeight="1" x14ac:dyDescent="0.25"/>
    <row r="3549" ht="15.75" customHeight="1" x14ac:dyDescent="0.25"/>
    <row r="3550" ht="15.75" customHeight="1" x14ac:dyDescent="0.25"/>
    <row r="3551" ht="15.75" customHeight="1" x14ac:dyDescent="0.25"/>
    <row r="3552" ht="15.75" customHeight="1" x14ac:dyDescent="0.25"/>
    <row r="3553" ht="15.75" customHeight="1" x14ac:dyDescent="0.25"/>
    <row r="3554" ht="15.75" customHeight="1" x14ac:dyDescent="0.25"/>
    <row r="3555" ht="15.75" customHeight="1" x14ac:dyDescent="0.25"/>
    <row r="3556" ht="15.75" customHeight="1" x14ac:dyDescent="0.25"/>
    <row r="3557" ht="15.75" customHeight="1" x14ac:dyDescent="0.25"/>
    <row r="3558" ht="15.75" customHeight="1" x14ac:dyDescent="0.25"/>
    <row r="3559" ht="15.75" customHeight="1" x14ac:dyDescent="0.25"/>
    <row r="3560" ht="15.75" customHeight="1" x14ac:dyDescent="0.25"/>
    <row r="3561" ht="15.75" customHeight="1" x14ac:dyDescent="0.25"/>
    <row r="3562" ht="15.75" customHeight="1" x14ac:dyDescent="0.25"/>
    <row r="3563" ht="15.75" customHeight="1" x14ac:dyDescent="0.25"/>
    <row r="3564" ht="15.75" customHeight="1" x14ac:dyDescent="0.25"/>
    <row r="3565" ht="15.75" customHeight="1" x14ac:dyDescent="0.25"/>
    <row r="3566" ht="15.75" customHeight="1" x14ac:dyDescent="0.25"/>
    <row r="3567" ht="15.75" customHeight="1" x14ac:dyDescent="0.25"/>
    <row r="3568" ht="15.75" customHeight="1" x14ac:dyDescent="0.25"/>
    <row r="3569" ht="15.75" customHeight="1" x14ac:dyDescent="0.25"/>
    <row r="3570" ht="15.75" customHeight="1" x14ac:dyDescent="0.25"/>
    <row r="3571" ht="15.75" customHeight="1" x14ac:dyDescent="0.25"/>
    <row r="3572" ht="15.75" customHeight="1" x14ac:dyDescent="0.25"/>
    <row r="3573" ht="15.75" customHeight="1" x14ac:dyDescent="0.25"/>
    <row r="3574" ht="15.75" customHeight="1" x14ac:dyDescent="0.25"/>
    <row r="3575" ht="15.75" customHeight="1" x14ac:dyDescent="0.25"/>
    <row r="3576" ht="15.75" customHeight="1" x14ac:dyDescent="0.25"/>
    <row r="3577" ht="15.75" customHeight="1" x14ac:dyDescent="0.25"/>
    <row r="3578" ht="15.75" customHeight="1" x14ac:dyDescent="0.25"/>
    <row r="3579" ht="15.75" customHeight="1" x14ac:dyDescent="0.25"/>
    <row r="3580" ht="15.75" customHeight="1" x14ac:dyDescent="0.25"/>
    <row r="3581" ht="15.75" customHeight="1" x14ac:dyDescent="0.25"/>
    <row r="3582" ht="15.75" customHeight="1" x14ac:dyDescent="0.25"/>
    <row r="3583" ht="15.75" customHeight="1" x14ac:dyDescent="0.25"/>
    <row r="3584" ht="15.75" customHeight="1" x14ac:dyDescent="0.25"/>
    <row r="3585" ht="15.75" customHeight="1" x14ac:dyDescent="0.25"/>
    <row r="3586" ht="15.75" customHeight="1" x14ac:dyDescent="0.25"/>
    <row r="3587" ht="15.75" customHeight="1" x14ac:dyDescent="0.25"/>
    <row r="3588" ht="15.75" customHeight="1" x14ac:dyDescent="0.25"/>
    <row r="3589" ht="15.75" customHeight="1" x14ac:dyDescent="0.25"/>
    <row r="3590" ht="15.75" customHeight="1" x14ac:dyDescent="0.25"/>
    <row r="3591" ht="15.75" customHeight="1" x14ac:dyDescent="0.25"/>
    <row r="3592" ht="15.75" customHeight="1" x14ac:dyDescent="0.25"/>
    <row r="3593" ht="15.75" customHeight="1" x14ac:dyDescent="0.25"/>
    <row r="3594" ht="15.75" customHeight="1" x14ac:dyDescent="0.25"/>
    <row r="3595" ht="15.75" customHeight="1" x14ac:dyDescent="0.25"/>
    <row r="3596" ht="15.75" customHeight="1" x14ac:dyDescent="0.25"/>
    <row r="3597" ht="15.75" customHeight="1" x14ac:dyDescent="0.25"/>
    <row r="3598" ht="15.75" customHeight="1" x14ac:dyDescent="0.25"/>
    <row r="3599" ht="15.75" customHeight="1" x14ac:dyDescent="0.25"/>
    <row r="3600" ht="15.75" customHeight="1" x14ac:dyDescent="0.25"/>
    <row r="3601" ht="15.75" customHeight="1" x14ac:dyDescent="0.25"/>
    <row r="3602" ht="15.75" customHeight="1" x14ac:dyDescent="0.25"/>
    <row r="3603" ht="15.75" customHeight="1" x14ac:dyDescent="0.25"/>
    <row r="3604" ht="15.75" customHeight="1" x14ac:dyDescent="0.25"/>
    <row r="3605" ht="15.75" customHeight="1" x14ac:dyDescent="0.25"/>
    <row r="3606" ht="15.75" customHeight="1" x14ac:dyDescent="0.25"/>
    <row r="3607" ht="15.75" customHeight="1" x14ac:dyDescent="0.25"/>
    <row r="3608" ht="15.75" customHeight="1" x14ac:dyDescent="0.25"/>
    <row r="3609" ht="15.75" customHeight="1" x14ac:dyDescent="0.25"/>
    <row r="3610" ht="15.75" customHeight="1" x14ac:dyDescent="0.25"/>
    <row r="3611" ht="15.75" customHeight="1" x14ac:dyDescent="0.25"/>
    <row r="3612" ht="15.75" customHeight="1" x14ac:dyDescent="0.25"/>
    <row r="3613" ht="15.75" customHeight="1" x14ac:dyDescent="0.25"/>
    <row r="3614" ht="15.75" customHeight="1" x14ac:dyDescent="0.25"/>
    <row r="3615" ht="15.75" customHeight="1" x14ac:dyDescent="0.25"/>
    <row r="3616" ht="15.75" customHeight="1" x14ac:dyDescent="0.25"/>
    <row r="3617" ht="15.75" customHeight="1" x14ac:dyDescent="0.25"/>
    <row r="3618" ht="15.75" customHeight="1" x14ac:dyDescent="0.25"/>
    <row r="3619" ht="15.75" customHeight="1" x14ac:dyDescent="0.25"/>
    <row r="3620" ht="15.75" customHeight="1" x14ac:dyDescent="0.25"/>
    <row r="3621" ht="15.75" customHeight="1" x14ac:dyDescent="0.25"/>
    <row r="3622" ht="15.75" customHeight="1" x14ac:dyDescent="0.25"/>
    <row r="3623" ht="15.75" customHeight="1" x14ac:dyDescent="0.25"/>
    <row r="3624" ht="15.75" customHeight="1" x14ac:dyDescent="0.25"/>
    <row r="3625" ht="15.75" customHeight="1" x14ac:dyDescent="0.25"/>
    <row r="3626" ht="15.75" customHeight="1" x14ac:dyDescent="0.25"/>
    <row r="3627" ht="15.75" customHeight="1" x14ac:dyDescent="0.25"/>
    <row r="3628" ht="15.75" customHeight="1" x14ac:dyDescent="0.25"/>
    <row r="3629" ht="15.75" customHeight="1" x14ac:dyDescent="0.25"/>
    <row r="3630" ht="15.75" customHeight="1" x14ac:dyDescent="0.25"/>
    <row r="3631" ht="15.75" customHeight="1" x14ac:dyDescent="0.25"/>
    <row r="3632" ht="15.75" customHeight="1" x14ac:dyDescent="0.25"/>
    <row r="3633" ht="15.75" customHeight="1" x14ac:dyDescent="0.25"/>
    <row r="3634" ht="15.75" customHeight="1" x14ac:dyDescent="0.25"/>
    <row r="3635" ht="15.75" customHeight="1" x14ac:dyDescent="0.25"/>
    <row r="3636" ht="15.75" customHeight="1" x14ac:dyDescent="0.25"/>
    <row r="3637" ht="15.75" customHeight="1" x14ac:dyDescent="0.25"/>
    <row r="3638" ht="15.75" customHeight="1" x14ac:dyDescent="0.25"/>
    <row r="3639" ht="15.75" customHeight="1" x14ac:dyDescent="0.25"/>
    <row r="3640" ht="15.75" customHeight="1" x14ac:dyDescent="0.25"/>
    <row r="3641" ht="15.75" customHeight="1" x14ac:dyDescent="0.25"/>
    <row r="3642" ht="15.75" customHeight="1" x14ac:dyDescent="0.25"/>
    <row r="3643" ht="15.75" customHeight="1" x14ac:dyDescent="0.25"/>
    <row r="3644" ht="15.75" customHeight="1" x14ac:dyDescent="0.25"/>
    <row r="3645" ht="15.75" customHeight="1" x14ac:dyDescent="0.25"/>
    <row r="3646" ht="15.75" customHeight="1" x14ac:dyDescent="0.25"/>
    <row r="3647" ht="15.75" customHeight="1" x14ac:dyDescent="0.25"/>
    <row r="3648" ht="15.75" customHeight="1" x14ac:dyDescent="0.25"/>
    <row r="3649" ht="15.75" customHeight="1" x14ac:dyDescent="0.25"/>
    <row r="3650" ht="15.75" customHeight="1" x14ac:dyDescent="0.25"/>
    <row r="3651" ht="15.75" customHeight="1" x14ac:dyDescent="0.25"/>
    <row r="3652" ht="15.75" customHeight="1" x14ac:dyDescent="0.25"/>
    <row r="3653" ht="15.75" customHeight="1" x14ac:dyDescent="0.25"/>
    <row r="3654" ht="15.75" customHeight="1" x14ac:dyDescent="0.25"/>
    <row r="3655" ht="15.75" customHeight="1" x14ac:dyDescent="0.25"/>
    <row r="3656" ht="15.75" customHeight="1" x14ac:dyDescent="0.25"/>
    <row r="3657" ht="15.75" customHeight="1" x14ac:dyDescent="0.25"/>
    <row r="3658" ht="15.75" customHeight="1" x14ac:dyDescent="0.25"/>
    <row r="3659" ht="15.75" customHeight="1" x14ac:dyDescent="0.25"/>
    <row r="3660" ht="15.75" customHeight="1" x14ac:dyDescent="0.25"/>
    <row r="3661" ht="15.75" customHeight="1" x14ac:dyDescent="0.25"/>
    <row r="3662" ht="15.75" customHeight="1" x14ac:dyDescent="0.25"/>
    <row r="3663" ht="15.75" customHeight="1" x14ac:dyDescent="0.25"/>
    <row r="3664" ht="15.75" customHeight="1" x14ac:dyDescent="0.25"/>
    <row r="3665" ht="15.75" customHeight="1" x14ac:dyDescent="0.25"/>
    <row r="3666" ht="15.75" customHeight="1" x14ac:dyDescent="0.25"/>
    <row r="3667" ht="15.75" customHeight="1" x14ac:dyDescent="0.25"/>
    <row r="3668" ht="15.75" customHeight="1" x14ac:dyDescent="0.25"/>
    <row r="3669" ht="15.75" customHeight="1" x14ac:dyDescent="0.25"/>
    <row r="3670" ht="15.75" customHeight="1" x14ac:dyDescent="0.25"/>
    <row r="3671" ht="15.75" customHeight="1" x14ac:dyDescent="0.25"/>
    <row r="3672" ht="15.75" customHeight="1" x14ac:dyDescent="0.25"/>
    <row r="3673" ht="15.75" customHeight="1" x14ac:dyDescent="0.25"/>
    <row r="3674" ht="15.75" customHeight="1" x14ac:dyDescent="0.25"/>
    <row r="3675" ht="15.75" customHeight="1" x14ac:dyDescent="0.25"/>
    <row r="3676" ht="15.75" customHeight="1" x14ac:dyDescent="0.25"/>
    <row r="3677" ht="15.75" customHeight="1" x14ac:dyDescent="0.25"/>
    <row r="3678" ht="15.75" customHeight="1" x14ac:dyDescent="0.25"/>
    <row r="3679" ht="15.75" customHeight="1" x14ac:dyDescent="0.25"/>
    <row r="3680" ht="15.75" customHeight="1" x14ac:dyDescent="0.25"/>
    <row r="3681" ht="15.75" customHeight="1" x14ac:dyDescent="0.25"/>
    <row r="3682" ht="15.75" customHeight="1" x14ac:dyDescent="0.25"/>
    <row r="3683" ht="15.75" customHeight="1" x14ac:dyDescent="0.25"/>
    <row r="3684" ht="15.75" customHeight="1" x14ac:dyDescent="0.25"/>
    <row r="3685" ht="15.75" customHeight="1" x14ac:dyDescent="0.25"/>
    <row r="3686" ht="15.75" customHeight="1" x14ac:dyDescent="0.25"/>
    <row r="3687" ht="15.75" customHeight="1" x14ac:dyDescent="0.25"/>
    <row r="3688" ht="15.75" customHeight="1" x14ac:dyDescent="0.25"/>
    <row r="3689" ht="15.75" customHeight="1" x14ac:dyDescent="0.25"/>
    <row r="3690" ht="15.75" customHeight="1" x14ac:dyDescent="0.25"/>
    <row r="3691" ht="15.75" customHeight="1" x14ac:dyDescent="0.25"/>
    <row r="3692" ht="15.75" customHeight="1" x14ac:dyDescent="0.25"/>
    <row r="3693" ht="15.75" customHeight="1" x14ac:dyDescent="0.25"/>
    <row r="3694" ht="15.75" customHeight="1" x14ac:dyDescent="0.25"/>
    <row r="3695" ht="15.75" customHeight="1" x14ac:dyDescent="0.25"/>
    <row r="3696" ht="15.75" customHeight="1" x14ac:dyDescent="0.25"/>
    <row r="3697" ht="15.75" customHeight="1" x14ac:dyDescent="0.25"/>
    <row r="3698" ht="15.75" customHeight="1" x14ac:dyDescent="0.25"/>
    <row r="3699" ht="15.75" customHeight="1" x14ac:dyDescent="0.25"/>
    <row r="3700" ht="15.75" customHeight="1" x14ac:dyDescent="0.25"/>
    <row r="3701" ht="15.75" customHeight="1" x14ac:dyDescent="0.25"/>
    <row r="3702" ht="15.75" customHeight="1" x14ac:dyDescent="0.25"/>
    <row r="3703" ht="15.75" customHeight="1" x14ac:dyDescent="0.25"/>
    <row r="3704" ht="15.75" customHeight="1" x14ac:dyDescent="0.25"/>
    <row r="3705" ht="15.75" customHeight="1" x14ac:dyDescent="0.25"/>
    <row r="3706" ht="15.75" customHeight="1" x14ac:dyDescent="0.25"/>
    <row r="3707" ht="15.75" customHeight="1" x14ac:dyDescent="0.25"/>
    <row r="3708" ht="15.75" customHeight="1" x14ac:dyDescent="0.25"/>
    <row r="3709" ht="15.75" customHeight="1" x14ac:dyDescent="0.25"/>
    <row r="3710" ht="15.75" customHeight="1" x14ac:dyDescent="0.25"/>
    <row r="3711" ht="15.75" customHeight="1" x14ac:dyDescent="0.25"/>
    <row r="3712" ht="15.75" customHeight="1" x14ac:dyDescent="0.25"/>
    <row r="3713" ht="15.75" customHeight="1" x14ac:dyDescent="0.25"/>
    <row r="3714" ht="15.75" customHeight="1" x14ac:dyDescent="0.25"/>
    <row r="3715" ht="15.75" customHeight="1" x14ac:dyDescent="0.25"/>
    <row r="3716" ht="15.75" customHeight="1" x14ac:dyDescent="0.25"/>
    <row r="3717" ht="15.75" customHeight="1" x14ac:dyDescent="0.25"/>
    <row r="3718" ht="15.75" customHeight="1" x14ac:dyDescent="0.25"/>
    <row r="3719" ht="15.75" customHeight="1" x14ac:dyDescent="0.25"/>
    <row r="3720" ht="15.75" customHeight="1" x14ac:dyDescent="0.25"/>
    <row r="3721" ht="15.75" customHeight="1" x14ac:dyDescent="0.25"/>
    <row r="3722" ht="15.75" customHeight="1" x14ac:dyDescent="0.25"/>
    <row r="3723" ht="15.75" customHeight="1" x14ac:dyDescent="0.25"/>
    <row r="3724" ht="15.75" customHeight="1" x14ac:dyDescent="0.25"/>
    <row r="3725" ht="15.75" customHeight="1" x14ac:dyDescent="0.25"/>
    <row r="3726" ht="15.75" customHeight="1" x14ac:dyDescent="0.25"/>
    <row r="3727" ht="15.75" customHeight="1" x14ac:dyDescent="0.25"/>
    <row r="3728" ht="15.75" customHeight="1" x14ac:dyDescent="0.25"/>
    <row r="3729" ht="15.75" customHeight="1" x14ac:dyDescent="0.25"/>
    <row r="3730" ht="15.75" customHeight="1" x14ac:dyDescent="0.25"/>
    <row r="3731" ht="15.75" customHeight="1" x14ac:dyDescent="0.25"/>
    <row r="3732" ht="15.75" customHeight="1" x14ac:dyDescent="0.25"/>
    <row r="3733" ht="15.75" customHeight="1" x14ac:dyDescent="0.25"/>
    <row r="3734" ht="15.75" customHeight="1" x14ac:dyDescent="0.25"/>
    <row r="3735" ht="15.75" customHeight="1" x14ac:dyDescent="0.25"/>
    <row r="3736" ht="15.75" customHeight="1" x14ac:dyDescent="0.25"/>
    <row r="3737" ht="15.75" customHeight="1" x14ac:dyDescent="0.25"/>
    <row r="3738" ht="15.75" customHeight="1" x14ac:dyDescent="0.25"/>
    <row r="3739" ht="15.75" customHeight="1" x14ac:dyDescent="0.25"/>
    <row r="3740" ht="15.75" customHeight="1" x14ac:dyDescent="0.25"/>
    <row r="3741" ht="15.75" customHeight="1" x14ac:dyDescent="0.25"/>
    <row r="3742" ht="15.75" customHeight="1" x14ac:dyDescent="0.25"/>
    <row r="3743" ht="15.75" customHeight="1" x14ac:dyDescent="0.25"/>
    <row r="3744" ht="15.75" customHeight="1" x14ac:dyDescent="0.25"/>
    <row r="3745" ht="15.75" customHeight="1" x14ac:dyDescent="0.25"/>
    <row r="3746" ht="15.75" customHeight="1" x14ac:dyDescent="0.25"/>
    <row r="3747" ht="15.75" customHeight="1" x14ac:dyDescent="0.25"/>
    <row r="3748" ht="15.75" customHeight="1" x14ac:dyDescent="0.25"/>
    <row r="3749" ht="15.75" customHeight="1" x14ac:dyDescent="0.25"/>
    <row r="3750" ht="15.75" customHeight="1" x14ac:dyDescent="0.25"/>
    <row r="3751" ht="15.75" customHeight="1" x14ac:dyDescent="0.25"/>
    <row r="3752" ht="15.75" customHeight="1" x14ac:dyDescent="0.25"/>
    <row r="3753" ht="15.75" customHeight="1" x14ac:dyDescent="0.25"/>
    <row r="3754" ht="15.75" customHeight="1" x14ac:dyDescent="0.25"/>
    <row r="3755" ht="15.75" customHeight="1" x14ac:dyDescent="0.25"/>
    <row r="3756" ht="15.75" customHeight="1" x14ac:dyDescent="0.25"/>
    <row r="3757" ht="15.75" customHeight="1" x14ac:dyDescent="0.25"/>
    <row r="3758" ht="15.75" customHeight="1" x14ac:dyDescent="0.25"/>
    <row r="3759" ht="15.75" customHeight="1" x14ac:dyDescent="0.25"/>
    <row r="3760" ht="15.75" customHeight="1" x14ac:dyDescent="0.25"/>
    <row r="3761" ht="15.75" customHeight="1" x14ac:dyDescent="0.25"/>
    <row r="3762" ht="15.75" customHeight="1" x14ac:dyDescent="0.25"/>
    <row r="3763" ht="15.75" customHeight="1" x14ac:dyDescent="0.25"/>
    <row r="3764" ht="15.75" customHeight="1" x14ac:dyDescent="0.25"/>
    <row r="3765" ht="15.75" customHeight="1" x14ac:dyDescent="0.25"/>
    <row r="3766" ht="15.75" customHeight="1" x14ac:dyDescent="0.25"/>
    <row r="3767" ht="15.75" customHeight="1" x14ac:dyDescent="0.25"/>
    <row r="3768" ht="15.75" customHeight="1" x14ac:dyDescent="0.25"/>
    <row r="3769" ht="15.75" customHeight="1" x14ac:dyDescent="0.25"/>
    <row r="3770" ht="15.75" customHeight="1" x14ac:dyDescent="0.25"/>
    <row r="3771" ht="15.75" customHeight="1" x14ac:dyDescent="0.25"/>
    <row r="3772" ht="15.75" customHeight="1" x14ac:dyDescent="0.25"/>
    <row r="3773" ht="15.75" customHeight="1" x14ac:dyDescent="0.25"/>
    <row r="3774" ht="15.75" customHeight="1" x14ac:dyDescent="0.25"/>
    <row r="3775" ht="15.75" customHeight="1" x14ac:dyDescent="0.25"/>
    <row r="3776" ht="15.75" customHeight="1" x14ac:dyDescent="0.25"/>
    <row r="3777" ht="15.75" customHeight="1" x14ac:dyDescent="0.25"/>
    <row r="3778" ht="15.75" customHeight="1" x14ac:dyDescent="0.25"/>
    <row r="3779" ht="15.75" customHeight="1" x14ac:dyDescent="0.25"/>
    <row r="3780" ht="15.75" customHeight="1" x14ac:dyDescent="0.25"/>
    <row r="3781" ht="15.75" customHeight="1" x14ac:dyDescent="0.25"/>
    <row r="3782" ht="15.75" customHeight="1" x14ac:dyDescent="0.25"/>
    <row r="3783" ht="15.75" customHeight="1" x14ac:dyDescent="0.25"/>
    <row r="3784" ht="15.75" customHeight="1" x14ac:dyDescent="0.25"/>
    <row r="3785" ht="15.75" customHeight="1" x14ac:dyDescent="0.25"/>
    <row r="3786" ht="15.75" customHeight="1" x14ac:dyDescent="0.25"/>
    <row r="3787" ht="15.75" customHeight="1" x14ac:dyDescent="0.25"/>
    <row r="3788" ht="15.75" customHeight="1" x14ac:dyDescent="0.25"/>
    <row r="3789" ht="15.75" customHeight="1" x14ac:dyDescent="0.25"/>
    <row r="3790" ht="15.75" customHeight="1" x14ac:dyDescent="0.25"/>
    <row r="3791" ht="15.75" customHeight="1" x14ac:dyDescent="0.25"/>
    <row r="3792" ht="15.75" customHeight="1" x14ac:dyDescent="0.25"/>
    <row r="3793" ht="15.75" customHeight="1" x14ac:dyDescent="0.25"/>
    <row r="3794" ht="15.75" customHeight="1" x14ac:dyDescent="0.25"/>
    <row r="3795" ht="15.75" customHeight="1" x14ac:dyDescent="0.25"/>
    <row r="3796" ht="15.75" customHeight="1" x14ac:dyDescent="0.25"/>
    <row r="3797" ht="15.75" customHeight="1" x14ac:dyDescent="0.25"/>
    <row r="3798" ht="15.75" customHeight="1" x14ac:dyDescent="0.25"/>
    <row r="3799" ht="15.75" customHeight="1" x14ac:dyDescent="0.25"/>
    <row r="3800" ht="15.75" customHeight="1" x14ac:dyDescent="0.25"/>
    <row r="3801" ht="15.75" customHeight="1" x14ac:dyDescent="0.25"/>
    <row r="3802" ht="15.75" customHeight="1" x14ac:dyDescent="0.25"/>
    <row r="3803" ht="15.75" customHeight="1" x14ac:dyDescent="0.25"/>
    <row r="3804" ht="15.75" customHeight="1" x14ac:dyDescent="0.25"/>
    <row r="3805" ht="15.75" customHeight="1" x14ac:dyDescent="0.25"/>
    <row r="3806" ht="15.75" customHeight="1" x14ac:dyDescent="0.25"/>
    <row r="3807" ht="15.75" customHeight="1" x14ac:dyDescent="0.25"/>
    <row r="3808" ht="15.75" customHeight="1" x14ac:dyDescent="0.25"/>
    <row r="3809" ht="15.75" customHeight="1" x14ac:dyDescent="0.25"/>
    <row r="3810" ht="15.75" customHeight="1" x14ac:dyDescent="0.25"/>
    <row r="3811" ht="15.75" customHeight="1" x14ac:dyDescent="0.25"/>
    <row r="3812" ht="15.75" customHeight="1" x14ac:dyDescent="0.25"/>
    <row r="3813" ht="15.75" customHeight="1" x14ac:dyDescent="0.25"/>
    <row r="3814" ht="15.75" customHeight="1" x14ac:dyDescent="0.25"/>
    <row r="3815" ht="15.75" customHeight="1" x14ac:dyDescent="0.25"/>
    <row r="3816" ht="15.75" customHeight="1" x14ac:dyDescent="0.25"/>
    <row r="3817" ht="15.75" customHeight="1" x14ac:dyDescent="0.25"/>
    <row r="3818" ht="15.75" customHeight="1" x14ac:dyDescent="0.25"/>
    <row r="3819" ht="15.75" customHeight="1" x14ac:dyDescent="0.25"/>
    <row r="3820" ht="15.75" customHeight="1" x14ac:dyDescent="0.25"/>
    <row r="3821" ht="15.75" customHeight="1" x14ac:dyDescent="0.25"/>
    <row r="3822" ht="15.75" customHeight="1" x14ac:dyDescent="0.25"/>
    <row r="3823" ht="15.75" customHeight="1" x14ac:dyDescent="0.25"/>
    <row r="3824" ht="15.75" customHeight="1" x14ac:dyDescent="0.25"/>
    <row r="3825" ht="15.75" customHeight="1" x14ac:dyDescent="0.25"/>
    <row r="3826" ht="15.75" customHeight="1" x14ac:dyDescent="0.25"/>
    <row r="3827" ht="15.75" customHeight="1" x14ac:dyDescent="0.25"/>
    <row r="3828" ht="15.75" customHeight="1" x14ac:dyDescent="0.25"/>
    <row r="3829" ht="15.75" customHeight="1" x14ac:dyDescent="0.25"/>
    <row r="3830" ht="15.75" customHeight="1" x14ac:dyDescent="0.25"/>
    <row r="3831" ht="15.75" customHeight="1" x14ac:dyDescent="0.25"/>
    <row r="3832" ht="15.75" customHeight="1" x14ac:dyDescent="0.25"/>
    <row r="3833" ht="15.75" customHeight="1" x14ac:dyDescent="0.25"/>
    <row r="3834" ht="15.75" customHeight="1" x14ac:dyDescent="0.25"/>
    <row r="3835" ht="15.75" customHeight="1" x14ac:dyDescent="0.25"/>
    <row r="3836" ht="15.75" customHeight="1" x14ac:dyDescent="0.25"/>
    <row r="3837" ht="15.75" customHeight="1" x14ac:dyDescent="0.25"/>
    <row r="3838" ht="15.75" customHeight="1" x14ac:dyDescent="0.25"/>
    <row r="3839" ht="15.75" customHeight="1" x14ac:dyDescent="0.25"/>
    <row r="3840" ht="15.75" customHeight="1" x14ac:dyDescent="0.25"/>
    <row r="3841" ht="15.75" customHeight="1" x14ac:dyDescent="0.25"/>
    <row r="3842" ht="15.75" customHeight="1" x14ac:dyDescent="0.25"/>
    <row r="3843" ht="15.75" customHeight="1" x14ac:dyDescent="0.25"/>
    <row r="3844" ht="15.75" customHeight="1" x14ac:dyDescent="0.25"/>
    <row r="3845" ht="15.75" customHeight="1" x14ac:dyDescent="0.25"/>
    <row r="3846" ht="15.75" customHeight="1" x14ac:dyDescent="0.25"/>
    <row r="3847" ht="15.75" customHeight="1" x14ac:dyDescent="0.25"/>
    <row r="3848" ht="15.75" customHeight="1" x14ac:dyDescent="0.25"/>
    <row r="3849" ht="15.75" customHeight="1" x14ac:dyDescent="0.25"/>
    <row r="3850" ht="15.75" customHeight="1" x14ac:dyDescent="0.25"/>
    <row r="3851" ht="15.75" customHeight="1" x14ac:dyDescent="0.25"/>
    <row r="3852" ht="15.75" customHeight="1" x14ac:dyDescent="0.25"/>
    <row r="3853" ht="15.75" customHeight="1" x14ac:dyDescent="0.25"/>
    <row r="3854" ht="15.75" customHeight="1" x14ac:dyDescent="0.25"/>
    <row r="3855" ht="15.75" customHeight="1" x14ac:dyDescent="0.25"/>
    <row r="3856" ht="15.75" customHeight="1" x14ac:dyDescent="0.25"/>
    <row r="3857" ht="15.75" customHeight="1" x14ac:dyDescent="0.25"/>
    <row r="3858" ht="15.75" customHeight="1" x14ac:dyDescent="0.25"/>
    <row r="3859" ht="15.75" customHeight="1" x14ac:dyDescent="0.25"/>
    <row r="3860" ht="15.75" customHeight="1" x14ac:dyDescent="0.25"/>
    <row r="3861" ht="15.75" customHeight="1" x14ac:dyDescent="0.25"/>
    <row r="3862" ht="15.75" customHeight="1" x14ac:dyDescent="0.25"/>
    <row r="3863" ht="15.75" customHeight="1" x14ac:dyDescent="0.25"/>
    <row r="3864" ht="15.75" customHeight="1" x14ac:dyDescent="0.25"/>
    <row r="3865" ht="15.75" customHeight="1" x14ac:dyDescent="0.25"/>
    <row r="3866" ht="15.75" customHeight="1" x14ac:dyDescent="0.25"/>
    <row r="3867" ht="15.75" customHeight="1" x14ac:dyDescent="0.25"/>
    <row r="3868" ht="15.75" customHeight="1" x14ac:dyDescent="0.25"/>
    <row r="3869" ht="15.75" customHeight="1" x14ac:dyDescent="0.25"/>
    <row r="3870" ht="15.75" customHeight="1" x14ac:dyDescent="0.25"/>
    <row r="3871" ht="15.75" customHeight="1" x14ac:dyDescent="0.25"/>
    <row r="3872" ht="15.75" customHeight="1" x14ac:dyDescent="0.25"/>
    <row r="3873" ht="15.75" customHeight="1" x14ac:dyDescent="0.25"/>
    <row r="3874" ht="15.75" customHeight="1" x14ac:dyDescent="0.25"/>
    <row r="3875" ht="15.75" customHeight="1" x14ac:dyDescent="0.25"/>
    <row r="3876" ht="15.75" customHeight="1" x14ac:dyDescent="0.25"/>
    <row r="3877" ht="15.75" customHeight="1" x14ac:dyDescent="0.25"/>
    <row r="3878" ht="15.75" customHeight="1" x14ac:dyDescent="0.25"/>
    <row r="3879" ht="15.75" customHeight="1" x14ac:dyDescent="0.25"/>
    <row r="3880" ht="15.75" customHeight="1" x14ac:dyDescent="0.25"/>
    <row r="3881" ht="15.75" customHeight="1" x14ac:dyDescent="0.25"/>
    <row r="3882" ht="15.75" customHeight="1" x14ac:dyDescent="0.25"/>
    <row r="3883" ht="15.75" customHeight="1" x14ac:dyDescent="0.25"/>
    <row r="3884" ht="15.75" customHeight="1" x14ac:dyDescent="0.25"/>
    <row r="3885" ht="15.75" customHeight="1" x14ac:dyDescent="0.25"/>
    <row r="3886" ht="15.75" customHeight="1" x14ac:dyDescent="0.25"/>
    <row r="3887" ht="15.75" customHeight="1" x14ac:dyDescent="0.25"/>
    <row r="3888" ht="15.75" customHeight="1" x14ac:dyDescent="0.25"/>
    <row r="3889" ht="15.75" customHeight="1" x14ac:dyDescent="0.25"/>
    <row r="3890" ht="15.75" customHeight="1" x14ac:dyDescent="0.25"/>
    <row r="3891" ht="15.75" customHeight="1" x14ac:dyDescent="0.25"/>
    <row r="3892" ht="15.75" customHeight="1" x14ac:dyDescent="0.25"/>
    <row r="3893" ht="15.75" customHeight="1" x14ac:dyDescent="0.25"/>
    <row r="3894" ht="15.75" customHeight="1" x14ac:dyDescent="0.25"/>
    <row r="3895" ht="15.75" customHeight="1" x14ac:dyDescent="0.25"/>
    <row r="3896" ht="15.75" customHeight="1" x14ac:dyDescent="0.25"/>
    <row r="3897" ht="15.75" customHeight="1" x14ac:dyDescent="0.25"/>
    <row r="3898" ht="15.75" customHeight="1" x14ac:dyDescent="0.25"/>
    <row r="3899" ht="15.75" customHeight="1" x14ac:dyDescent="0.25"/>
    <row r="3900" ht="15.75" customHeight="1" x14ac:dyDescent="0.25"/>
    <row r="3901" ht="15.75" customHeight="1" x14ac:dyDescent="0.25"/>
    <row r="3902" ht="15.75" customHeight="1" x14ac:dyDescent="0.25"/>
    <row r="3903" ht="15.75" customHeight="1" x14ac:dyDescent="0.25"/>
    <row r="3904" ht="15.75" customHeight="1" x14ac:dyDescent="0.25"/>
    <row r="3905" ht="15.75" customHeight="1" x14ac:dyDescent="0.25"/>
    <row r="3906" ht="15.75" customHeight="1" x14ac:dyDescent="0.25"/>
    <row r="3907" ht="15.75" customHeight="1" x14ac:dyDescent="0.25"/>
    <row r="3908" ht="15.75" customHeight="1" x14ac:dyDescent="0.25"/>
    <row r="3909" ht="15.75" customHeight="1" x14ac:dyDescent="0.25"/>
    <row r="3910" ht="15.75" customHeight="1" x14ac:dyDescent="0.25"/>
    <row r="3911" ht="15.75" customHeight="1" x14ac:dyDescent="0.25"/>
    <row r="3912" ht="15.75" customHeight="1" x14ac:dyDescent="0.25"/>
    <row r="3913" ht="15.75" customHeight="1" x14ac:dyDescent="0.25"/>
    <row r="3914" ht="15.75" customHeight="1" x14ac:dyDescent="0.25"/>
    <row r="3915" ht="15.75" customHeight="1" x14ac:dyDescent="0.25"/>
    <row r="3916" ht="15.75" customHeight="1" x14ac:dyDescent="0.25"/>
    <row r="3917" ht="15.75" customHeight="1" x14ac:dyDescent="0.25"/>
    <row r="3918" ht="15.75" customHeight="1" x14ac:dyDescent="0.25"/>
    <row r="3919" ht="15.75" customHeight="1" x14ac:dyDescent="0.25"/>
    <row r="3920" ht="15.75" customHeight="1" x14ac:dyDescent="0.25"/>
    <row r="3921" ht="15.75" customHeight="1" x14ac:dyDescent="0.25"/>
    <row r="3922" ht="15.75" customHeight="1" x14ac:dyDescent="0.25"/>
    <row r="3923" ht="15.75" customHeight="1" x14ac:dyDescent="0.25"/>
    <row r="3924" ht="15.75" customHeight="1" x14ac:dyDescent="0.25"/>
    <row r="3925" ht="15.75" customHeight="1" x14ac:dyDescent="0.25"/>
    <row r="3926" ht="15.75" customHeight="1" x14ac:dyDescent="0.25"/>
    <row r="3927" ht="15.75" customHeight="1" x14ac:dyDescent="0.25"/>
    <row r="3928" ht="15.75" customHeight="1" x14ac:dyDescent="0.25"/>
    <row r="3929" ht="15.75" customHeight="1" x14ac:dyDescent="0.25"/>
    <row r="3930" ht="15.75" customHeight="1" x14ac:dyDescent="0.25"/>
    <row r="3931" ht="15.75" customHeight="1" x14ac:dyDescent="0.25"/>
    <row r="3932" ht="15.75" customHeight="1" x14ac:dyDescent="0.25"/>
    <row r="3933" ht="15.75" customHeight="1" x14ac:dyDescent="0.25"/>
    <row r="3934" ht="15.75" customHeight="1" x14ac:dyDescent="0.25"/>
    <row r="3935" ht="15.75" customHeight="1" x14ac:dyDescent="0.25"/>
    <row r="3936" ht="15.75" customHeight="1" x14ac:dyDescent="0.25"/>
    <row r="3937" ht="15.75" customHeight="1" x14ac:dyDescent="0.25"/>
    <row r="3938" ht="15.75" customHeight="1" x14ac:dyDescent="0.25"/>
    <row r="3939" ht="15.75" customHeight="1" x14ac:dyDescent="0.25"/>
    <row r="3940" ht="15.75" customHeight="1" x14ac:dyDescent="0.25"/>
    <row r="3941" ht="15.75" customHeight="1" x14ac:dyDescent="0.25"/>
    <row r="3942" ht="15.75" customHeight="1" x14ac:dyDescent="0.25"/>
    <row r="3943" ht="15.75" customHeight="1" x14ac:dyDescent="0.25"/>
    <row r="3944" ht="15.75" customHeight="1" x14ac:dyDescent="0.25"/>
    <row r="3945" ht="15.75" customHeight="1" x14ac:dyDescent="0.25"/>
    <row r="3946" ht="15.75" customHeight="1" x14ac:dyDescent="0.25"/>
    <row r="3947" ht="15.75" customHeight="1" x14ac:dyDescent="0.25"/>
    <row r="3948" ht="15.75" customHeight="1" x14ac:dyDescent="0.25"/>
    <row r="3949" ht="15.75" customHeight="1" x14ac:dyDescent="0.25"/>
    <row r="3950" ht="15.75" customHeight="1" x14ac:dyDescent="0.25"/>
    <row r="3951" ht="15.75" customHeight="1" x14ac:dyDescent="0.25"/>
    <row r="3952" ht="15.75" customHeight="1" x14ac:dyDescent="0.25"/>
    <row r="3953" ht="15.75" customHeight="1" x14ac:dyDescent="0.25"/>
    <row r="3954" ht="15.75" customHeight="1" x14ac:dyDescent="0.25"/>
    <row r="3955" ht="15.75" customHeight="1" x14ac:dyDescent="0.25"/>
    <row r="3956" ht="15.75" customHeight="1" x14ac:dyDescent="0.25"/>
    <row r="3957" ht="15.75" customHeight="1" x14ac:dyDescent="0.25"/>
    <row r="3958" ht="15.75" customHeight="1" x14ac:dyDescent="0.25"/>
    <row r="3959" ht="15.75" customHeight="1" x14ac:dyDescent="0.25"/>
    <row r="3960" ht="15.75" customHeight="1" x14ac:dyDescent="0.25"/>
    <row r="3961" ht="15.75" customHeight="1" x14ac:dyDescent="0.25"/>
    <row r="3962" ht="15.75" customHeight="1" x14ac:dyDescent="0.25"/>
    <row r="3963" ht="15.75" customHeight="1" x14ac:dyDescent="0.25"/>
    <row r="3964" ht="15.75" customHeight="1" x14ac:dyDescent="0.25"/>
    <row r="3965" ht="15.75" customHeight="1" x14ac:dyDescent="0.25"/>
    <row r="3966" ht="15.75" customHeight="1" x14ac:dyDescent="0.25"/>
    <row r="3967" ht="15.75" customHeight="1" x14ac:dyDescent="0.25"/>
    <row r="3968" ht="15.75" customHeight="1" x14ac:dyDescent="0.25"/>
    <row r="3969" ht="15.75" customHeight="1" x14ac:dyDescent="0.25"/>
    <row r="3970" ht="15.75" customHeight="1" x14ac:dyDescent="0.25"/>
    <row r="3971" ht="15.75" customHeight="1" x14ac:dyDescent="0.25"/>
    <row r="3972" ht="15.75" customHeight="1" x14ac:dyDescent="0.25"/>
    <row r="3973" ht="15.75" customHeight="1" x14ac:dyDescent="0.25"/>
    <row r="3974" ht="15.75" customHeight="1" x14ac:dyDescent="0.25"/>
    <row r="3975" ht="15.75" customHeight="1" x14ac:dyDescent="0.25"/>
    <row r="3976" ht="15.75" customHeight="1" x14ac:dyDescent="0.25"/>
    <row r="3977" ht="15.75" customHeight="1" x14ac:dyDescent="0.25"/>
    <row r="3978" ht="15.75" customHeight="1" x14ac:dyDescent="0.25"/>
    <row r="3979" ht="15.75" customHeight="1" x14ac:dyDescent="0.25"/>
    <row r="3980" ht="15.75" customHeight="1" x14ac:dyDescent="0.25"/>
    <row r="3981" ht="15.75" customHeight="1" x14ac:dyDescent="0.25"/>
    <row r="3982" ht="15.75" customHeight="1" x14ac:dyDescent="0.25"/>
    <row r="3983" ht="15.75" customHeight="1" x14ac:dyDescent="0.25"/>
    <row r="3984" ht="15.75" customHeight="1" x14ac:dyDescent="0.25"/>
    <row r="3985" ht="15.75" customHeight="1" x14ac:dyDescent="0.25"/>
    <row r="3986" ht="15.75" customHeight="1" x14ac:dyDescent="0.25"/>
    <row r="3987" ht="15.75" customHeight="1" x14ac:dyDescent="0.25"/>
    <row r="3988" ht="15.75" customHeight="1" x14ac:dyDescent="0.25"/>
    <row r="3989" ht="15.75" customHeight="1" x14ac:dyDescent="0.25"/>
    <row r="3990" ht="15.75" customHeight="1" x14ac:dyDescent="0.25"/>
    <row r="3991" ht="15.75" customHeight="1" x14ac:dyDescent="0.25"/>
    <row r="3992" ht="15.75" customHeight="1" x14ac:dyDescent="0.25"/>
    <row r="3993" ht="15.75" customHeight="1" x14ac:dyDescent="0.25"/>
    <row r="3994" ht="15.75" customHeight="1" x14ac:dyDescent="0.25"/>
    <row r="3995" ht="15.75" customHeight="1" x14ac:dyDescent="0.25"/>
    <row r="3996" ht="15.75" customHeight="1" x14ac:dyDescent="0.25"/>
    <row r="3997" ht="15.75" customHeight="1" x14ac:dyDescent="0.25"/>
    <row r="3998" ht="15.75" customHeight="1" x14ac:dyDescent="0.25"/>
    <row r="3999" ht="15.75" customHeight="1" x14ac:dyDescent="0.25"/>
    <row r="4000" ht="15.75" customHeight="1" x14ac:dyDescent="0.25"/>
    <row r="4001" ht="15.75" customHeight="1" x14ac:dyDescent="0.25"/>
    <row r="4002" ht="15.75" customHeight="1" x14ac:dyDescent="0.25"/>
    <row r="4003" ht="15.75" customHeight="1" x14ac:dyDescent="0.25"/>
    <row r="4004" ht="15.75" customHeight="1" x14ac:dyDescent="0.25"/>
    <row r="4005" ht="15.75" customHeight="1" x14ac:dyDescent="0.25"/>
    <row r="4006" ht="15.75" customHeight="1" x14ac:dyDescent="0.25"/>
    <row r="4007" ht="15.75" customHeight="1" x14ac:dyDescent="0.25"/>
    <row r="4008" ht="15.75" customHeight="1" x14ac:dyDescent="0.25"/>
    <row r="4009" ht="15.75" customHeight="1" x14ac:dyDescent="0.25"/>
    <row r="4010" ht="15.75" customHeight="1" x14ac:dyDescent="0.25"/>
    <row r="4011" ht="15.75" customHeight="1" x14ac:dyDescent="0.25"/>
    <row r="4012" ht="15.75" customHeight="1" x14ac:dyDescent="0.25"/>
    <row r="4013" ht="15.75" customHeight="1" x14ac:dyDescent="0.25"/>
    <row r="4014" ht="15.75" customHeight="1" x14ac:dyDescent="0.25"/>
    <row r="4015" ht="15.75" customHeight="1" x14ac:dyDescent="0.25"/>
    <row r="4016" ht="15.75" customHeight="1" x14ac:dyDescent="0.25"/>
    <row r="4017" ht="15.75" customHeight="1" x14ac:dyDescent="0.25"/>
    <row r="4018" ht="15.75" customHeight="1" x14ac:dyDescent="0.25"/>
    <row r="4019" ht="15.75" customHeight="1" x14ac:dyDescent="0.25"/>
    <row r="4020" ht="15.75" customHeight="1" x14ac:dyDescent="0.25"/>
    <row r="4021" ht="15.75" customHeight="1" x14ac:dyDescent="0.25"/>
    <row r="4022" ht="15.75" customHeight="1" x14ac:dyDescent="0.25"/>
    <row r="4023" ht="15.75" customHeight="1" x14ac:dyDescent="0.25"/>
    <row r="4024" ht="15.75" customHeight="1" x14ac:dyDescent="0.25"/>
    <row r="4025" ht="15.75" customHeight="1" x14ac:dyDescent="0.25"/>
    <row r="4026" ht="15.75" customHeight="1" x14ac:dyDescent="0.25"/>
    <row r="4027" ht="15.75" customHeight="1" x14ac:dyDescent="0.25"/>
    <row r="4028" ht="15.75" customHeight="1" x14ac:dyDescent="0.25"/>
    <row r="4029" ht="15.75" customHeight="1" x14ac:dyDescent="0.25"/>
    <row r="4030" ht="15.75" customHeight="1" x14ac:dyDescent="0.25"/>
    <row r="4031" ht="15.75" customHeight="1" x14ac:dyDescent="0.25"/>
    <row r="4032" ht="15.75" customHeight="1" x14ac:dyDescent="0.25"/>
    <row r="4033" ht="15.75" customHeight="1" x14ac:dyDescent="0.25"/>
    <row r="4034" ht="15.75" customHeight="1" x14ac:dyDescent="0.25"/>
    <row r="4035" ht="15.75" customHeight="1" x14ac:dyDescent="0.25"/>
    <row r="4036" ht="15.75" customHeight="1" x14ac:dyDescent="0.25"/>
    <row r="4037" ht="15.75" customHeight="1" x14ac:dyDescent="0.25"/>
    <row r="4038" ht="15.75" customHeight="1" x14ac:dyDescent="0.25"/>
    <row r="4039" ht="15.75" customHeight="1" x14ac:dyDescent="0.25"/>
    <row r="4040" ht="15.75" customHeight="1" x14ac:dyDescent="0.25"/>
    <row r="4041" ht="15.75" customHeight="1" x14ac:dyDescent="0.25"/>
    <row r="4042" ht="15.75" customHeight="1" x14ac:dyDescent="0.25"/>
    <row r="4043" ht="15.75" customHeight="1" x14ac:dyDescent="0.25"/>
    <row r="4044" ht="15.75" customHeight="1" x14ac:dyDescent="0.25"/>
    <row r="4045" ht="15.75" customHeight="1" x14ac:dyDescent="0.25"/>
    <row r="4046" ht="15.75" customHeight="1" x14ac:dyDescent="0.25"/>
    <row r="4047" ht="15.75" customHeight="1" x14ac:dyDescent="0.25"/>
    <row r="4048" ht="15.75" customHeight="1" x14ac:dyDescent="0.25"/>
    <row r="4049" ht="15.75" customHeight="1" x14ac:dyDescent="0.25"/>
    <row r="4050" ht="15.75" customHeight="1" x14ac:dyDescent="0.25"/>
    <row r="4051" ht="15.75" customHeight="1" x14ac:dyDescent="0.25"/>
    <row r="4052" ht="15.75" customHeight="1" x14ac:dyDescent="0.25"/>
    <row r="4053" ht="15.75" customHeight="1" x14ac:dyDescent="0.25"/>
    <row r="4054" ht="15.75" customHeight="1" x14ac:dyDescent="0.25"/>
    <row r="4055" ht="15.75" customHeight="1" x14ac:dyDescent="0.25"/>
    <row r="4056" ht="15.75" customHeight="1" x14ac:dyDescent="0.25"/>
    <row r="4057" ht="15.75" customHeight="1" x14ac:dyDescent="0.25"/>
    <row r="4058" ht="15.75" customHeight="1" x14ac:dyDescent="0.25"/>
    <row r="4059" ht="15.75" customHeight="1" x14ac:dyDescent="0.25"/>
    <row r="4060" ht="15.75" customHeight="1" x14ac:dyDescent="0.25"/>
    <row r="4061" ht="15.75" customHeight="1" x14ac:dyDescent="0.25"/>
    <row r="4062" ht="15.75" customHeight="1" x14ac:dyDescent="0.25"/>
    <row r="4063" ht="15.75" customHeight="1" x14ac:dyDescent="0.25"/>
    <row r="4064" ht="15.75" customHeight="1" x14ac:dyDescent="0.25"/>
    <row r="4065" ht="15.75" customHeight="1" x14ac:dyDescent="0.25"/>
    <row r="4066" ht="15.75" customHeight="1" x14ac:dyDescent="0.25"/>
    <row r="4067" ht="15.75" customHeight="1" x14ac:dyDescent="0.25"/>
    <row r="4068" ht="15.75" customHeight="1" x14ac:dyDescent="0.25"/>
    <row r="4069" ht="15.75" customHeight="1" x14ac:dyDescent="0.25"/>
    <row r="4070" ht="15.75" customHeight="1" x14ac:dyDescent="0.25"/>
    <row r="4071" ht="15.75" customHeight="1" x14ac:dyDescent="0.25"/>
    <row r="4072" ht="15.75" customHeight="1" x14ac:dyDescent="0.25"/>
    <row r="4073" ht="15.75" customHeight="1" x14ac:dyDescent="0.25"/>
    <row r="4074" ht="15.75" customHeight="1" x14ac:dyDescent="0.25"/>
    <row r="4075" ht="15.75" customHeight="1" x14ac:dyDescent="0.25"/>
    <row r="4076" ht="15.75" customHeight="1" x14ac:dyDescent="0.25"/>
    <row r="4077" ht="15.75" customHeight="1" x14ac:dyDescent="0.25"/>
    <row r="4078" ht="15.75" customHeight="1" x14ac:dyDescent="0.25"/>
    <row r="4079" ht="15.75" customHeight="1" x14ac:dyDescent="0.25"/>
    <row r="4080" ht="15.75" customHeight="1" x14ac:dyDescent="0.25"/>
    <row r="4081" ht="15.75" customHeight="1" x14ac:dyDescent="0.25"/>
    <row r="4082" ht="15.75" customHeight="1" x14ac:dyDescent="0.25"/>
    <row r="4083" ht="15.75" customHeight="1" x14ac:dyDescent="0.25"/>
    <row r="4084" ht="15.75" customHeight="1" x14ac:dyDescent="0.25"/>
    <row r="4085" ht="15.75" customHeight="1" x14ac:dyDescent="0.25"/>
    <row r="4086" ht="15.75" customHeight="1" x14ac:dyDescent="0.25"/>
    <row r="4087" ht="15.75" customHeight="1" x14ac:dyDescent="0.25"/>
    <row r="4088" ht="15.75" customHeight="1" x14ac:dyDescent="0.25"/>
    <row r="4089" ht="15.75" customHeight="1" x14ac:dyDescent="0.25"/>
    <row r="4090" ht="15.75" customHeight="1" x14ac:dyDescent="0.25"/>
    <row r="4091" ht="15.75" customHeight="1" x14ac:dyDescent="0.25"/>
    <row r="4092" ht="15.75" customHeight="1" x14ac:dyDescent="0.25"/>
    <row r="4093" ht="15.75" customHeight="1" x14ac:dyDescent="0.25"/>
    <row r="4094" ht="15.75" customHeight="1" x14ac:dyDescent="0.25"/>
    <row r="4095" ht="15.75" customHeight="1" x14ac:dyDescent="0.25"/>
    <row r="4096" ht="15.75" customHeight="1" x14ac:dyDescent="0.25"/>
    <row r="4097" ht="15.75" customHeight="1" x14ac:dyDescent="0.25"/>
    <row r="4098" ht="15.75" customHeight="1" x14ac:dyDescent="0.25"/>
    <row r="4099" ht="15.75" customHeight="1" x14ac:dyDescent="0.25"/>
    <row r="4100" ht="15.75" customHeight="1" x14ac:dyDescent="0.25"/>
    <row r="4101" ht="15.75" customHeight="1" x14ac:dyDescent="0.25"/>
    <row r="4102" ht="15.75" customHeight="1" x14ac:dyDescent="0.25"/>
    <row r="4103" ht="15.75" customHeight="1" x14ac:dyDescent="0.25"/>
    <row r="4104" ht="15.75" customHeight="1" x14ac:dyDescent="0.25"/>
    <row r="4105" ht="15.75" customHeight="1" x14ac:dyDescent="0.25"/>
    <row r="4106" ht="15.75" customHeight="1" x14ac:dyDescent="0.25"/>
    <row r="4107" ht="15.75" customHeight="1" x14ac:dyDescent="0.25"/>
    <row r="4108" ht="15.75" customHeight="1" x14ac:dyDescent="0.25"/>
    <row r="4109" ht="15.75" customHeight="1" x14ac:dyDescent="0.25"/>
    <row r="4110" ht="15.75" customHeight="1" x14ac:dyDescent="0.25"/>
    <row r="4111" ht="15.75" customHeight="1" x14ac:dyDescent="0.25"/>
    <row r="4112" ht="15.75" customHeight="1" x14ac:dyDescent="0.25"/>
    <row r="4113" ht="15.75" customHeight="1" x14ac:dyDescent="0.25"/>
    <row r="4114" ht="15.75" customHeight="1" x14ac:dyDescent="0.25"/>
    <row r="4115" ht="15.75" customHeight="1" x14ac:dyDescent="0.25"/>
    <row r="4116" ht="15.75" customHeight="1" x14ac:dyDescent="0.25"/>
    <row r="4117" ht="15.75" customHeight="1" x14ac:dyDescent="0.25"/>
    <row r="4118" ht="15.75" customHeight="1" x14ac:dyDescent="0.25"/>
    <row r="4119" ht="15.75" customHeight="1" x14ac:dyDescent="0.25"/>
    <row r="4120" ht="15.75" customHeight="1" x14ac:dyDescent="0.25"/>
    <row r="4121" ht="15.75" customHeight="1" x14ac:dyDescent="0.25"/>
    <row r="4122" ht="15.75" customHeight="1" x14ac:dyDescent="0.25"/>
    <row r="4123" ht="15.75" customHeight="1" x14ac:dyDescent="0.25"/>
    <row r="4124" ht="15.75" customHeight="1" x14ac:dyDescent="0.25"/>
    <row r="4125" ht="15.75" customHeight="1" x14ac:dyDescent="0.25"/>
    <row r="4126" ht="15.75" customHeight="1" x14ac:dyDescent="0.25"/>
    <row r="4127" ht="15.75" customHeight="1" x14ac:dyDescent="0.25"/>
    <row r="4128" ht="15.75" customHeight="1" x14ac:dyDescent="0.25"/>
    <row r="4129" ht="15.75" customHeight="1" x14ac:dyDescent="0.25"/>
    <row r="4130" ht="15.75" customHeight="1" x14ac:dyDescent="0.25"/>
    <row r="4131" ht="15.75" customHeight="1" x14ac:dyDescent="0.25"/>
    <row r="4132" ht="15.75" customHeight="1" x14ac:dyDescent="0.25"/>
    <row r="4133" ht="15.75" customHeight="1" x14ac:dyDescent="0.25"/>
    <row r="4134" ht="15.75" customHeight="1" x14ac:dyDescent="0.25"/>
    <row r="4135" ht="15.75" customHeight="1" x14ac:dyDescent="0.25"/>
    <row r="4136" ht="15.75" customHeight="1" x14ac:dyDescent="0.25"/>
    <row r="4137" ht="15.75" customHeight="1" x14ac:dyDescent="0.25"/>
    <row r="4138" ht="15.75" customHeight="1" x14ac:dyDescent="0.25"/>
    <row r="4139" ht="15.75" customHeight="1" x14ac:dyDescent="0.25"/>
    <row r="4140" ht="15.75" customHeight="1" x14ac:dyDescent="0.25"/>
    <row r="4141" ht="15.75" customHeight="1" x14ac:dyDescent="0.25"/>
    <row r="4142" ht="15.75" customHeight="1" x14ac:dyDescent="0.25"/>
    <row r="4143" ht="15.75" customHeight="1" x14ac:dyDescent="0.25"/>
    <row r="4144" ht="15.75" customHeight="1" x14ac:dyDescent="0.25"/>
    <row r="4145" ht="15.75" customHeight="1" x14ac:dyDescent="0.25"/>
    <row r="4146" ht="15.75" customHeight="1" x14ac:dyDescent="0.25"/>
    <row r="4147" ht="15.75" customHeight="1" x14ac:dyDescent="0.25"/>
    <row r="4148" ht="15.75" customHeight="1" x14ac:dyDescent="0.25"/>
    <row r="4149" ht="15.75" customHeight="1" x14ac:dyDescent="0.25"/>
    <row r="4150" ht="15.75" customHeight="1" x14ac:dyDescent="0.25"/>
    <row r="4151" ht="15.75" customHeight="1" x14ac:dyDescent="0.25"/>
    <row r="4152" ht="15.75" customHeight="1" x14ac:dyDescent="0.25"/>
    <row r="4153" ht="15.75" customHeight="1" x14ac:dyDescent="0.25"/>
    <row r="4154" ht="15.75" customHeight="1" x14ac:dyDescent="0.25"/>
    <row r="4155" ht="15.75" customHeight="1" x14ac:dyDescent="0.25"/>
    <row r="4156" ht="15.75" customHeight="1" x14ac:dyDescent="0.25"/>
    <row r="4157" ht="15.75" customHeight="1" x14ac:dyDescent="0.25"/>
    <row r="4158" ht="15.75" customHeight="1" x14ac:dyDescent="0.25"/>
    <row r="4159" ht="15.75" customHeight="1" x14ac:dyDescent="0.25"/>
    <row r="4160" ht="15.75" customHeight="1" x14ac:dyDescent="0.25"/>
    <row r="4161" ht="15.75" customHeight="1" x14ac:dyDescent="0.25"/>
    <row r="4162" ht="15.75" customHeight="1" x14ac:dyDescent="0.25"/>
    <row r="4163" ht="15.75" customHeight="1" x14ac:dyDescent="0.25"/>
    <row r="4164" ht="15.75" customHeight="1" x14ac:dyDescent="0.25"/>
    <row r="4165" ht="15.75" customHeight="1" x14ac:dyDescent="0.25"/>
    <row r="4166" ht="15.75" customHeight="1" x14ac:dyDescent="0.25"/>
    <row r="4167" ht="15.75" customHeight="1" x14ac:dyDescent="0.25"/>
    <row r="4168" ht="15.75" customHeight="1" x14ac:dyDescent="0.25"/>
    <row r="4169" ht="15.75" customHeight="1" x14ac:dyDescent="0.25"/>
    <row r="4170" ht="15.75" customHeight="1" x14ac:dyDescent="0.25"/>
    <row r="4171" ht="15.75" customHeight="1" x14ac:dyDescent="0.25"/>
    <row r="4172" ht="15.75" customHeight="1" x14ac:dyDescent="0.25"/>
    <row r="4173" ht="15.75" customHeight="1" x14ac:dyDescent="0.25"/>
    <row r="4174" ht="15.75" customHeight="1" x14ac:dyDescent="0.25"/>
    <row r="4175" ht="15.75" customHeight="1" x14ac:dyDescent="0.25"/>
    <row r="4176" ht="15.75" customHeight="1" x14ac:dyDescent="0.25"/>
    <row r="4177" ht="15.75" customHeight="1" x14ac:dyDescent="0.25"/>
    <row r="4178" ht="15.75" customHeight="1" x14ac:dyDescent="0.25"/>
    <row r="4179" ht="15.75" customHeight="1" x14ac:dyDescent="0.25"/>
    <row r="4180" ht="15.75" customHeight="1" x14ac:dyDescent="0.25"/>
    <row r="4181" ht="15.75" customHeight="1" x14ac:dyDescent="0.25"/>
    <row r="4182" ht="15.75" customHeight="1" x14ac:dyDescent="0.25"/>
    <row r="4183" ht="15.75" customHeight="1" x14ac:dyDescent="0.25"/>
    <row r="4184" ht="15.75" customHeight="1" x14ac:dyDescent="0.25"/>
    <row r="4185" ht="15.75" customHeight="1" x14ac:dyDescent="0.25"/>
    <row r="4186" ht="15.75" customHeight="1" x14ac:dyDescent="0.25"/>
    <row r="4187" ht="15.75" customHeight="1" x14ac:dyDescent="0.25"/>
    <row r="4188" ht="15.75" customHeight="1" x14ac:dyDescent="0.25"/>
    <row r="4189" ht="15.75" customHeight="1" x14ac:dyDescent="0.25"/>
    <row r="4190" ht="15.75" customHeight="1" x14ac:dyDescent="0.25"/>
    <row r="4191" ht="15.75" customHeight="1" x14ac:dyDescent="0.25"/>
    <row r="4192" ht="15.75" customHeight="1" x14ac:dyDescent="0.25"/>
    <row r="4193" ht="15.75" customHeight="1" x14ac:dyDescent="0.25"/>
    <row r="4194" ht="15.75" customHeight="1" x14ac:dyDescent="0.25"/>
    <row r="4195" ht="15.75" customHeight="1" x14ac:dyDescent="0.25"/>
    <row r="4196" ht="15.75" customHeight="1" x14ac:dyDescent="0.25"/>
    <row r="4197" ht="15.75" customHeight="1" x14ac:dyDescent="0.25"/>
    <row r="4198" ht="15.75" customHeight="1" x14ac:dyDescent="0.25"/>
    <row r="4199" ht="15.75" customHeight="1" x14ac:dyDescent="0.25"/>
    <row r="4200" ht="15.75" customHeight="1" x14ac:dyDescent="0.25"/>
    <row r="4201" ht="15.75" customHeight="1" x14ac:dyDescent="0.25"/>
    <row r="4202" ht="15.75" customHeight="1" x14ac:dyDescent="0.25"/>
    <row r="4203" ht="15.75" customHeight="1" x14ac:dyDescent="0.25"/>
    <row r="4204" ht="15.75" customHeight="1" x14ac:dyDescent="0.25"/>
    <row r="4205" ht="15.75" customHeight="1" x14ac:dyDescent="0.25"/>
    <row r="4206" ht="15.75" customHeight="1" x14ac:dyDescent="0.25"/>
    <row r="4207" ht="15.75" customHeight="1" x14ac:dyDescent="0.25"/>
    <row r="4208" ht="15.75" customHeight="1" x14ac:dyDescent="0.25"/>
    <row r="4209" ht="15.75" customHeight="1" x14ac:dyDescent="0.25"/>
    <row r="4210" ht="15.75" customHeight="1" x14ac:dyDescent="0.25"/>
    <row r="4211" ht="15.75" customHeight="1" x14ac:dyDescent="0.25"/>
    <row r="4212" ht="15.75" customHeight="1" x14ac:dyDescent="0.25"/>
    <row r="4213" ht="15.75" customHeight="1" x14ac:dyDescent="0.25"/>
    <row r="4214" ht="15.75" customHeight="1" x14ac:dyDescent="0.25"/>
    <row r="4215" ht="15.75" customHeight="1" x14ac:dyDescent="0.25"/>
    <row r="4216" ht="15.75" customHeight="1" x14ac:dyDescent="0.25"/>
    <row r="4217" ht="15.75" customHeight="1" x14ac:dyDescent="0.25"/>
    <row r="4218" ht="15.75" customHeight="1" x14ac:dyDescent="0.25"/>
    <row r="4219" ht="15.75" customHeight="1" x14ac:dyDescent="0.25"/>
    <row r="4220" ht="15.75" customHeight="1" x14ac:dyDescent="0.25"/>
    <row r="4221" ht="15.75" customHeight="1" x14ac:dyDescent="0.25"/>
    <row r="4222" ht="15.75" customHeight="1" x14ac:dyDescent="0.25"/>
    <row r="4223" ht="15.75" customHeight="1" x14ac:dyDescent="0.25"/>
    <row r="4224" ht="15.75" customHeight="1" x14ac:dyDescent="0.25"/>
    <row r="4225" ht="15.75" customHeight="1" x14ac:dyDescent="0.25"/>
    <row r="4226" ht="15.75" customHeight="1" x14ac:dyDescent="0.25"/>
    <row r="4227" ht="15.75" customHeight="1" x14ac:dyDescent="0.25"/>
    <row r="4228" ht="15.75" customHeight="1" x14ac:dyDescent="0.25"/>
    <row r="4229" ht="15.75" customHeight="1" x14ac:dyDescent="0.25"/>
    <row r="4230" ht="15.75" customHeight="1" x14ac:dyDescent="0.25"/>
    <row r="4231" ht="15.75" customHeight="1" x14ac:dyDescent="0.25"/>
    <row r="4232" ht="15.75" customHeight="1" x14ac:dyDescent="0.25"/>
    <row r="4233" ht="15.75" customHeight="1" x14ac:dyDescent="0.25"/>
    <row r="4234" ht="15.75" customHeight="1" x14ac:dyDescent="0.25"/>
    <row r="4235" ht="15.75" customHeight="1" x14ac:dyDescent="0.25"/>
    <row r="4236" ht="15.75" customHeight="1" x14ac:dyDescent="0.25"/>
    <row r="4237" ht="15.75" customHeight="1" x14ac:dyDescent="0.25"/>
    <row r="4238" ht="15.75" customHeight="1" x14ac:dyDescent="0.25"/>
    <row r="4239" ht="15.75" customHeight="1" x14ac:dyDescent="0.25"/>
    <row r="4240" ht="15.75" customHeight="1" x14ac:dyDescent="0.25"/>
    <row r="4241" ht="15.75" customHeight="1" x14ac:dyDescent="0.25"/>
    <row r="4242" ht="15.75" customHeight="1" x14ac:dyDescent="0.25"/>
    <row r="4243" ht="15.75" customHeight="1" x14ac:dyDescent="0.25"/>
    <row r="4244" ht="15.75" customHeight="1" x14ac:dyDescent="0.25"/>
    <row r="4245" ht="15.75" customHeight="1" x14ac:dyDescent="0.25"/>
    <row r="4246" ht="15.75" customHeight="1" x14ac:dyDescent="0.25"/>
    <row r="4247" ht="15.75" customHeight="1" x14ac:dyDescent="0.25"/>
    <row r="4248" ht="15.75" customHeight="1" x14ac:dyDescent="0.25"/>
    <row r="4249" ht="15.75" customHeight="1" x14ac:dyDescent="0.25"/>
    <row r="4250" ht="15.75" customHeight="1" x14ac:dyDescent="0.25"/>
    <row r="4251" ht="15.75" customHeight="1" x14ac:dyDescent="0.25"/>
    <row r="4252" ht="15.75" customHeight="1" x14ac:dyDescent="0.25"/>
    <row r="4253" ht="15.75" customHeight="1" x14ac:dyDescent="0.25"/>
    <row r="4254" ht="15.75" customHeight="1" x14ac:dyDescent="0.25"/>
    <row r="4255" ht="15.75" customHeight="1" x14ac:dyDescent="0.25"/>
    <row r="4256" ht="15.75" customHeight="1" x14ac:dyDescent="0.25"/>
    <row r="4257" ht="15.75" customHeight="1" x14ac:dyDescent="0.25"/>
    <row r="4258" ht="15.75" customHeight="1" x14ac:dyDescent="0.25"/>
    <row r="4259" ht="15.75" customHeight="1" x14ac:dyDescent="0.25"/>
    <row r="4260" ht="15.75" customHeight="1" x14ac:dyDescent="0.25"/>
    <row r="4261" ht="15.75" customHeight="1" x14ac:dyDescent="0.25"/>
    <row r="4262" ht="15.75" customHeight="1" x14ac:dyDescent="0.25"/>
    <row r="4263" ht="15.75" customHeight="1" x14ac:dyDescent="0.25"/>
    <row r="4264" ht="15.75" customHeight="1" x14ac:dyDescent="0.25"/>
    <row r="4265" ht="15.75" customHeight="1" x14ac:dyDescent="0.25"/>
    <row r="4266" ht="15.75" customHeight="1" x14ac:dyDescent="0.25"/>
    <row r="4267" ht="15.75" customHeight="1" x14ac:dyDescent="0.25"/>
    <row r="4268" ht="15.75" customHeight="1" x14ac:dyDescent="0.25"/>
    <row r="4269" ht="15.75" customHeight="1" x14ac:dyDescent="0.25"/>
    <row r="4270" ht="15.75" customHeight="1" x14ac:dyDescent="0.25"/>
    <row r="4271" ht="15.75" customHeight="1" x14ac:dyDescent="0.25"/>
    <row r="4272" ht="15.75" customHeight="1" x14ac:dyDescent="0.25"/>
    <row r="4273" ht="15.75" customHeight="1" x14ac:dyDescent="0.25"/>
    <row r="4274" ht="15.75" customHeight="1" x14ac:dyDescent="0.25"/>
    <row r="4275" ht="15.75" customHeight="1" x14ac:dyDescent="0.25"/>
    <row r="4276" ht="15.75" customHeight="1" x14ac:dyDescent="0.25"/>
    <row r="4277" ht="15.75" customHeight="1" x14ac:dyDescent="0.25"/>
    <row r="4278" ht="15.75" customHeight="1" x14ac:dyDescent="0.25"/>
    <row r="4279" ht="15.75" customHeight="1" x14ac:dyDescent="0.25"/>
    <row r="4280" ht="15.75" customHeight="1" x14ac:dyDescent="0.25"/>
    <row r="4281" ht="15.75" customHeight="1" x14ac:dyDescent="0.25"/>
    <row r="4282" ht="15.75" customHeight="1" x14ac:dyDescent="0.25"/>
    <row r="4283" ht="15.75" customHeight="1" x14ac:dyDescent="0.25"/>
    <row r="4284" ht="15.75" customHeight="1" x14ac:dyDescent="0.25"/>
    <row r="4285" ht="15.75" customHeight="1" x14ac:dyDescent="0.25"/>
    <row r="4286" ht="15.75" customHeight="1" x14ac:dyDescent="0.25"/>
    <row r="4287" ht="15.75" customHeight="1" x14ac:dyDescent="0.25"/>
    <row r="4288" ht="15.75" customHeight="1" x14ac:dyDescent="0.25"/>
    <row r="4289" ht="15.75" customHeight="1" x14ac:dyDescent="0.25"/>
    <row r="4290" ht="15.75" customHeight="1" x14ac:dyDescent="0.25"/>
    <row r="4291" ht="15.75" customHeight="1" x14ac:dyDescent="0.25"/>
    <row r="4292" ht="15.75" customHeight="1" x14ac:dyDescent="0.25"/>
    <row r="4293" ht="15.75" customHeight="1" x14ac:dyDescent="0.25"/>
    <row r="4294" ht="15.75" customHeight="1" x14ac:dyDescent="0.25"/>
    <row r="4295" ht="15.75" customHeight="1" x14ac:dyDescent="0.25"/>
    <row r="4296" ht="15.75" customHeight="1" x14ac:dyDescent="0.25"/>
    <row r="4297" ht="15.75" customHeight="1" x14ac:dyDescent="0.25"/>
    <row r="4298" ht="15.75" customHeight="1" x14ac:dyDescent="0.25"/>
    <row r="4299" ht="15.75" customHeight="1" x14ac:dyDescent="0.25"/>
    <row r="4300" ht="15.75" customHeight="1" x14ac:dyDescent="0.25"/>
    <row r="4301" ht="15.75" customHeight="1" x14ac:dyDescent="0.25"/>
    <row r="4302" ht="15.75" customHeight="1" x14ac:dyDescent="0.25"/>
    <row r="4303" ht="15.75" customHeight="1" x14ac:dyDescent="0.25"/>
    <row r="4304" ht="15.75" customHeight="1" x14ac:dyDescent="0.25"/>
    <row r="4305" ht="15.75" customHeight="1" x14ac:dyDescent="0.25"/>
    <row r="4306" ht="15.75" customHeight="1" x14ac:dyDescent="0.25"/>
    <row r="4307" ht="15.75" customHeight="1" x14ac:dyDescent="0.25"/>
    <row r="4308" ht="15.75" customHeight="1" x14ac:dyDescent="0.25"/>
    <row r="4309" ht="15.75" customHeight="1" x14ac:dyDescent="0.25"/>
    <row r="4310" ht="15.75" customHeight="1" x14ac:dyDescent="0.25"/>
    <row r="4311" ht="15.75" customHeight="1" x14ac:dyDescent="0.25"/>
    <row r="4312" ht="15.75" customHeight="1" x14ac:dyDescent="0.25"/>
    <row r="4313" ht="15.75" customHeight="1" x14ac:dyDescent="0.25"/>
    <row r="4314" ht="15.75" customHeight="1" x14ac:dyDescent="0.25"/>
    <row r="4315" ht="15.75" customHeight="1" x14ac:dyDescent="0.25"/>
    <row r="4316" ht="15.75" customHeight="1" x14ac:dyDescent="0.25"/>
    <row r="4317" ht="15.75" customHeight="1" x14ac:dyDescent="0.25"/>
    <row r="4318" ht="15.75" customHeight="1" x14ac:dyDescent="0.25"/>
    <row r="4319" ht="15.75" customHeight="1" x14ac:dyDescent="0.25"/>
    <row r="4320" ht="15.75" customHeight="1" x14ac:dyDescent="0.25"/>
    <row r="4321" ht="15.75" customHeight="1" x14ac:dyDescent="0.25"/>
    <row r="4322" ht="15.75" customHeight="1" x14ac:dyDescent="0.25"/>
    <row r="4323" ht="15.75" customHeight="1" x14ac:dyDescent="0.25"/>
    <row r="4324" ht="15.75" customHeight="1" x14ac:dyDescent="0.25"/>
    <row r="4325" ht="15.75" customHeight="1" x14ac:dyDescent="0.25"/>
    <row r="4326" ht="15.75" customHeight="1" x14ac:dyDescent="0.25"/>
    <row r="4327" ht="15.75" customHeight="1" x14ac:dyDescent="0.25"/>
    <row r="4328" ht="15.75" customHeight="1" x14ac:dyDescent="0.25"/>
    <row r="4329" ht="15.75" customHeight="1" x14ac:dyDescent="0.25"/>
    <row r="4330" ht="15.75" customHeight="1" x14ac:dyDescent="0.25"/>
    <row r="4331" ht="15.75" customHeight="1" x14ac:dyDescent="0.25"/>
    <row r="4332" ht="15.75" customHeight="1" x14ac:dyDescent="0.25"/>
    <row r="4333" ht="15.75" customHeight="1" x14ac:dyDescent="0.25"/>
    <row r="4334" ht="15.75" customHeight="1" x14ac:dyDescent="0.25"/>
    <row r="4335" ht="15.75" customHeight="1" x14ac:dyDescent="0.25"/>
    <row r="4336" ht="15.75" customHeight="1" x14ac:dyDescent="0.25"/>
    <row r="4337" ht="15.75" customHeight="1" x14ac:dyDescent="0.25"/>
    <row r="4338" ht="15.75" customHeight="1" x14ac:dyDescent="0.25"/>
    <row r="4339" ht="15.75" customHeight="1" x14ac:dyDescent="0.25"/>
    <row r="4340" ht="15.75" customHeight="1" x14ac:dyDescent="0.25"/>
    <row r="4341" ht="15.75" customHeight="1" x14ac:dyDescent="0.25"/>
    <row r="4342" ht="15.75" customHeight="1" x14ac:dyDescent="0.25"/>
    <row r="4343" ht="15.75" customHeight="1" x14ac:dyDescent="0.25"/>
    <row r="4344" ht="15.75" customHeight="1" x14ac:dyDescent="0.25"/>
    <row r="4345" ht="15.75" customHeight="1" x14ac:dyDescent="0.25"/>
    <row r="4346" ht="15.75" customHeight="1" x14ac:dyDescent="0.25"/>
    <row r="4347" ht="15.75" customHeight="1" x14ac:dyDescent="0.25"/>
    <row r="4348" ht="15.75" customHeight="1" x14ac:dyDescent="0.25"/>
    <row r="4349" ht="15.75" customHeight="1" x14ac:dyDescent="0.25"/>
    <row r="4350" ht="15.75" customHeight="1" x14ac:dyDescent="0.25"/>
    <row r="4351" ht="15.75" customHeight="1" x14ac:dyDescent="0.25"/>
    <row r="4352" ht="15.75" customHeight="1" x14ac:dyDescent="0.25"/>
    <row r="4353" ht="15.75" customHeight="1" x14ac:dyDescent="0.25"/>
    <row r="4354" ht="15.75" customHeight="1" x14ac:dyDescent="0.25"/>
    <row r="4355" ht="15.75" customHeight="1" x14ac:dyDescent="0.25"/>
    <row r="4356" ht="15.75" customHeight="1" x14ac:dyDescent="0.25"/>
    <row r="4357" ht="15.75" customHeight="1" x14ac:dyDescent="0.25"/>
    <row r="4358" ht="15.75" customHeight="1" x14ac:dyDescent="0.25"/>
    <row r="4359" ht="15.75" customHeight="1" x14ac:dyDescent="0.25"/>
    <row r="4360" ht="15.75" customHeight="1" x14ac:dyDescent="0.25"/>
    <row r="4361" ht="15.75" customHeight="1" x14ac:dyDescent="0.25"/>
    <row r="4362" ht="15.75" customHeight="1" x14ac:dyDescent="0.25"/>
    <row r="4363" ht="15.75" customHeight="1" x14ac:dyDescent="0.25"/>
    <row r="4364" ht="15.75" customHeight="1" x14ac:dyDescent="0.25"/>
    <row r="4365" ht="15.75" customHeight="1" x14ac:dyDescent="0.25"/>
    <row r="4366" ht="15.75" customHeight="1" x14ac:dyDescent="0.25"/>
    <row r="4367" ht="15.75" customHeight="1" x14ac:dyDescent="0.25"/>
    <row r="4368" ht="15.75" customHeight="1" x14ac:dyDescent="0.25"/>
    <row r="4369" ht="15.75" customHeight="1" x14ac:dyDescent="0.25"/>
    <row r="4370" ht="15.75" customHeight="1" x14ac:dyDescent="0.25"/>
    <row r="4371" ht="15.75" customHeight="1" x14ac:dyDescent="0.25"/>
    <row r="4372" ht="15.75" customHeight="1" x14ac:dyDescent="0.25"/>
    <row r="4373" ht="15.75" customHeight="1" x14ac:dyDescent="0.25"/>
    <row r="4374" ht="15.75" customHeight="1" x14ac:dyDescent="0.25"/>
    <row r="4375" ht="15.75" customHeight="1" x14ac:dyDescent="0.25"/>
    <row r="4376" ht="15.75" customHeight="1" x14ac:dyDescent="0.25"/>
    <row r="4377" ht="15.75" customHeight="1" x14ac:dyDescent="0.25"/>
    <row r="4378" ht="15.75" customHeight="1" x14ac:dyDescent="0.25"/>
    <row r="4379" ht="15.75" customHeight="1" x14ac:dyDescent="0.25"/>
    <row r="4380" ht="15.75" customHeight="1" x14ac:dyDescent="0.25"/>
    <row r="4381" ht="15.75" customHeight="1" x14ac:dyDescent="0.25"/>
    <row r="4382" ht="15.75" customHeight="1" x14ac:dyDescent="0.25"/>
    <row r="4383" ht="15.75" customHeight="1" x14ac:dyDescent="0.25"/>
    <row r="4384" ht="15.75" customHeight="1" x14ac:dyDescent="0.25"/>
    <row r="4385" ht="15.75" customHeight="1" x14ac:dyDescent="0.25"/>
    <row r="4386" ht="15.75" customHeight="1" x14ac:dyDescent="0.25"/>
    <row r="4387" ht="15.75" customHeight="1" x14ac:dyDescent="0.25"/>
    <row r="4388" ht="15.75" customHeight="1" x14ac:dyDescent="0.25"/>
    <row r="4389" ht="15.75" customHeight="1" x14ac:dyDescent="0.25"/>
    <row r="4390" ht="15.75" customHeight="1" x14ac:dyDescent="0.25"/>
    <row r="4391" ht="15.75" customHeight="1" x14ac:dyDescent="0.25"/>
    <row r="4392" ht="15.75" customHeight="1" x14ac:dyDescent="0.25"/>
    <row r="4393" ht="15.75" customHeight="1" x14ac:dyDescent="0.25"/>
    <row r="4394" ht="15.75" customHeight="1" x14ac:dyDescent="0.25"/>
    <row r="4395" ht="15.75" customHeight="1" x14ac:dyDescent="0.25"/>
    <row r="4396" ht="15.75" customHeight="1" x14ac:dyDescent="0.25"/>
    <row r="4397" ht="15.75" customHeight="1" x14ac:dyDescent="0.25"/>
    <row r="4398" ht="15.75" customHeight="1" x14ac:dyDescent="0.25"/>
    <row r="4399" ht="15.75" customHeight="1" x14ac:dyDescent="0.25"/>
    <row r="4400" ht="15.75" customHeight="1" x14ac:dyDescent="0.25"/>
    <row r="4401" ht="15.75" customHeight="1" x14ac:dyDescent="0.25"/>
    <row r="4402" ht="15.75" customHeight="1" x14ac:dyDescent="0.25"/>
    <row r="4403" ht="15.75" customHeight="1" x14ac:dyDescent="0.25"/>
    <row r="4404" ht="15.75" customHeight="1" x14ac:dyDescent="0.25"/>
    <row r="4405" ht="15.75" customHeight="1" x14ac:dyDescent="0.25"/>
    <row r="4406" ht="15.75" customHeight="1" x14ac:dyDescent="0.25"/>
    <row r="4407" ht="15.75" customHeight="1" x14ac:dyDescent="0.25"/>
    <row r="4408" ht="15.75" customHeight="1" x14ac:dyDescent="0.25"/>
    <row r="4409" ht="15.75" customHeight="1" x14ac:dyDescent="0.25"/>
    <row r="4410" ht="15.75" customHeight="1" x14ac:dyDescent="0.25"/>
    <row r="4411" ht="15.75" customHeight="1" x14ac:dyDescent="0.25"/>
    <row r="4412" ht="15.75" customHeight="1" x14ac:dyDescent="0.25"/>
    <row r="4413" ht="15.75" customHeight="1" x14ac:dyDescent="0.25"/>
    <row r="4414" ht="15.75" customHeight="1" x14ac:dyDescent="0.25"/>
    <row r="4415" ht="15.75" customHeight="1" x14ac:dyDescent="0.25"/>
    <row r="4416" ht="15.75" customHeight="1" x14ac:dyDescent="0.25"/>
    <row r="4417" ht="15.75" customHeight="1" x14ac:dyDescent="0.25"/>
    <row r="4418" ht="15.75" customHeight="1" x14ac:dyDescent="0.25"/>
    <row r="4419" ht="15.75" customHeight="1" x14ac:dyDescent="0.25"/>
    <row r="4420" ht="15.75" customHeight="1" x14ac:dyDescent="0.25"/>
    <row r="4421" ht="15.75" customHeight="1" x14ac:dyDescent="0.25"/>
    <row r="4422" ht="15.75" customHeight="1" x14ac:dyDescent="0.25"/>
    <row r="4423" ht="15.75" customHeight="1" x14ac:dyDescent="0.25"/>
    <row r="4424" ht="15.75" customHeight="1" x14ac:dyDescent="0.25"/>
    <row r="4425" ht="15.75" customHeight="1" x14ac:dyDescent="0.25"/>
    <row r="4426" ht="15.75" customHeight="1" x14ac:dyDescent="0.25"/>
    <row r="4427" ht="15.75" customHeight="1" x14ac:dyDescent="0.25"/>
    <row r="4428" ht="15.75" customHeight="1" x14ac:dyDescent="0.25"/>
    <row r="4429" ht="15.75" customHeight="1" x14ac:dyDescent="0.25"/>
    <row r="4430" ht="15.75" customHeight="1" x14ac:dyDescent="0.25"/>
    <row r="4431" ht="15.75" customHeight="1" x14ac:dyDescent="0.25"/>
    <row r="4432" ht="15.75" customHeight="1" x14ac:dyDescent="0.25"/>
    <row r="4433" ht="15.75" customHeight="1" x14ac:dyDescent="0.25"/>
    <row r="4434" ht="15.75" customHeight="1" x14ac:dyDescent="0.25"/>
    <row r="4435" ht="15.75" customHeight="1" x14ac:dyDescent="0.25"/>
    <row r="4436" ht="15.75" customHeight="1" x14ac:dyDescent="0.25"/>
    <row r="4437" ht="15.75" customHeight="1" x14ac:dyDescent="0.25"/>
    <row r="4438" ht="15.75" customHeight="1" x14ac:dyDescent="0.25"/>
    <row r="4439" ht="15.75" customHeight="1" x14ac:dyDescent="0.25"/>
    <row r="4440" ht="15.75" customHeight="1" x14ac:dyDescent="0.25"/>
    <row r="4441" ht="15.75" customHeight="1" x14ac:dyDescent="0.25"/>
    <row r="4442" ht="15.75" customHeight="1" x14ac:dyDescent="0.25"/>
    <row r="4443" ht="15.75" customHeight="1" x14ac:dyDescent="0.25"/>
    <row r="4444" ht="15.75" customHeight="1" x14ac:dyDescent="0.25"/>
    <row r="4445" ht="15.75" customHeight="1" x14ac:dyDescent="0.25"/>
    <row r="4446" ht="15.75" customHeight="1" x14ac:dyDescent="0.25"/>
    <row r="4447" ht="15.75" customHeight="1" x14ac:dyDescent="0.25"/>
    <row r="4448" ht="15.75" customHeight="1" x14ac:dyDescent="0.25"/>
    <row r="4449" ht="15.75" customHeight="1" x14ac:dyDescent="0.25"/>
    <row r="4450" ht="15.75" customHeight="1" x14ac:dyDescent="0.25"/>
    <row r="4451" ht="15.75" customHeight="1" x14ac:dyDescent="0.25"/>
    <row r="4452" ht="15.75" customHeight="1" x14ac:dyDescent="0.25"/>
    <row r="4453" ht="15.75" customHeight="1" x14ac:dyDescent="0.25"/>
    <row r="4454" ht="15.75" customHeight="1" x14ac:dyDescent="0.25"/>
    <row r="4455" ht="15.75" customHeight="1" x14ac:dyDescent="0.25"/>
    <row r="4456" ht="15.75" customHeight="1" x14ac:dyDescent="0.25"/>
    <row r="4457" ht="15.75" customHeight="1" x14ac:dyDescent="0.25"/>
    <row r="4458" ht="15.75" customHeight="1" x14ac:dyDescent="0.25"/>
    <row r="4459" ht="15.75" customHeight="1" x14ac:dyDescent="0.25"/>
    <row r="4460" ht="15.75" customHeight="1" x14ac:dyDescent="0.25"/>
    <row r="4461" ht="15.75" customHeight="1" x14ac:dyDescent="0.25"/>
    <row r="4462" ht="15.75" customHeight="1" x14ac:dyDescent="0.25"/>
    <row r="4463" ht="15.75" customHeight="1" x14ac:dyDescent="0.25"/>
    <row r="4464" ht="15.75" customHeight="1" x14ac:dyDescent="0.25"/>
    <row r="4465" ht="15.75" customHeight="1" x14ac:dyDescent="0.25"/>
    <row r="4466" ht="15.75" customHeight="1" x14ac:dyDescent="0.25"/>
    <row r="4467" ht="15.75" customHeight="1" x14ac:dyDescent="0.25"/>
    <row r="4468" ht="15.75" customHeight="1" x14ac:dyDescent="0.25"/>
    <row r="4469" ht="15.75" customHeight="1" x14ac:dyDescent="0.25"/>
    <row r="4470" ht="15.75" customHeight="1" x14ac:dyDescent="0.25"/>
    <row r="4471" ht="15.75" customHeight="1" x14ac:dyDescent="0.25"/>
    <row r="4472" ht="15.75" customHeight="1" x14ac:dyDescent="0.25"/>
    <row r="4473" ht="15.75" customHeight="1" x14ac:dyDescent="0.25"/>
    <row r="4474" ht="15.75" customHeight="1" x14ac:dyDescent="0.25"/>
    <row r="4475" ht="15.75" customHeight="1" x14ac:dyDescent="0.25"/>
    <row r="4476" ht="15.75" customHeight="1" x14ac:dyDescent="0.25"/>
    <row r="4477" ht="15.75" customHeight="1" x14ac:dyDescent="0.25"/>
    <row r="4478" ht="15.75" customHeight="1" x14ac:dyDescent="0.25"/>
    <row r="4479" ht="15.75" customHeight="1" x14ac:dyDescent="0.25"/>
    <row r="4480" ht="15.75" customHeight="1" x14ac:dyDescent="0.25"/>
    <row r="4481" ht="15.75" customHeight="1" x14ac:dyDescent="0.25"/>
    <row r="4482" ht="15.75" customHeight="1" x14ac:dyDescent="0.25"/>
    <row r="4483" ht="15.75" customHeight="1" x14ac:dyDescent="0.25"/>
    <row r="4484" ht="15.75" customHeight="1" x14ac:dyDescent="0.25"/>
    <row r="4485" ht="15.75" customHeight="1" x14ac:dyDescent="0.25"/>
    <row r="4486" ht="15.75" customHeight="1" x14ac:dyDescent="0.25"/>
    <row r="4487" ht="15.75" customHeight="1" x14ac:dyDescent="0.25"/>
    <row r="4488" ht="15.75" customHeight="1" x14ac:dyDescent="0.25"/>
    <row r="4489" ht="15.75" customHeight="1" x14ac:dyDescent="0.25"/>
    <row r="4490" ht="15.75" customHeight="1" x14ac:dyDescent="0.25"/>
    <row r="4491" ht="15.75" customHeight="1" x14ac:dyDescent="0.25"/>
    <row r="4492" ht="15.75" customHeight="1" x14ac:dyDescent="0.25"/>
    <row r="4493" ht="15.75" customHeight="1" x14ac:dyDescent="0.25"/>
    <row r="4494" ht="15.75" customHeight="1" x14ac:dyDescent="0.25"/>
    <row r="4495" ht="15.75" customHeight="1" x14ac:dyDescent="0.25"/>
    <row r="4496" ht="15.75" customHeight="1" x14ac:dyDescent="0.25"/>
    <row r="4497" ht="15.75" customHeight="1" x14ac:dyDescent="0.25"/>
    <row r="4498" ht="15.75" customHeight="1" x14ac:dyDescent="0.25"/>
    <row r="4499" ht="15.75" customHeight="1" x14ac:dyDescent="0.25"/>
    <row r="4500" ht="15.75" customHeight="1" x14ac:dyDescent="0.25"/>
    <row r="4501" ht="15.75" customHeight="1" x14ac:dyDescent="0.25"/>
    <row r="4502" ht="15.75" customHeight="1" x14ac:dyDescent="0.25"/>
    <row r="4503" ht="15.75" customHeight="1" x14ac:dyDescent="0.25"/>
    <row r="4504" ht="15.75" customHeight="1" x14ac:dyDescent="0.25"/>
    <row r="4505" ht="15.75" customHeight="1" x14ac:dyDescent="0.25"/>
    <row r="4506" ht="15.75" customHeight="1" x14ac:dyDescent="0.25"/>
    <row r="4507" ht="15.75" customHeight="1" x14ac:dyDescent="0.25"/>
    <row r="4508" ht="15.75" customHeight="1" x14ac:dyDescent="0.25"/>
    <row r="4509" ht="15.75" customHeight="1" x14ac:dyDescent="0.25"/>
    <row r="4510" ht="15.75" customHeight="1" x14ac:dyDescent="0.25"/>
    <row r="4511" ht="15.75" customHeight="1" x14ac:dyDescent="0.25"/>
    <row r="4512" ht="15.75" customHeight="1" x14ac:dyDescent="0.25"/>
    <row r="4513" ht="15.75" customHeight="1" x14ac:dyDescent="0.25"/>
    <row r="4514" ht="15.75" customHeight="1" x14ac:dyDescent="0.25"/>
    <row r="4515" ht="15.75" customHeight="1" x14ac:dyDescent="0.25"/>
    <row r="4516" ht="15.75" customHeight="1" x14ac:dyDescent="0.25"/>
    <row r="4517" ht="15.75" customHeight="1" x14ac:dyDescent="0.25"/>
    <row r="4518" ht="15.75" customHeight="1" x14ac:dyDescent="0.25"/>
    <row r="4519" ht="15.75" customHeight="1" x14ac:dyDescent="0.25"/>
    <row r="4520" ht="15.75" customHeight="1" x14ac:dyDescent="0.25"/>
    <row r="4521" ht="15.75" customHeight="1" x14ac:dyDescent="0.25"/>
    <row r="4522" ht="15.75" customHeight="1" x14ac:dyDescent="0.25"/>
    <row r="4523" ht="15.75" customHeight="1" x14ac:dyDescent="0.25"/>
    <row r="4524" ht="15.75" customHeight="1" x14ac:dyDescent="0.25"/>
    <row r="4525" ht="15.75" customHeight="1" x14ac:dyDescent="0.25"/>
    <row r="4526" ht="15.75" customHeight="1" x14ac:dyDescent="0.25"/>
    <row r="4527" ht="15.75" customHeight="1" x14ac:dyDescent="0.25"/>
    <row r="4528" ht="15.75" customHeight="1" x14ac:dyDescent="0.25"/>
    <row r="4529" ht="15.75" customHeight="1" x14ac:dyDescent="0.25"/>
    <row r="4530" ht="15.75" customHeight="1" x14ac:dyDescent="0.25"/>
    <row r="4531" ht="15.75" customHeight="1" x14ac:dyDescent="0.25"/>
    <row r="4532" ht="15.75" customHeight="1" x14ac:dyDescent="0.25"/>
    <row r="4533" ht="15.75" customHeight="1" x14ac:dyDescent="0.25"/>
    <row r="4534" ht="15.75" customHeight="1" x14ac:dyDescent="0.25"/>
    <row r="4535" ht="15.75" customHeight="1" x14ac:dyDescent="0.25"/>
    <row r="4536" ht="15.75" customHeight="1" x14ac:dyDescent="0.25"/>
    <row r="4537" ht="15.75" customHeight="1" x14ac:dyDescent="0.25"/>
    <row r="4538" ht="15.75" customHeight="1" x14ac:dyDescent="0.25"/>
    <row r="4539" ht="15.75" customHeight="1" x14ac:dyDescent="0.25"/>
    <row r="4540" ht="15.75" customHeight="1" x14ac:dyDescent="0.25"/>
    <row r="4541" ht="15.75" customHeight="1" x14ac:dyDescent="0.25"/>
    <row r="4542" ht="15.75" customHeight="1" x14ac:dyDescent="0.25"/>
    <row r="4543" ht="15.75" customHeight="1" x14ac:dyDescent="0.25"/>
    <row r="4544" ht="15.75" customHeight="1" x14ac:dyDescent="0.25"/>
    <row r="4545" ht="15.75" customHeight="1" x14ac:dyDescent="0.25"/>
    <row r="4546" ht="15.75" customHeight="1" x14ac:dyDescent="0.25"/>
    <row r="4547" ht="15.75" customHeight="1" x14ac:dyDescent="0.25"/>
    <row r="4548" ht="15.75" customHeight="1" x14ac:dyDescent="0.25"/>
    <row r="4549" ht="15.75" customHeight="1" x14ac:dyDescent="0.25"/>
    <row r="4550" ht="15.75" customHeight="1" x14ac:dyDescent="0.25"/>
    <row r="4551" ht="15.75" customHeight="1" x14ac:dyDescent="0.25"/>
    <row r="4552" ht="15.75" customHeight="1" x14ac:dyDescent="0.25"/>
    <row r="4553" ht="15.75" customHeight="1" x14ac:dyDescent="0.25"/>
    <row r="4554" ht="15.75" customHeight="1" x14ac:dyDescent="0.25"/>
    <row r="4555" ht="15.75" customHeight="1" x14ac:dyDescent="0.25"/>
    <row r="4556" ht="15.75" customHeight="1" x14ac:dyDescent="0.25"/>
    <row r="4557" ht="15.75" customHeight="1" x14ac:dyDescent="0.25"/>
    <row r="4558" ht="15.75" customHeight="1" x14ac:dyDescent="0.25"/>
    <row r="4559" ht="15.75" customHeight="1" x14ac:dyDescent="0.25"/>
    <row r="4560" ht="15.75" customHeight="1" x14ac:dyDescent="0.25"/>
    <row r="4561" ht="15.75" customHeight="1" x14ac:dyDescent="0.25"/>
    <row r="4562" ht="15.75" customHeight="1" x14ac:dyDescent="0.25"/>
    <row r="4563" ht="15.75" customHeight="1" x14ac:dyDescent="0.25"/>
    <row r="4564" ht="15.75" customHeight="1" x14ac:dyDescent="0.25"/>
    <row r="4565" ht="15.75" customHeight="1" x14ac:dyDescent="0.25"/>
    <row r="4566" ht="15.75" customHeight="1" x14ac:dyDescent="0.25"/>
    <row r="4567" ht="15.75" customHeight="1" x14ac:dyDescent="0.25"/>
    <row r="4568" ht="15.75" customHeight="1" x14ac:dyDescent="0.25"/>
    <row r="4569" ht="15.75" customHeight="1" x14ac:dyDescent="0.25"/>
    <row r="4570" ht="15.75" customHeight="1" x14ac:dyDescent="0.25"/>
    <row r="4571" ht="15.75" customHeight="1" x14ac:dyDescent="0.25"/>
    <row r="4572" ht="15.75" customHeight="1" x14ac:dyDescent="0.25"/>
    <row r="4573" ht="15.75" customHeight="1" x14ac:dyDescent="0.25"/>
    <row r="4574" ht="15.75" customHeight="1" x14ac:dyDescent="0.25"/>
    <row r="4575" ht="15.75" customHeight="1" x14ac:dyDescent="0.25"/>
    <row r="4576" ht="15.75" customHeight="1" x14ac:dyDescent="0.25"/>
    <row r="4577" ht="15.75" customHeight="1" x14ac:dyDescent="0.25"/>
    <row r="4578" ht="15.75" customHeight="1" x14ac:dyDescent="0.25"/>
    <row r="4579" ht="15.75" customHeight="1" x14ac:dyDescent="0.25"/>
    <row r="4580" ht="15.75" customHeight="1" x14ac:dyDescent="0.25"/>
    <row r="4581" ht="15.75" customHeight="1" x14ac:dyDescent="0.25"/>
    <row r="4582" ht="15.75" customHeight="1" x14ac:dyDescent="0.25"/>
    <row r="4583" ht="15.75" customHeight="1" x14ac:dyDescent="0.25"/>
    <row r="4584" ht="15.75" customHeight="1" x14ac:dyDescent="0.25"/>
    <row r="4585" ht="15.75" customHeight="1" x14ac:dyDescent="0.25"/>
    <row r="4586" ht="15.75" customHeight="1" x14ac:dyDescent="0.25"/>
    <row r="4587" ht="15.75" customHeight="1" x14ac:dyDescent="0.25"/>
    <row r="4588" ht="15.75" customHeight="1" x14ac:dyDescent="0.25"/>
    <row r="4589" ht="15.75" customHeight="1" x14ac:dyDescent="0.25"/>
    <row r="4590" ht="15.75" customHeight="1" x14ac:dyDescent="0.25"/>
    <row r="4591" ht="15.75" customHeight="1" x14ac:dyDescent="0.25"/>
    <row r="4592" ht="15.75" customHeight="1" x14ac:dyDescent="0.25"/>
    <row r="4593" ht="15.75" customHeight="1" x14ac:dyDescent="0.25"/>
    <row r="4594" ht="15.75" customHeight="1" x14ac:dyDescent="0.25"/>
    <row r="4595" ht="15.75" customHeight="1" x14ac:dyDescent="0.25"/>
    <row r="4596" ht="15.75" customHeight="1" x14ac:dyDescent="0.25"/>
    <row r="4597" ht="15.75" customHeight="1" x14ac:dyDescent="0.25"/>
    <row r="4598" ht="15.75" customHeight="1" x14ac:dyDescent="0.25"/>
    <row r="4599" ht="15.75" customHeight="1" x14ac:dyDescent="0.25"/>
    <row r="4600" ht="15.75" customHeight="1" x14ac:dyDescent="0.25"/>
    <row r="4601" ht="15.75" customHeight="1" x14ac:dyDescent="0.25"/>
    <row r="4602" ht="15.75" customHeight="1" x14ac:dyDescent="0.25"/>
    <row r="4603" ht="15.75" customHeight="1" x14ac:dyDescent="0.25"/>
    <row r="4604" ht="15.75" customHeight="1" x14ac:dyDescent="0.25"/>
    <row r="4605" ht="15.75" customHeight="1" x14ac:dyDescent="0.25"/>
    <row r="4606" ht="15.75" customHeight="1" x14ac:dyDescent="0.25"/>
    <row r="4607" ht="15.75" customHeight="1" x14ac:dyDescent="0.25"/>
    <row r="4608" ht="15.75" customHeight="1" x14ac:dyDescent="0.25"/>
    <row r="4609" ht="15.75" customHeight="1" x14ac:dyDescent="0.25"/>
    <row r="4610" ht="15.75" customHeight="1" x14ac:dyDescent="0.25"/>
    <row r="4611" ht="15.75" customHeight="1" x14ac:dyDescent="0.25"/>
    <row r="4612" ht="15.75" customHeight="1" x14ac:dyDescent="0.25"/>
    <row r="4613" ht="15.75" customHeight="1" x14ac:dyDescent="0.25"/>
    <row r="4614" ht="15.75" customHeight="1" x14ac:dyDescent="0.25"/>
    <row r="4615" ht="15.75" customHeight="1" x14ac:dyDescent="0.25"/>
    <row r="4616" ht="15.75" customHeight="1" x14ac:dyDescent="0.25"/>
    <row r="4617" ht="15.75" customHeight="1" x14ac:dyDescent="0.25"/>
    <row r="4618" ht="15.75" customHeight="1" x14ac:dyDescent="0.25"/>
    <row r="4619" ht="15.75" customHeight="1" x14ac:dyDescent="0.25"/>
    <row r="4620" ht="15.75" customHeight="1" x14ac:dyDescent="0.25"/>
    <row r="4621" ht="15.75" customHeight="1" x14ac:dyDescent="0.25"/>
    <row r="4622" ht="15.75" customHeight="1" x14ac:dyDescent="0.25"/>
    <row r="4623" ht="15.75" customHeight="1" x14ac:dyDescent="0.25"/>
    <row r="4624" ht="15.75" customHeight="1" x14ac:dyDescent="0.25"/>
    <row r="4625" ht="15.75" customHeight="1" x14ac:dyDescent="0.25"/>
    <row r="4626" ht="15.75" customHeight="1" x14ac:dyDescent="0.25"/>
    <row r="4627" ht="15.75" customHeight="1" x14ac:dyDescent="0.25"/>
    <row r="4628" ht="15.75" customHeight="1" x14ac:dyDescent="0.25"/>
    <row r="4629" ht="15.75" customHeight="1" x14ac:dyDescent="0.25"/>
    <row r="4630" ht="15.75" customHeight="1" x14ac:dyDescent="0.25"/>
    <row r="4631" ht="15.75" customHeight="1" x14ac:dyDescent="0.25"/>
    <row r="4632" ht="15.75" customHeight="1" x14ac:dyDescent="0.25"/>
    <row r="4633" ht="15.75" customHeight="1" x14ac:dyDescent="0.25"/>
    <row r="4634" ht="15.75" customHeight="1" x14ac:dyDescent="0.25"/>
    <row r="4635" ht="15.75" customHeight="1" x14ac:dyDescent="0.25"/>
    <row r="4636" ht="15.75" customHeight="1" x14ac:dyDescent="0.25"/>
    <row r="4637" ht="15.75" customHeight="1" x14ac:dyDescent="0.25"/>
    <row r="4638" ht="15.75" customHeight="1" x14ac:dyDescent="0.25"/>
    <row r="4639" ht="15.75" customHeight="1" x14ac:dyDescent="0.25"/>
    <row r="4640" ht="15.75" customHeight="1" x14ac:dyDescent="0.25"/>
    <row r="4641" ht="15.75" customHeight="1" x14ac:dyDescent="0.25"/>
    <row r="4642" ht="15.75" customHeight="1" x14ac:dyDescent="0.25"/>
    <row r="4643" ht="15.75" customHeight="1" x14ac:dyDescent="0.25"/>
    <row r="4644" ht="15.75" customHeight="1" x14ac:dyDescent="0.25"/>
    <row r="4645" ht="15.75" customHeight="1" x14ac:dyDescent="0.25"/>
    <row r="4646" ht="15.75" customHeight="1" x14ac:dyDescent="0.25"/>
    <row r="4647" ht="15.75" customHeight="1" x14ac:dyDescent="0.25"/>
    <row r="4648" ht="15.75" customHeight="1" x14ac:dyDescent="0.25"/>
    <row r="4649" ht="15.75" customHeight="1" x14ac:dyDescent="0.25"/>
    <row r="4650" ht="15.75" customHeight="1" x14ac:dyDescent="0.25"/>
    <row r="4651" ht="15.75" customHeight="1" x14ac:dyDescent="0.25"/>
    <row r="4652" ht="15.75" customHeight="1" x14ac:dyDescent="0.25"/>
    <row r="4653" ht="15.75" customHeight="1" x14ac:dyDescent="0.25"/>
    <row r="4654" ht="15.75" customHeight="1" x14ac:dyDescent="0.25"/>
    <row r="4655" ht="15.75" customHeight="1" x14ac:dyDescent="0.25"/>
    <row r="4656" ht="15.75" customHeight="1" x14ac:dyDescent="0.25"/>
    <row r="4657" ht="15.75" customHeight="1" x14ac:dyDescent="0.25"/>
    <row r="4658" ht="15.75" customHeight="1" x14ac:dyDescent="0.25"/>
    <row r="4659" ht="15.75" customHeight="1" x14ac:dyDescent="0.25"/>
    <row r="4660" ht="15.75" customHeight="1" x14ac:dyDescent="0.25"/>
    <row r="4661" ht="15.75" customHeight="1" x14ac:dyDescent="0.25"/>
    <row r="4662" ht="15.75" customHeight="1" x14ac:dyDescent="0.25"/>
    <row r="4663" ht="15.75" customHeight="1" x14ac:dyDescent="0.25"/>
    <row r="4664" ht="15.75" customHeight="1" x14ac:dyDescent="0.25"/>
    <row r="4665" ht="15.75" customHeight="1" x14ac:dyDescent="0.25"/>
    <row r="4666" ht="15.75" customHeight="1" x14ac:dyDescent="0.25"/>
    <row r="4667" ht="15.75" customHeight="1" x14ac:dyDescent="0.25"/>
    <row r="4668" ht="15.75" customHeight="1" x14ac:dyDescent="0.25"/>
    <row r="4669" ht="15.75" customHeight="1" x14ac:dyDescent="0.25"/>
    <row r="4670" ht="15.75" customHeight="1" x14ac:dyDescent="0.25"/>
    <row r="4671" ht="15.75" customHeight="1" x14ac:dyDescent="0.25"/>
    <row r="4672" ht="15.75" customHeight="1" x14ac:dyDescent="0.25"/>
    <row r="4673" ht="15.75" customHeight="1" x14ac:dyDescent="0.25"/>
    <row r="4674" ht="15.75" customHeight="1" x14ac:dyDescent="0.25"/>
    <row r="4675" ht="15.75" customHeight="1" x14ac:dyDescent="0.25"/>
    <row r="4676" ht="15.75" customHeight="1" x14ac:dyDescent="0.25"/>
    <row r="4677" ht="15.75" customHeight="1" x14ac:dyDescent="0.25"/>
    <row r="4678" ht="15.75" customHeight="1" x14ac:dyDescent="0.25"/>
    <row r="4679" ht="15.75" customHeight="1" x14ac:dyDescent="0.25"/>
    <row r="4680" ht="15.75" customHeight="1" x14ac:dyDescent="0.25"/>
    <row r="4681" ht="15.75" customHeight="1" x14ac:dyDescent="0.25"/>
    <row r="4682" ht="15.75" customHeight="1" x14ac:dyDescent="0.25"/>
    <row r="4683" ht="15.75" customHeight="1" x14ac:dyDescent="0.25"/>
    <row r="4684" ht="15.75" customHeight="1" x14ac:dyDescent="0.25"/>
    <row r="4685" ht="15.75" customHeight="1" x14ac:dyDescent="0.25"/>
    <row r="4686" ht="15.75" customHeight="1" x14ac:dyDescent="0.25"/>
    <row r="4687" ht="15.75" customHeight="1" x14ac:dyDescent="0.25"/>
    <row r="4688" ht="15.75" customHeight="1" x14ac:dyDescent="0.25"/>
    <row r="4689" ht="15.75" customHeight="1" x14ac:dyDescent="0.25"/>
    <row r="4690" ht="15.75" customHeight="1" x14ac:dyDescent="0.25"/>
    <row r="4691" ht="15.75" customHeight="1" x14ac:dyDescent="0.25"/>
    <row r="4692" ht="15.75" customHeight="1" x14ac:dyDescent="0.25"/>
    <row r="4693" ht="15.75" customHeight="1" x14ac:dyDescent="0.25"/>
    <row r="4694" ht="15.75" customHeight="1" x14ac:dyDescent="0.25"/>
    <row r="4695" ht="15.75" customHeight="1" x14ac:dyDescent="0.25"/>
    <row r="4696" ht="15.75" customHeight="1" x14ac:dyDescent="0.25"/>
    <row r="4697" ht="15.75" customHeight="1" x14ac:dyDescent="0.25"/>
    <row r="4698" ht="15.75" customHeight="1" x14ac:dyDescent="0.25"/>
    <row r="4699" ht="15.75" customHeight="1" x14ac:dyDescent="0.25"/>
    <row r="4700" ht="15.75" customHeight="1" x14ac:dyDescent="0.25"/>
    <row r="4701" ht="15.75" customHeight="1" x14ac:dyDescent="0.25"/>
    <row r="4702" ht="15.75" customHeight="1" x14ac:dyDescent="0.25"/>
    <row r="4703" ht="15.75" customHeight="1" x14ac:dyDescent="0.25"/>
    <row r="4704" ht="15.75" customHeight="1" x14ac:dyDescent="0.25"/>
    <row r="4705" ht="15.75" customHeight="1" x14ac:dyDescent="0.25"/>
    <row r="4706" ht="15.75" customHeight="1" x14ac:dyDescent="0.25"/>
    <row r="4707" ht="15.75" customHeight="1" x14ac:dyDescent="0.25"/>
    <row r="4708" ht="15.75" customHeight="1" x14ac:dyDescent="0.25"/>
    <row r="4709" ht="15.75" customHeight="1" x14ac:dyDescent="0.25"/>
    <row r="4710" ht="15.75" customHeight="1" x14ac:dyDescent="0.25"/>
    <row r="4711" ht="15.75" customHeight="1" x14ac:dyDescent="0.25"/>
    <row r="4712" ht="15.75" customHeight="1" x14ac:dyDescent="0.25"/>
    <row r="4713" ht="15.75" customHeight="1" x14ac:dyDescent="0.25"/>
    <row r="4714" ht="15.75" customHeight="1" x14ac:dyDescent="0.25"/>
    <row r="4715" ht="15.75" customHeight="1" x14ac:dyDescent="0.25"/>
    <row r="4716" ht="15.75" customHeight="1" x14ac:dyDescent="0.25"/>
    <row r="4717" ht="15.75" customHeight="1" x14ac:dyDescent="0.25"/>
    <row r="4718" ht="15.75" customHeight="1" x14ac:dyDescent="0.25"/>
    <row r="4719" ht="15.75" customHeight="1" x14ac:dyDescent="0.25"/>
    <row r="4720" ht="15.75" customHeight="1" x14ac:dyDescent="0.25"/>
    <row r="4721" ht="15.75" customHeight="1" x14ac:dyDescent="0.25"/>
    <row r="4722" ht="15.75" customHeight="1" x14ac:dyDescent="0.25"/>
    <row r="4723" ht="15.75" customHeight="1" x14ac:dyDescent="0.25"/>
    <row r="4724" ht="15.75" customHeight="1" x14ac:dyDescent="0.25"/>
    <row r="4725" ht="15.75" customHeight="1" x14ac:dyDescent="0.25"/>
    <row r="4726" ht="15.75" customHeight="1" x14ac:dyDescent="0.25"/>
    <row r="4727" ht="15.75" customHeight="1" x14ac:dyDescent="0.25"/>
    <row r="4728" ht="15.75" customHeight="1" x14ac:dyDescent="0.25"/>
    <row r="4729" ht="15.75" customHeight="1" x14ac:dyDescent="0.25"/>
    <row r="4730" ht="15.75" customHeight="1" x14ac:dyDescent="0.25"/>
    <row r="4731" ht="15.75" customHeight="1" x14ac:dyDescent="0.25"/>
    <row r="4732" ht="15.75" customHeight="1" x14ac:dyDescent="0.25"/>
    <row r="4733" ht="15.75" customHeight="1" x14ac:dyDescent="0.25"/>
    <row r="4734" ht="15.75" customHeight="1" x14ac:dyDescent="0.25"/>
    <row r="4735" ht="15.75" customHeight="1" x14ac:dyDescent="0.25"/>
    <row r="4736" ht="15.75" customHeight="1" x14ac:dyDescent="0.25"/>
    <row r="4737" ht="15.75" customHeight="1" x14ac:dyDescent="0.25"/>
    <row r="4738" ht="15.75" customHeight="1" x14ac:dyDescent="0.25"/>
    <row r="4739" ht="15.75" customHeight="1" x14ac:dyDescent="0.25"/>
    <row r="4740" ht="15.75" customHeight="1" x14ac:dyDescent="0.25"/>
    <row r="4741" ht="15.75" customHeight="1" x14ac:dyDescent="0.25"/>
    <row r="4742" ht="15.75" customHeight="1" x14ac:dyDescent="0.25"/>
    <row r="4743" ht="15.75" customHeight="1" x14ac:dyDescent="0.25"/>
    <row r="4744" ht="15.75" customHeight="1" x14ac:dyDescent="0.25"/>
    <row r="4745" ht="15.75" customHeight="1" x14ac:dyDescent="0.25"/>
    <row r="4746" ht="15.75" customHeight="1" x14ac:dyDescent="0.25"/>
    <row r="4747" ht="15.75" customHeight="1" x14ac:dyDescent="0.25"/>
    <row r="4748" ht="15.75" customHeight="1" x14ac:dyDescent="0.25"/>
    <row r="4749" ht="15.75" customHeight="1" x14ac:dyDescent="0.25"/>
    <row r="4750" ht="15.75" customHeight="1" x14ac:dyDescent="0.25"/>
    <row r="4751" ht="15.75" customHeight="1" x14ac:dyDescent="0.25"/>
    <row r="4752" ht="15.75" customHeight="1" x14ac:dyDescent="0.25"/>
    <row r="4753" ht="15.75" customHeight="1" x14ac:dyDescent="0.25"/>
    <row r="4754" ht="15.75" customHeight="1" x14ac:dyDescent="0.25"/>
    <row r="4755" ht="15.75" customHeight="1" x14ac:dyDescent="0.25"/>
    <row r="4756" ht="15.75" customHeight="1" x14ac:dyDescent="0.25"/>
    <row r="4757" ht="15.75" customHeight="1" x14ac:dyDescent="0.25"/>
    <row r="4758" ht="15.75" customHeight="1" x14ac:dyDescent="0.25"/>
    <row r="4759" ht="15.75" customHeight="1" x14ac:dyDescent="0.25"/>
    <row r="4760" ht="15.75" customHeight="1" x14ac:dyDescent="0.25"/>
    <row r="4761" ht="15.75" customHeight="1" x14ac:dyDescent="0.25"/>
    <row r="4762" ht="15.75" customHeight="1" x14ac:dyDescent="0.25"/>
    <row r="4763" ht="15.75" customHeight="1" x14ac:dyDescent="0.25"/>
    <row r="4764" ht="15.75" customHeight="1" x14ac:dyDescent="0.25"/>
    <row r="4765" ht="15.75" customHeight="1" x14ac:dyDescent="0.25"/>
    <row r="4766" ht="15.75" customHeight="1" x14ac:dyDescent="0.25"/>
    <row r="4767" ht="15.75" customHeight="1" x14ac:dyDescent="0.25"/>
    <row r="4768" ht="15.75" customHeight="1" x14ac:dyDescent="0.25"/>
    <row r="4769" ht="15.75" customHeight="1" x14ac:dyDescent="0.25"/>
    <row r="4770" ht="15.75" customHeight="1" x14ac:dyDescent="0.25"/>
    <row r="4771" ht="15.75" customHeight="1" x14ac:dyDescent="0.25"/>
    <row r="4772" ht="15.75" customHeight="1" x14ac:dyDescent="0.25"/>
    <row r="4773" ht="15.75" customHeight="1" x14ac:dyDescent="0.25"/>
    <row r="4774" ht="15.75" customHeight="1" x14ac:dyDescent="0.25"/>
    <row r="4775" ht="15.75" customHeight="1" x14ac:dyDescent="0.25"/>
    <row r="4776" ht="15.75" customHeight="1" x14ac:dyDescent="0.25"/>
    <row r="4777" ht="15.75" customHeight="1" x14ac:dyDescent="0.25"/>
    <row r="4778" ht="15.75" customHeight="1" x14ac:dyDescent="0.25"/>
    <row r="4779" ht="15.75" customHeight="1" x14ac:dyDescent="0.25"/>
    <row r="4780" ht="15.75" customHeight="1" x14ac:dyDescent="0.25"/>
    <row r="4781" ht="15.75" customHeight="1" x14ac:dyDescent="0.25"/>
    <row r="4782" ht="15.75" customHeight="1" x14ac:dyDescent="0.25"/>
    <row r="4783" ht="15.75" customHeight="1" x14ac:dyDescent="0.25"/>
    <row r="4784" ht="15.75" customHeight="1" x14ac:dyDescent="0.25"/>
    <row r="4785" ht="15.75" customHeight="1" x14ac:dyDescent="0.25"/>
    <row r="4786" ht="15.75" customHeight="1" x14ac:dyDescent="0.25"/>
    <row r="4787" ht="15.75" customHeight="1" x14ac:dyDescent="0.25"/>
    <row r="4788" ht="15.75" customHeight="1" x14ac:dyDescent="0.25"/>
    <row r="4789" ht="15.75" customHeight="1" x14ac:dyDescent="0.25"/>
    <row r="4790" ht="15.75" customHeight="1" x14ac:dyDescent="0.25"/>
    <row r="4791" ht="15.75" customHeight="1" x14ac:dyDescent="0.25"/>
    <row r="4792" ht="15.75" customHeight="1" x14ac:dyDescent="0.25"/>
    <row r="4793" ht="15.75" customHeight="1" x14ac:dyDescent="0.25"/>
    <row r="4794" ht="15.75" customHeight="1" x14ac:dyDescent="0.25"/>
    <row r="4795" ht="15.75" customHeight="1" x14ac:dyDescent="0.25"/>
    <row r="4796" ht="15.75" customHeight="1" x14ac:dyDescent="0.25"/>
    <row r="4797" ht="15.75" customHeight="1" x14ac:dyDescent="0.25"/>
    <row r="4798" ht="15.75" customHeight="1" x14ac:dyDescent="0.25"/>
    <row r="4799" ht="15.75" customHeight="1" x14ac:dyDescent="0.25"/>
    <row r="4800" ht="15.75" customHeight="1" x14ac:dyDescent="0.25"/>
    <row r="4801" ht="15.75" customHeight="1" x14ac:dyDescent="0.25"/>
    <row r="4802" ht="15.75" customHeight="1" x14ac:dyDescent="0.25"/>
    <row r="4803" ht="15.75" customHeight="1" x14ac:dyDescent="0.25"/>
    <row r="4804" ht="15.75" customHeight="1" x14ac:dyDescent="0.25"/>
    <row r="4805" ht="15.75" customHeight="1" x14ac:dyDescent="0.25"/>
    <row r="4806" ht="15.75" customHeight="1" x14ac:dyDescent="0.25"/>
    <row r="4807" ht="15.75" customHeight="1" x14ac:dyDescent="0.25"/>
    <row r="4808" ht="15.75" customHeight="1" x14ac:dyDescent="0.25"/>
    <row r="4809" ht="15.75" customHeight="1" x14ac:dyDescent="0.25"/>
    <row r="4810" ht="15.75" customHeight="1" x14ac:dyDescent="0.25"/>
    <row r="4811" ht="15.75" customHeight="1" x14ac:dyDescent="0.25"/>
    <row r="4812" ht="15.75" customHeight="1" x14ac:dyDescent="0.25"/>
    <row r="4813" ht="15.75" customHeight="1" x14ac:dyDescent="0.25"/>
    <row r="4814" ht="15.75" customHeight="1" x14ac:dyDescent="0.25"/>
    <row r="4815" ht="15.75" customHeight="1" x14ac:dyDescent="0.25"/>
    <row r="4816" ht="15.75" customHeight="1" x14ac:dyDescent="0.25"/>
    <row r="4817" ht="15.75" customHeight="1" x14ac:dyDescent="0.25"/>
    <row r="4818" ht="15.75" customHeight="1" x14ac:dyDescent="0.25"/>
    <row r="4819" ht="15.75" customHeight="1" x14ac:dyDescent="0.25"/>
    <row r="4820" ht="15.75" customHeight="1" x14ac:dyDescent="0.25"/>
    <row r="4821" ht="15.75" customHeight="1" x14ac:dyDescent="0.25"/>
    <row r="4822" ht="15.75" customHeight="1" x14ac:dyDescent="0.25"/>
    <row r="4823" ht="15.75" customHeight="1" x14ac:dyDescent="0.25"/>
    <row r="4824" ht="15.75" customHeight="1" x14ac:dyDescent="0.25"/>
    <row r="4825" ht="15.75" customHeight="1" x14ac:dyDescent="0.25"/>
    <row r="4826" ht="15.75" customHeight="1" x14ac:dyDescent="0.25"/>
    <row r="4827" ht="15.75" customHeight="1" x14ac:dyDescent="0.25"/>
    <row r="4828" ht="15.75" customHeight="1" x14ac:dyDescent="0.25"/>
    <row r="4829" ht="15.75" customHeight="1" x14ac:dyDescent="0.25"/>
    <row r="4830" ht="15.75" customHeight="1" x14ac:dyDescent="0.25"/>
    <row r="4831" ht="15.75" customHeight="1" x14ac:dyDescent="0.25"/>
    <row r="4832" ht="15.75" customHeight="1" x14ac:dyDescent="0.25"/>
    <row r="4833" ht="15.75" customHeight="1" x14ac:dyDescent="0.25"/>
    <row r="4834" ht="15.75" customHeight="1" x14ac:dyDescent="0.25"/>
    <row r="4835" ht="15.75" customHeight="1" x14ac:dyDescent="0.25"/>
    <row r="4836" ht="15.75" customHeight="1" x14ac:dyDescent="0.25"/>
    <row r="4837" ht="15.75" customHeight="1" x14ac:dyDescent="0.25"/>
    <row r="4838" ht="15.75" customHeight="1" x14ac:dyDescent="0.25"/>
    <row r="4839" ht="15.75" customHeight="1" x14ac:dyDescent="0.25"/>
    <row r="4840" ht="15.75" customHeight="1" x14ac:dyDescent="0.25"/>
    <row r="4841" ht="15.75" customHeight="1" x14ac:dyDescent="0.25"/>
    <row r="4842" ht="15.75" customHeight="1" x14ac:dyDescent="0.25"/>
    <row r="4843" ht="15.75" customHeight="1" x14ac:dyDescent="0.25"/>
    <row r="4844" ht="15.75" customHeight="1" x14ac:dyDescent="0.25"/>
    <row r="4845" ht="15.75" customHeight="1" x14ac:dyDescent="0.25"/>
    <row r="4846" ht="15.75" customHeight="1" x14ac:dyDescent="0.25"/>
    <row r="4847" ht="15.75" customHeight="1" x14ac:dyDescent="0.25"/>
    <row r="4848" ht="15.75" customHeight="1" x14ac:dyDescent="0.25"/>
    <row r="4849" ht="15.75" customHeight="1" x14ac:dyDescent="0.25"/>
    <row r="4850" ht="15.75" customHeight="1" x14ac:dyDescent="0.25"/>
    <row r="4851" ht="15.75" customHeight="1" x14ac:dyDescent="0.25"/>
    <row r="4852" ht="15.75" customHeight="1" x14ac:dyDescent="0.25"/>
    <row r="4853" ht="15.75" customHeight="1" x14ac:dyDescent="0.25"/>
    <row r="4854" ht="15.75" customHeight="1" x14ac:dyDescent="0.25"/>
    <row r="4855" ht="15.75" customHeight="1" x14ac:dyDescent="0.25"/>
    <row r="4856" ht="15.75" customHeight="1" x14ac:dyDescent="0.25"/>
    <row r="4857" ht="15.75" customHeight="1" x14ac:dyDescent="0.25"/>
    <row r="4858" ht="15.75" customHeight="1" x14ac:dyDescent="0.25"/>
    <row r="4859" ht="15.75" customHeight="1" x14ac:dyDescent="0.25"/>
    <row r="4860" ht="15.75" customHeight="1" x14ac:dyDescent="0.25"/>
    <row r="4861" ht="15.75" customHeight="1" x14ac:dyDescent="0.25"/>
    <row r="4862" ht="15.75" customHeight="1" x14ac:dyDescent="0.25"/>
    <row r="4863" ht="15.75" customHeight="1" x14ac:dyDescent="0.25"/>
    <row r="4864" ht="15.75" customHeight="1" x14ac:dyDescent="0.25"/>
    <row r="4865" ht="15.75" customHeight="1" x14ac:dyDescent="0.25"/>
    <row r="4866" ht="15.75" customHeight="1" x14ac:dyDescent="0.25"/>
    <row r="4867" ht="15.75" customHeight="1" x14ac:dyDescent="0.25"/>
    <row r="4868" ht="15.75" customHeight="1" x14ac:dyDescent="0.25"/>
    <row r="4869" ht="15.75" customHeight="1" x14ac:dyDescent="0.25"/>
    <row r="4870" ht="15.75" customHeight="1" x14ac:dyDescent="0.25"/>
    <row r="4871" ht="15.75" customHeight="1" x14ac:dyDescent="0.25"/>
    <row r="4872" ht="15.75" customHeight="1" x14ac:dyDescent="0.25"/>
    <row r="4873" ht="15.75" customHeight="1" x14ac:dyDescent="0.25"/>
    <row r="4874" ht="15.75" customHeight="1" x14ac:dyDescent="0.25"/>
    <row r="4875" ht="15.75" customHeight="1" x14ac:dyDescent="0.25"/>
    <row r="4876" ht="15.75" customHeight="1" x14ac:dyDescent="0.25"/>
    <row r="4877" ht="15.75" customHeight="1" x14ac:dyDescent="0.25"/>
    <row r="4878" ht="15.75" customHeight="1" x14ac:dyDescent="0.25"/>
    <row r="4879" ht="15.75" customHeight="1" x14ac:dyDescent="0.25"/>
    <row r="4880" ht="15.75" customHeight="1" x14ac:dyDescent="0.25"/>
    <row r="4881" ht="15.75" customHeight="1" x14ac:dyDescent="0.25"/>
    <row r="4882" ht="15.75" customHeight="1" x14ac:dyDescent="0.25"/>
    <row r="4883" ht="15.75" customHeight="1" x14ac:dyDescent="0.25"/>
    <row r="4884" ht="15.75" customHeight="1" x14ac:dyDescent="0.25"/>
    <row r="4885" ht="15.75" customHeight="1" x14ac:dyDescent="0.25"/>
    <row r="4886" ht="15.75" customHeight="1" x14ac:dyDescent="0.25"/>
    <row r="4887" ht="15.75" customHeight="1" x14ac:dyDescent="0.25"/>
    <row r="4888" ht="15.75" customHeight="1" x14ac:dyDescent="0.25"/>
    <row r="4889" ht="15.75" customHeight="1" x14ac:dyDescent="0.25"/>
    <row r="4890" ht="15.75" customHeight="1" x14ac:dyDescent="0.25"/>
    <row r="4891" ht="15.75" customHeight="1" x14ac:dyDescent="0.25"/>
    <row r="4892" ht="15.75" customHeight="1" x14ac:dyDescent="0.25"/>
    <row r="4893" ht="15.75" customHeight="1" x14ac:dyDescent="0.25"/>
    <row r="4894" ht="15.75" customHeight="1" x14ac:dyDescent="0.25"/>
    <row r="4895" ht="15.75" customHeight="1" x14ac:dyDescent="0.25"/>
    <row r="4896" ht="15.75" customHeight="1" x14ac:dyDescent="0.25"/>
    <row r="4897" ht="15.75" customHeight="1" x14ac:dyDescent="0.25"/>
    <row r="4898" ht="15.75" customHeight="1" x14ac:dyDescent="0.25"/>
    <row r="4899" ht="15.75" customHeight="1" x14ac:dyDescent="0.25"/>
    <row r="4900" ht="15.75" customHeight="1" x14ac:dyDescent="0.25"/>
    <row r="4901" ht="15.75" customHeight="1" x14ac:dyDescent="0.25"/>
    <row r="4902" ht="15.75" customHeight="1" x14ac:dyDescent="0.25"/>
    <row r="4903" ht="15.75" customHeight="1" x14ac:dyDescent="0.25"/>
    <row r="4904" ht="15.75" customHeight="1" x14ac:dyDescent="0.25"/>
    <row r="4905" ht="15.75" customHeight="1" x14ac:dyDescent="0.25"/>
    <row r="4906" ht="15.75" customHeight="1" x14ac:dyDescent="0.25"/>
    <row r="4907" ht="15.75" customHeight="1" x14ac:dyDescent="0.25"/>
    <row r="4908" ht="15.75" customHeight="1" x14ac:dyDescent="0.25"/>
    <row r="4909" ht="15.75" customHeight="1" x14ac:dyDescent="0.25"/>
    <row r="4910" ht="15.75" customHeight="1" x14ac:dyDescent="0.25"/>
    <row r="4911" ht="15.75" customHeight="1" x14ac:dyDescent="0.25"/>
    <row r="4912" ht="15.75" customHeight="1" x14ac:dyDescent="0.25"/>
    <row r="4913" ht="15.75" customHeight="1" x14ac:dyDescent="0.25"/>
    <row r="4914" ht="15.75" customHeight="1" x14ac:dyDescent="0.25"/>
    <row r="4915" ht="15.75" customHeight="1" x14ac:dyDescent="0.25"/>
    <row r="4916" ht="15.75" customHeight="1" x14ac:dyDescent="0.25"/>
    <row r="4917" ht="15.75" customHeight="1" x14ac:dyDescent="0.25"/>
    <row r="4918" ht="15.75" customHeight="1" x14ac:dyDescent="0.25"/>
    <row r="4919" ht="15.75" customHeight="1" x14ac:dyDescent="0.25"/>
    <row r="4920" ht="15.75" customHeight="1" x14ac:dyDescent="0.25"/>
    <row r="4921" ht="15.75" customHeight="1" x14ac:dyDescent="0.25"/>
    <row r="4922" ht="15.75" customHeight="1" x14ac:dyDescent="0.25"/>
    <row r="4923" ht="15.75" customHeight="1" x14ac:dyDescent="0.25"/>
    <row r="4924" ht="15.75" customHeight="1" x14ac:dyDescent="0.25"/>
    <row r="4925" ht="15.75" customHeight="1" x14ac:dyDescent="0.25"/>
    <row r="4926" ht="15.75" customHeight="1" x14ac:dyDescent="0.25"/>
    <row r="4927" ht="15.75" customHeight="1" x14ac:dyDescent="0.25"/>
    <row r="4928" ht="15.75" customHeight="1" x14ac:dyDescent="0.25"/>
    <row r="4929" ht="15.75" customHeight="1" x14ac:dyDescent="0.25"/>
    <row r="4930" ht="15.75" customHeight="1" x14ac:dyDescent="0.25"/>
    <row r="4931" ht="15.75" customHeight="1" x14ac:dyDescent="0.25"/>
    <row r="4932" ht="15.75" customHeight="1" x14ac:dyDescent="0.25"/>
    <row r="4933" ht="15.75" customHeight="1" x14ac:dyDescent="0.25"/>
    <row r="4934" ht="15.75" customHeight="1" x14ac:dyDescent="0.25"/>
    <row r="4935" ht="15.75" customHeight="1" x14ac:dyDescent="0.25"/>
    <row r="4936" ht="15.75" customHeight="1" x14ac:dyDescent="0.25"/>
    <row r="4937" ht="15.75" customHeight="1" x14ac:dyDescent="0.25"/>
    <row r="4938" ht="15.75" customHeight="1" x14ac:dyDescent="0.25"/>
    <row r="4939" ht="15.75" customHeight="1" x14ac:dyDescent="0.25"/>
    <row r="4940" ht="15.75" customHeight="1" x14ac:dyDescent="0.25"/>
    <row r="4941" ht="15.75" customHeight="1" x14ac:dyDescent="0.25"/>
    <row r="4942" ht="15.75" customHeight="1" x14ac:dyDescent="0.25"/>
    <row r="4943" ht="15.75" customHeight="1" x14ac:dyDescent="0.25"/>
    <row r="4944" ht="15.75" customHeight="1" x14ac:dyDescent="0.25"/>
    <row r="4945" ht="15.75" customHeight="1" x14ac:dyDescent="0.25"/>
    <row r="4946" ht="15.75" customHeight="1" x14ac:dyDescent="0.25"/>
    <row r="4947" ht="15.75" customHeight="1" x14ac:dyDescent="0.25"/>
    <row r="4948" ht="15.75" customHeight="1" x14ac:dyDescent="0.25"/>
    <row r="4949" ht="15.75" customHeight="1" x14ac:dyDescent="0.25"/>
    <row r="4950" ht="15.75" customHeight="1" x14ac:dyDescent="0.25"/>
    <row r="4951" ht="15.75" customHeight="1" x14ac:dyDescent="0.25"/>
    <row r="4952" ht="15.75" customHeight="1" x14ac:dyDescent="0.25"/>
    <row r="4953" ht="15.75" customHeight="1" x14ac:dyDescent="0.25"/>
    <row r="4954" ht="15.75" customHeight="1" x14ac:dyDescent="0.25"/>
    <row r="4955" ht="15.75" customHeight="1" x14ac:dyDescent="0.25"/>
    <row r="4956" ht="15.75" customHeight="1" x14ac:dyDescent="0.25"/>
    <row r="4957" ht="15.75" customHeight="1" x14ac:dyDescent="0.25"/>
    <row r="4958" ht="15.75" customHeight="1" x14ac:dyDescent="0.25"/>
    <row r="4959" ht="15.75" customHeight="1" x14ac:dyDescent="0.25"/>
    <row r="4960" ht="15.75" customHeight="1" x14ac:dyDescent="0.25"/>
    <row r="4961" ht="15.75" customHeight="1" x14ac:dyDescent="0.25"/>
    <row r="4962" ht="15.75" customHeight="1" x14ac:dyDescent="0.25"/>
    <row r="4963" ht="15.75" customHeight="1" x14ac:dyDescent="0.25"/>
    <row r="4964" ht="15.75" customHeight="1" x14ac:dyDescent="0.25"/>
    <row r="4965" ht="15.75" customHeight="1" x14ac:dyDescent="0.25"/>
    <row r="4966" ht="15.75" customHeight="1" x14ac:dyDescent="0.25"/>
    <row r="4967" ht="15.75" customHeight="1" x14ac:dyDescent="0.25"/>
    <row r="4968" ht="15.75" customHeight="1" x14ac:dyDescent="0.25"/>
    <row r="4969" ht="15.75" customHeight="1" x14ac:dyDescent="0.25"/>
    <row r="4970" ht="15.75" customHeight="1" x14ac:dyDescent="0.25"/>
    <row r="4971" ht="15.75" customHeight="1" x14ac:dyDescent="0.25"/>
    <row r="4972" ht="15.75" customHeight="1" x14ac:dyDescent="0.25"/>
    <row r="4973" ht="15.75" customHeight="1" x14ac:dyDescent="0.25"/>
    <row r="4974" ht="15.75" customHeight="1" x14ac:dyDescent="0.25"/>
    <row r="4975" ht="15.75" customHeight="1" x14ac:dyDescent="0.25"/>
    <row r="4976" ht="15.75" customHeight="1" x14ac:dyDescent="0.25"/>
    <row r="4977" ht="15.75" customHeight="1" x14ac:dyDescent="0.25"/>
    <row r="4978" ht="15.75" customHeight="1" x14ac:dyDescent="0.25"/>
    <row r="4979" ht="15.75" customHeight="1" x14ac:dyDescent="0.25"/>
    <row r="4980" ht="15.75" customHeight="1" x14ac:dyDescent="0.25"/>
    <row r="4981" ht="15.75" customHeight="1" x14ac:dyDescent="0.25"/>
    <row r="4982" ht="15.75" customHeight="1" x14ac:dyDescent="0.25"/>
    <row r="4983" ht="15.75" customHeight="1" x14ac:dyDescent="0.25"/>
    <row r="4984" ht="15.75" customHeight="1" x14ac:dyDescent="0.25"/>
    <row r="4985" ht="15.75" customHeight="1" x14ac:dyDescent="0.25"/>
    <row r="4986" ht="15.75" customHeight="1" x14ac:dyDescent="0.25"/>
    <row r="4987" ht="15.75" customHeight="1" x14ac:dyDescent="0.25"/>
    <row r="4988" ht="15.75" customHeight="1" x14ac:dyDescent="0.25"/>
    <row r="4989" ht="15.75" customHeight="1" x14ac:dyDescent="0.25"/>
    <row r="4990" ht="15.75" customHeight="1" x14ac:dyDescent="0.25"/>
    <row r="4991" ht="15.75" customHeight="1" x14ac:dyDescent="0.25"/>
    <row r="4992" ht="15.75" customHeight="1" x14ac:dyDescent="0.25"/>
    <row r="4993" ht="15.75" customHeight="1" x14ac:dyDescent="0.25"/>
    <row r="4994" ht="15.75" customHeight="1" x14ac:dyDescent="0.25"/>
    <row r="4995" ht="15.75" customHeight="1" x14ac:dyDescent="0.25"/>
    <row r="4996" ht="15.75" customHeight="1" x14ac:dyDescent="0.25"/>
    <row r="4997" ht="15.75" customHeight="1" x14ac:dyDescent="0.25"/>
    <row r="4998" ht="15.75" customHeight="1" x14ac:dyDescent="0.25"/>
    <row r="4999" ht="15.75" customHeight="1" x14ac:dyDescent="0.25"/>
    <row r="5000" ht="15.75" customHeight="1" x14ac:dyDescent="0.25"/>
    <row r="5001" ht="15.75" customHeight="1" x14ac:dyDescent="0.25"/>
    <row r="5002" ht="15.75" customHeight="1" x14ac:dyDescent="0.25"/>
    <row r="5003" ht="15.75" customHeight="1" x14ac:dyDescent="0.25"/>
    <row r="5004" ht="15.75" customHeight="1" x14ac:dyDescent="0.25"/>
    <row r="5005" ht="15.75" customHeight="1" x14ac:dyDescent="0.25"/>
    <row r="5006" ht="15.75" customHeight="1" x14ac:dyDescent="0.25"/>
    <row r="5007" ht="15.75" customHeight="1" x14ac:dyDescent="0.25"/>
    <row r="5008" ht="15.75" customHeight="1" x14ac:dyDescent="0.25"/>
    <row r="5009" ht="15.75" customHeight="1" x14ac:dyDescent="0.25"/>
    <row r="5010" ht="15.75" customHeight="1" x14ac:dyDescent="0.25"/>
    <row r="5011" ht="15.75" customHeight="1" x14ac:dyDescent="0.25"/>
    <row r="5012" ht="15.75" customHeight="1" x14ac:dyDescent="0.25"/>
    <row r="5013" ht="15.75" customHeight="1" x14ac:dyDescent="0.25"/>
    <row r="5014" ht="15.75" customHeight="1" x14ac:dyDescent="0.25"/>
    <row r="5015" ht="15.75" customHeight="1" x14ac:dyDescent="0.25"/>
    <row r="5016" ht="15.75" customHeight="1" x14ac:dyDescent="0.25"/>
    <row r="5017" ht="15.75" customHeight="1" x14ac:dyDescent="0.25"/>
    <row r="5018" ht="15.75" customHeight="1" x14ac:dyDescent="0.25"/>
    <row r="5019" ht="15.75" customHeight="1" x14ac:dyDescent="0.25"/>
    <row r="5020" ht="15.75" customHeight="1" x14ac:dyDescent="0.25"/>
    <row r="5021" ht="15.75" customHeight="1" x14ac:dyDescent="0.25"/>
    <row r="5022" ht="15.75" customHeight="1" x14ac:dyDescent="0.25"/>
    <row r="5023" ht="15.75" customHeight="1" x14ac:dyDescent="0.25"/>
    <row r="5024" ht="15.75" customHeight="1" x14ac:dyDescent="0.25"/>
    <row r="5025" ht="15.75" customHeight="1" x14ac:dyDescent="0.25"/>
    <row r="5026" ht="15.75" customHeight="1" x14ac:dyDescent="0.25"/>
    <row r="5027" ht="15.75" customHeight="1" x14ac:dyDescent="0.25"/>
    <row r="5028" ht="15.75" customHeight="1" x14ac:dyDescent="0.25"/>
    <row r="5029" ht="15.75" customHeight="1" x14ac:dyDescent="0.25"/>
    <row r="5030" ht="15.75" customHeight="1" x14ac:dyDescent="0.25"/>
    <row r="5031" ht="15.75" customHeight="1" x14ac:dyDescent="0.25"/>
    <row r="5032" ht="15.75" customHeight="1" x14ac:dyDescent="0.25"/>
    <row r="5033" ht="15.75" customHeight="1" x14ac:dyDescent="0.25"/>
    <row r="5034" ht="15.75" customHeight="1" x14ac:dyDescent="0.25"/>
    <row r="5035" ht="15.75" customHeight="1" x14ac:dyDescent="0.25"/>
    <row r="5036" ht="15.75" customHeight="1" x14ac:dyDescent="0.25"/>
    <row r="5037" ht="15.75" customHeight="1" x14ac:dyDescent="0.25"/>
    <row r="5038" ht="15.75" customHeight="1" x14ac:dyDescent="0.25"/>
    <row r="5039" ht="15.75" customHeight="1" x14ac:dyDescent="0.25"/>
    <row r="5040" ht="15.75" customHeight="1" x14ac:dyDescent="0.25"/>
    <row r="5041" ht="15.75" customHeight="1" x14ac:dyDescent="0.25"/>
    <row r="5042" ht="15.75" customHeight="1" x14ac:dyDescent="0.25"/>
    <row r="5043" ht="15.75" customHeight="1" x14ac:dyDescent="0.25"/>
    <row r="5044" ht="15.75" customHeight="1" x14ac:dyDescent="0.25"/>
    <row r="5045" ht="15.75" customHeight="1" x14ac:dyDescent="0.25"/>
    <row r="5046" ht="15.75" customHeight="1" x14ac:dyDescent="0.25"/>
    <row r="5047" ht="15.75" customHeight="1" x14ac:dyDescent="0.25"/>
    <row r="5048" ht="15.75" customHeight="1" x14ac:dyDescent="0.25"/>
    <row r="5049" ht="15.75" customHeight="1" x14ac:dyDescent="0.25"/>
    <row r="5050" ht="15.75" customHeight="1" x14ac:dyDescent="0.25"/>
    <row r="5051" ht="15.75" customHeight="1" x14ac:dyDescent="0.25"/>
    <row r="5052" ht="15.75" customHeight="1" x14ac:dyDescent="0.25"/>
    <row r="5053" ht="15.75" customHeight="1" x14ac:dyDescent="0.25"/>
    <row r="5054" ht="15.75" customHeight="1" x14ac:dyDescent="0.25"/>
    <row r="5055" ht="15.75" customHeight="1" x14ac:dyDescent="0.25"/>
    <row r="5056" ht="15.75" customHeight="1" x14ac:dyDescent="0.25"/>
    <row r="5057" ht="15.75" customHeight="1" x14ac:dyDescent="0.25"/>
    <row r="5058" ht="15.75" customHeight="1" x14ac:dyDescent="0.25"/>
    <row r="5059" ht="15.75" customHeight="1" x14ac:dyDescent="0.25"/>
    <row r="5060" ht="15.75" customHeight="1" x14ac:dyDescent="0.25"/>
    <row r="5061" ht="15.75" customHeight="1" x14ac:dyDescent="0.25"/>
    <row r="5062" ht="15.75" customHeight="1" x14ac:dyDescent="0.25"/>
    <row r="5063" ht="15.75" customHeight="1" x14ac:dyDescent="0.25"/>
    <row r="5064" ht="15.75" customHeight="1" x14ac:dyDescent="0.25"/>
    <row r="5065" ht="15.75" customHeight="1" x14ac:dyDescent="0.25"/>
    <row r="5066" ht="15.75" customHeight="1" x14ac:dyDescent="0.25"/>
    <row r="5067" ht="15.75" customHeight="1" x14ac:dyDescent="0.25"/>
    <row r="5068" ht="15.75" customHeight="1" x14ac:dyDescent="0.25"/>
    <row r="5069" ht="15.75" customHeight="1" x14ac:dyDescent="0.25"/>
    <row r="5070" ht="15.75" customHeight="1" x14ac:dyDescent="0.25"/>
    <row r="5071" ht="15.75" customHeight="1" x14ac:dyDescent="0.25"/>
    <row r="5072" ht="15.75" customHeight="1" x14ac:dyDescent="0.25"/>
    <row r="5073" ht="15.75" customHeight="1" x14ac:dyDescent="0.25"/>
    <row r="5074" ht="15.75" customHeight="1" x14ac:dyDescent="0.25"/>
    <row r="5075" ht="15.75" customHeight="1" x14ac:dyDescent="0.25"/>
    <row r="5076" ht="15.75" customHeight="1" x14ac:dyDescent="0.25"/>
    <row r="5077" ht="15.75" customHeight="1" x14ac:dyDescent="0.25"/>
    <row r="5078" ht="15.75" customHeight="1" x14ac:dyDescent="0.25"/>
    <row r="5079" ht="15.75" customHeight="1" x14ac:dyDescent="0.25"/>
    <row r="5080" ht="15.75" customHeight="1" x14ac:dyDescent="0.25"/>
    <row r="5081" ht="15.75" customHeight="1" x14ac:dyDescent="0.25"/>
    <row r="5082" ht="15.75" customHeight="1" x14ac:dyDescent="0.25"/>
    <row r="5083" ht="15.75" customHeight="1" x14ac:dyDescent="0.25"/>
    <row r="5084" ht="15.75" customHeight="1" x14ac:dyDescent="0.25"/>
    <row r="5085" ht="15.75" customHeight="1" x14ac:dyDescent="0.25"/>
    <row r="5086" ht="15.75" customHeight="1" x14ac:dyDescent="0.25"/>
    <row r="5087" ht="15.75" customHeight="1" x14ac:dyDescent="0.25"/>
    <row r="5088" ht="15.75" customHeight="1" x14ac:dyDescent="0.25"/>
    <row r="5089" ht="15.75" customHeight="1" x14ac:dyDescent="0.25"/>
    <row r="5090" ht="15.75" customHeight="1" x14ac:dyDescent="0.25"/>
    <row r="5091" ht="15.75" customHeight="1" x14ac:dyDescent="0.25"/>
    <row r="5092" ht="15.75" customHeight="1" x14ac:dyDescent="0.25"/>
    <row r="5093" ht="15.75" customHeight="1" x14ac:dyDescent="0.25"/>
    <row r="5094" ht="15.75" customHeight="1" x14ac:dyDescent="0.25"/>
    <row r="5095" ht="15.75" customHeight="1" x14ac:dyDescent="0.25"/>
    <row r="5096" ht="15.75" customHeight="1" x14ac:dyDescent="0.25"/>
    <row r="5097" ht="15.75" customHeight="1" x14ac:dyDescent="0.25"/>
    <row r="5098" ht="15.75" customHeight="1" x14ac:dyDescent="0.25"/>
    <row r="5099" ht="15.75" customHeight="1" x14ac:dyDescent="0.25"/>
    <row r="5100" ht="15.75" customHeight="1" x14ac:dyDescent="0.25"/>
    <row r="5101" ht="15.75" customHeight="1" x14ac:dyDescent="0.25"/>
    <row r="5102" ht="15.75" customHeight="1" x14ac:dyDescent="0.25"/>
    <row r="5103" ht="15.75" customHeight="1" x14ac:dyDescent="0.25"/>
    <row r="5104" ht="15.75" customHeight="1" x14ac:dyDescent="0.25"/>
    <row r="5105" ht="15.75" customHeight="1" x14ac:dyDescent="0.25"/>
    <row r="5106" ht="15.75" customHeight="1" x14ac:dyDescent="0.25"/>
    <row r="5107" ht="15.75" customHeight="1" x14ac:dyDescent="0.25"/>
    <row r="5108" ht="15.75" customHeight="1" x14ac:dyDescent="0.25"/>
    <row r="5109" ht="15.75" customHeight="1" x14ac:dyDescent="0.25"/>
    <row r="5110" ht="15.75" customHeight="1" x14ac:dyDescent="0.25"/>
    <row r="5111" ht="15.75" customHeight="1" x14ac:dyDescent="0.25"/>
    <row r="5112" ht="15.75" customHeight="1" x14ac:dyDescent="0.25"/>
    <row r="5113" ht="15.75" customHeight="1" x14ac:dyDescent="0.25"/>
    <row r="5114" ht="15.75" customHeight="1" x14ac:dyDescent="0.25"/>
    <row r="5115" ht="15.75" customHeight="1" x14ac:dyDescent="0.25"/>
    <row r="5116" ht="15.75" customHeight="1" x14ac:dyDescent="0.25"/>
    <row r="5117" ht="15.75" customHeight="1" x14ac:dyDescent="0.25"/>
    <row r="5118" ht="15.75" customHeight="1" x14ac:dyDescent="0.25"/>
    <row r="5119" ht="15.75" customHeight="1" x14ac:dyDescent="0.25"/>
    <row r="5120" ht="15.75" customHeight="1" x14ac:dyDescent="0.25"/>
    <row r="5121" ht="15.75" customHeight="1" x14ac:dyDescent="0.25"/>
    <row r="5122" ht="15.75" customHeight="1" x14ac:dyDescent="0.25"/>
    <row r="5123" ht="15.75" customHeight="1" x14ac:dyDescent="0.25"/>
    <row r="5124" ht="15.75" customHeight="1" x14ac:dyDescent="0.25"/>
    <row r="5125" ht="15.75" customHeight="1" x14ac:dyDescent="0.25"/>
    <row r="5126" ht="15.75" customHeight="1" x14ac:dyDescent="0.25"/>
    <row r="5127" ht="15.75" customHeight="1" x14ac:dyDescent="0.25"/>
    <row r="5128" ht="15.75" customHeight="1" x14ac:dyDescent="0.25"/>
    <row r="5129" ht="15.75" customHeight="1" x14ac:dyDescent="0.25"/>
    <row r="5130" ht="15.75" customHeight="1" x14ac:dyDescent="0.25"/>
    <row r="5131" ht="15.75" customHeight="1" x14ac:dyDescent="0.25"/>
    <row r="5132" ht="15.75" customHeight="1" x14ac:dyDescent="0.25"/>
    <row r="5133" ht="15.75" customHeight="1" x14ac:dyDescent="0.25"/>
    <row r="5134" ht="15.75" customHeight="1" x14ac:dyDescent="0.25"/>
    <row r="5135" ht="15.75" customHeight="1" x14ac:dyDescent="0.25"/>
    <row r="5136" ht="15.75" customHeight="1" x14ac:dyDescent="0.25"/>
    <row r="5137" ht="15.75" customHeight="1" x14ac:dyDescent="0.25"/>
    <row r="5138" ht="15.75" customHeight="1" x14ac:dyDescent="0.25"/>
    <row r="5139" ht="15.75" customHeight="1" x14ac:dyDescent="0.25"/>
    <row r="5140" ht="15.75" customHeight="1" x14ac:dyDescent="0.25"/>
    <row r="5141" ht="15.75" customHeight="1" x14ac:dyDescent="0.25"/>
    <row r="5142" ht="15.75" customHeight="1" x14ac:dyDescent="0.25"/>
    <row r="5143" ht="15.75" customHeight="1" x14ac:dyDescent="0.25"/>
    <row r="5144" ht="15.75" customHeight="1" x14ac:dyDescent="0.25"/>
    <row r="5145" ht="15.75" customHeight="1" x14ac:dyDescent="0.25"/>
    <row r="5146" ht="15.75" customHeight="1" x14ac:dyDescent="0.25"/>
    <row r="5147" ht="15.75" customHeight="1" x14ac:dyDescent="0.25"/>
    <row r="5148" ht="15.75" customHeight="1" x14ac:dyDescent="0.25"/>
    <row r="5149" ht="15.75" customHeight="1" x14ac:dyDescent="0.25"/>
    <row r="5150" ht="15.75" customHeight="1" x14ac:dyDescent="0.25"/>
    <row r="5151" ht="15.75" customHeight="1" x14ac:dyDescent="0.25"/>
    <row r="5152" ht="15.75" customHeight="1" x14ac:dyDescent="0.25"/>
    <row r="5153" ht="15.75" customHeight="1" x14ac:dyDescent="0.25"/>
    <row r="5154" ht="15.75" customHeight="1" x14ac:dyDescent="0.25"/>
    <row r="5155" ht="15.75" customHeight="1" x14ac:dyDescent="0.25"/>
    <row r="5156" ht="15.75" customHeight="1" x14ac:dyDescent="0.25"/>
    <row r="5157" ht="15.75" customHeight="1" x14ac:dyDescent="0.25"/>
    <row r="5158" ht="15.75" customHeight="1" x14ac:dyDescent="0.25"/>
    <row r="5159" ht="15.75" customHeight="1" x14ac:dyDescent="0.25"/>
    <row r="5160" ht="15.75" customHeight="1" x14ac:dyDescent="0.25"/>
    <row r="5161" ht="15.75" customHeight="1" x14ac:dyDescent="0.25"/>
    <row r="5162" ht="15.75" customHeight="1" x14ac:dyDescent="0.25"/>
    <row r="5163" ht="15.75" customHeight="1" x14ac:dyDescent="0.25"/>
    <row r="5164" ht="15.75" customHeight="1" x14ac:dyDescent="0.25"/>
    <row r="5165" ht="15.75" customHeight="1" x14ac:dyDescent="0.25"/>
    <row r="5166" ht="15.75" customHeight="1" x14ac:dyDescent="0.25"/>
    <row r="5167" ht="15.75" customHeight="1" x14ac:dyDescent="0.25"/>
    <row r="5168" ht="15.75" customHeight="1" x14ac:dyDescent="0.25"/>
    <row r="5169" ht="15.75" customHeight="1" x14ac:dyDescent="0.25"/>
    <row r="5170" ht="15.75" customHeight="1" x14ac:dyDescent="0.25"/>
    <row r="5171" ht="15.75" customHeight="1" x14ac:dyDescent="0.25"/>
    <row r="5172" ht="15.75" customHeight="1" x14ac:dyDescent="0.25"/>
    <row r="5173" ht="15.75" customHeight="1" x14ac:dyDescent="0.25"/>
    <row r="5174" ht="15.75" customHeight="1" x14ac:dyDescent="0.25"/>
    <row r="5175" ht="15.75" customHeight="1" x14ac:dyDescent="0.25"/>
    <row r="5176" ht="15.75" customHeight="1" x14ac:dyDescent="0.25"/>
    <row r="5177" ht="15.75" customHeight="1" x14ac:dyDescent="0.25"/>
    <row r="5178" ht="15.75" customHeight="1" x14ac:dyDescent="0.25"/>
    <row r="5179" ht="15.75" customHeight="1" x14ac:dyDescent="0.25"/>
    <row r="5180" ht="15.75" customHeight="1" x14ac:dyDescent="0.25"/>
    <row r="5181" ht="15.75" customHeight="1" x14ac:dyDescent="0.25"/>
    <row r="5182" ht="15.75" customHeight="1" x14ac:dyDescent="0.25"/>
    <row r="5183" ht="15.75" customHeight="1" x14ac:dyDescent="0.25"/>
    <row r="5184" ht="15.75" customHeight="1" x14ac:dyDescent="0.25"/>
    <row r="5185" ht="15.75" customHeight="1" x14ac:dyDescent="0.25"/>
    <row r="5186" ht="15.75" customHeight="1" x14ac:dyDescent="0.25"/>
    <row r="5187" ht="15.75" customHeight="1" x14ac:dyDescent="0.25"/>
    <row r="5188" ht="15.75" customHeight="1" x14ac:dyDescent="0.25"/>
    <row r="5189" ht="15.75" customHeight="1" x14ac:dyDescent="0.25"/>
    <row r="5190" ht="15.75" customHeight="1" x14ac:dyDescent="0.25"/>
    <row r="5191" ht="15.75" customHeight="1" x14ac:dyDescent="0.25"/>
    <row r="5192" ht="15.75" customHeight="1" x14ac:dyDescent="0.25"/>
    <row r="5193" ht="15.75" customHeight="1" x14ac:dyDescent="0.25"/>
    <row r="5194" ht="15.75" customHeight="1" x14ac:dyDescent="0.25"/>
    <row r="5195" ht="15.75" customHeight="1" x14ac:dyDescent="0.25"/>
    <row r="5196" ht="15.75" customHeight="1" x14ac:dyDescent="0.25"/>
    <row r="5197" ht="15.75" customHeight="1" x14ac:dyDescent="0.25"/>
    <row r="5198" ht="15.75" customHeight="1" x14ac:dyDescent="0.25"/>
    <row r="5199" ht="15.75" customHeight="1" x14ac:dyDescent="0.25"/>
    <row r="5200" ht="15.75" customHeight="1" x14ac:dyDescent="0.25"/>
    <row r="5201" ht="15.75" customHeight="1" x14ac:dyDescent="0.25"/>
    <row r="5202" ht="15.75" customHeight="1" x14ac:dyDescent="0.25"/>
    <row r="5203" ht="15.75" customHeight="1" x14ac:dyDescent="0.25"/>
    <row r="5204" ht="15.75" customHeight="1" x14ac:dyDescent="0.25"/>
    <row r="5205" ht="15.75" customHeight="1" x14ac:dyDescent="0.25"/>
    <row r="5206" ht="15.75" customHeight="1" x14ac:dyDescent="0.25"/>
    <row r="5207" ht="15.75" customHeight="1" x14ac:dyDescent="0.25"/>
    <row r="5208" ht="15.75" customHeight="1" x14ac:dyDescent="0.25"/>
    <row r="5209" ht="15.75" customHeight="1" x14ac:dyDescent="0.25"/>
    <row r="5210" ht="15.75" customHeight="1" x14ac:dyDescent="0.25"/>
    <row r="5211" ht="15.75" customHeight="1" x14ac:dyDescent="0.25"/>
    <row r="5212" ht="15.75" customHeight="1" x14ac:dyDescent="0.25"/>
    <row r="5213" ht="15.75" customHeight="1" x14ac:dyDescent="0.25"/>
    <row r="5214" ht="15.75" customHeight="1" x14ac:dyDescent="0.25"/>
    <row r="5215" ht="15.75" customHeight="1" x14ac:dyDescent="0.25"/>
    <row r="5216" ht="15.75" customHeight="1" x14ac:dyDescent="0.25"/>
    <row r="5217" ht="15.75" customHeight="1" x14ac:dyDescent="0.25"/>
    <row r="5218" ht="15.75" customHeight="1" x14ac:dyDescent="0.25"/>
    <row r="5219" ht="15.75" customHeight="1" x14ac:dyDescent="0.25"/>
    <row r="5220" ht="15.75" customHeight="1" x14ac:dyDescent="0.25"/>
    <row r="5221" ht="15.75" customHeight="1" x14ac:dyDescent="0.25"/>
    <row r="5222" ht="15.75" customHeight="1" x14ac:dyDescent="0.25"/>
    <row r="5223" ht="15.75" customHeight="1" x14ac:dyDescent="0.25"/>
    <row r="5224" ht="15.75" customHeight="1" x14ac:dyDescent="0.25"/>
    <row r="5225" ht="15.75" customHeight="1" x14ac:dyDescent="0.25"/>
    <row r="5226" ht="15.75" customHeight="1" x14ac:dyDescent="0.25"/>
    <row r="5227" ht="15.75" customHeight="1" x14ac:dyDescent="0.25"/>
    <row r="5228" ht="15.75" customHeight="1" x14ac:dyDescent="0.25"/>
    <row r="5229" ht="15.75" customHeight="1" x14ac:dyDescent="0.25"/>
    <row r="5230" ht="15.75" customHeight="1" x14ac:dyDescent="0.25"/>
    <row r="5231" ht="15.75" customHeight="1" x14ac:dyDescent="0.25"/>
    <row r="5232" ht="15.75" customHeight="1" x14ac:dyDescent="0.25"/>
    <row r="5233" ht="15.75" customHeight="1" x14ac:dyDescent="0.25"/>
    <row r="5234" ht="15.75" customHeight="1" x14ac:dyDescent="0.25"/>
    <row r="5235" ht="15.75" customHeight="1" x14ac:dyDescent="0.25"/>
    <row r="5236" ht="15.75" customHeight="1" x14ac:dyDescent="0.25"/>
    <row r="5237" ht="15.75" customHeight="1" x14ac:dyDescent="0.25"/>
    <row r="5238" ht="15.75" customHeight="1" x14ac:dyDescent="0.25"/>
    <row r="5239" ht="15.75" customHeight="1" x14ac:dyDescent="0.25"/>
    <row r="5240" ht="15.75" customHeight="1" x14ac:dyDescent="0.25"/>
    <row r="5241" ht="15.75" customHeight="1" x14ac:dyDescent="0.25"/>
    <row r="5242" ht="15.75" customHeight="1" x14ac:dyDescent="0.25"/>
    <row r="5243" ht="15.75" customHeight="1" x14ac:dyDescent="0.25"/>
    <row r="5244" ht="15.75" customHeight="1" x14ac:dyDescent="0.25"/>
    <row r="5245" ht="15.75" customHeight="1" x14ac:dyDescent="0.25"/>
    <row r="5246" ht="15.75" customHeight="1" x14ac:dyDescent="0.25"/>
    <row r="5247" ht="15.75" customHeight="1" x14ac:dyDescent="0.25"/>
    <row r="5248" ht="15.75" customHeight="1" x14ac:dyDescent="0.25"/>
    <row r="5249" ht="15.75" customHeight="1" x14ac:dyDescent="0.25"/>
    <row r="5250" ht="15.75" customHeight="1" x14ac:dyDescent="0.25"/>
    <row r="5251" ht="15.75" customHeight="1" x14ac:dyDescent="0.25"/>
    <row r="5252" ht="15.75" customHeight="1" x14ac:dyDescent="0.25"/>
    <row r="5253" ht="15.75" customHeight="1" x14ac:dyDescent="0.25"/>
    <row r="5254" ht="15.75" customHeight="1" x14ac:dyDescent="0.25"/>
    <row r="5255" ht="15.75" customHeight="1" x14ac:dyDescent="0.25"/>
    <row r="5256" ht="15.75" customHeight="1" x14ac:dyDescent="0.25"/>
    <row r="5257" ht="15.75" customHeight="1" x14ac:dyDescent="0.25"/>
    <row r="5258" ht="15.75" customHeight="1" x14ac:dyDescent="0.25"/>
    <row r="5259" ht="15.75" customHeight="1" x14ac:dyDescent="0.25"/>
    <row r="5260" ht="15.75" customHeight="1" x14ac:dyDescent="0.25"/>
    <row r="5261" ht="15.75" customHeight="1" x14ac:dyDescent="0.25"/>
    <row r="5262" ht="15.75" customHeight="1" x14ac:dyDescent="0.25"/>
    <row r="5263" ht="15.75" customHeight="1" x14ac:dyDescent="0.25"/>
    <row r="5264" ht="15.75" customHeight="1" x14ac:dyDescent="0.25"/>
    <row r="5265" ht="15.75" customHeight="1" x14ac:dyDescent="0.25"/>
    <row r="5266" ht="15.75" customHeight="1" x14ac:dyDescent="0.25"/>
    <row r="5267" ht="15.75" customHeight="1" x14ac:dyDescent="0.25"/>
    <row r="5268" ht="15.75" customHeight="1" x14ac:dyDescent="0.25"/>
    <row r="5269" ht="15.75" customHeight="1" x14ac:dyDescent="0.25"/>
    <row r="5270" ht="15.75" customHeight="1" x14ac:dyDescent="0.25"/>
    <row r="5271" ht="15.75" customHeight="1" x14ac:dyDescent="0.25"/>
    <row r="5272" ht="15.75" customHeight="1" x14ac:dyDescent="0.25"/>
    <row r="5273" ht="15.75" customHeight="1" x14ac:dyDescent="0.25"/>
    <row r="5274" ht="15.75" customHeight="1" x14ac:dyDescent="0.25"/>
    <row r="5275" ht="15.75" customHeight="1" x14ac:dyDescent="0.25"/>
    <row r="5276" ht="15.75" customHeight="1" x14ac:dyDescent="0.25"/>
    <row r="5277" ht="15.75" customHeight="1" x14ac:dyDescent="0.25"/>
    <row r="5278" ht="15.75" customHeight="1" x14ac:dyDescent="0.25"/>
    <row r="5279" ht="15.75" customHeight="1" x14ac:dyDescent="0.25"/>
    <row r="5280" ht="15.75" customHeight="1" x14ac:dyDescent="0.25"/>
    <row r="5281" ht="15.75" customHeight="1" x14ac:dyDescent="0.25"/>
    <row r="5282" ht="15.75" customHeight="1" x14ac:dyDescent="0.25"/>
    <row r="5283" ht="15.75" customHeight="1" x14ac:dyDescent="0.25"/>
    <row r="5284" ht="15.75" customHeight="1" x14ac:dyDescent="0.25"/>
    <row r="5285" ht="15.75" customHeight="1" x14ac:dyDescent="0.25"/>
    <row r="5286" ht="15.75" customHeight="1" x14ac:dyDescent="0.25"/>
    <row r="5287" ht="15.75" customHeight="1" x14ac:dyDescent="0.25"/>
    <row r="5288" ht="15.75" customHeight="1" x14ac:dyDescent="0.25"/>
    <row r="5289" ht="15.75" customHeight="1" x14ac:dyDescent="0.25"/>
    <row r="5290" ht="15.75" customHeight="1" x14ac:dyDescent="0.25"/>
    <row r="5291" ht="15.75" customHeight="1" x14ac:dyDescent="0.25"/>
    <row r="5292" ht="15.75" customHeight="1" x14ac:dyDescent="0.25"/>
    <row r="5293" ht="15.75" customHeight="1" x14ac:dyDescent="0.25"/>
    <row r="5294" ht="15.75" customHeight="1" x14ac:dyDescent="0.25"/>
    <row r="5295" ht="15.75" customHeight="1" x14ac:dyDescent="0.25"/>
    <row r="5296" ht="15.75" customHeight="1" x14ac:dyDescent="0.25"/>
    <row r="5297" ht="15.75" customHeight="1" x14ac:dyDescent="0.25"/>
    <row r="5298" ht="15.75" customHeight="1" x14ac:dyDescent="0.25"/>
    <row r="5299" ht="15.75" customHeight="1" x14ac:dyDescent="0.25"/>
    <row r="5300" ht="15.75" customHeight="1" x14ac:dyDescent="0.25"/>
    <row r="5301" ht="15.75" customHeight="1" x14ac:dyDescent="0.25"/>
    <row r="5302" ht="15.75" customHeight="1" x14ac:dyDescent="0.25"/>
    <row r="5303" ht="15.75" customHeight="1" x14ac:dyDescent="0.25"/>
    <row r="5304" ht="15.75" customHeight="1" x14ac:dyDescent="0.25"/>
    <row r="5305" ht="15.75" customHeight="1" x14ac:dyDescent="0.25"/>
    <row r="5306" ht="15.75" customHeight="1" x14ac:dyDescent="0.25"/>
    <row r="5307" ht="15.75" customHeight="1" x14ac:dyDescent="0.25"/>
    <row r="5308" ht="15.75" customHeight="1" x14ac:dyDescent="0.25"/>
    <row r="5309" ht="15.75" customHeight="1" x14ac:dyDescent="0.25"/>
    <row r="5310" ht="15.75" customHeight="1" x14ac:dyDescent="0.25"/>
    <row r="5311" ht="15.75" customHeight="1" x14ac:dyDescent="0.25"/>
    <row r="5312" ht="15.75" customHeight="1" x14ac:dyDescent="0.25"/>
    <row r="5313" ht="15.75" customHeight="1" x14ac:dyDescent="0.25"/>
    <row r="5314" ht="15.75" customHeight="1" x14ac:dyDescent="0.25"/>
    <row r="5315" ht="15.75" customHeight="1" x14ac:dyDescent="0.25"/>
    <row r="5316" ht="15.75" customHeight="1" x14ac:dyDescent="0.25"/>
    <row r="5317" ht="15.75" customHeight="1" x14ac:dyDescent="0.25"/>
    <row r="5318" ht="15.75" customHeight="1" x14ac:dyDescent="0.25"/>
    <row r="5319" ht="15.75" customHeight="1" x14ac:dyDescent="0.25"/>
    <row r="5320" ht="15.75" customHeight="1" x14ac:dyDescent="0.25"/>
    <row r="5321" ht="15.75" customHeight="1" x14ac:dyDescent="0.25"/>
    <row r="5322" ht="15.75" customHeight="1" x14ac:dyDescent="0.25"/>
    <row r="5323" ht="15.75" customHeight="1" x14ac:dyDescent="0.25"/>
    <row r="5324" ht="15.75" customHeight="1" x14ac:dyDescent="0.25"/>
    <row r="5325" ht="15.75" customHeight="1" x14ac:dyDescent="0.25"/>
    <row r="5326" ht="15.75" customHeight="1" x14ac:dyDescent="0.25"/>
    <row r="5327" ht="15.75" customHeight="1" x14ac:dyDescent="0.25"/>
    <row r="5328" ht="15.75" customHeight="1" x14ac:dyDescent="0.25"/>
    <row r="5329" ht="15.75" customHeight="1" x14ac:dyDescent="0.25"/>
    <row r="5330" ht="15.75" customHeight="1" x14ac:dyDescent="0.25"/>
    <row r="5331" ht="15.75" customHeight="1" x14ac:dyDescent="0.25"/>
    <row r="5332" ht="15.75" customHeight="1" x14ac:dyDescent="0.25"/>
    <row r="5333" ht="15.75" customHeight="1" x14ac:dyDescent="0.25"/>
    <row r="5334" ht="15.75" customHeight="1" x14ac:dyDescent="0.25"/>
    <row r="5335" ht="15.75" customHeight="1" x14ac:dyDescent="0.25"/>
    <row r="5336" ht="15.75" customHeight="1" x14ac:dyDescent="0.25"/>
    <row r="5337" ht="15.75" customHeight="1" x14ac:dyDescent="0.25"/>
    <row r="5338" ht="15.75" customHeight="1" x14ac:dyDescent="0.25"/>
    <row r="5339" ht="15.75" customHeight="1" x14ac:dyDescent="0.25"/>
    <row r="5340" ht="15.75" customHeight="1" x14ac:dyDescent="0.25"/>
    <row r="5341" ht="15.75" customHeight="1" x14ac:dyDescent="0.25"/>
    <row r="5342" ht="15.75" customHeight="1" x14ac:dyDescent="0.25"/>
    <row r="5343" ht="15.75" customHeight="1" x14ac:dyDescent="0.25"/>
    <row r="5344" ht="15.75" customHeight="1" x14ac:dyDescent="0.25"/>
    <row r="5345" ht="15.75" customHeight="1" x14ac:dyDescent="0.25"/>
    <row r="5346" ht="15.75" customHeight="1" x14ac:dyDescent="0.25"/>
    <row r="5347" ht="15.75" customHeight="1" x14ac:dyDescent="0.25"/>
    <row r="5348" ht="15.75" customHeight="1" x14ac:dyDescent="0.25"/>
    <row r="5349" ht="15.75" customHeight="1" x14ac:dyDescent="0.25"/>
    <row r="5350" ht="15.75" customHeight="1" x14ac:dyDescent="0.25"/>
    <row r="5351" ht="15.75" customHeight="1" x14ac:dyDescent="0.25"/>
    <row r="5352" ht="15.75" customHeight="1" x14ac:dyDescent="0.25"/>
    <row r="5353" ht="15.75" customHeight="1" x14ac:dyDescent="0.25"/>
    <row r="5354" ht="15.75" customHeight="1" x14ac:dyDescent="0.25"/>
    <row r="5355" ht="15.75" customHeight="1" x14ac:dyDescent="0.25"/>
    <row r="5356" ht="15.75" customHeight="1" x14ac:dyDescent="0.25"/>
    <row r="5357" ht="15.75" customHeight="1" x14ac:dyDescent="0.25"/>
    <row r="5358" ht="15.75" customHeight="1" x14ac:dyDescent="0.25"/>
    <row r="5359" ht="15.75" customHeight="1" x14ac:dyDescent="0.25"/>
    <row r="5360" ht="15.75" customHeight="1" x14ac:dyDescent="0.25"/>
    <row r="5361" ht="15.75" customHeight="1" x14ac:dyDescent="0.25"/>
    <row r="5362" ht="15.75" customHeight="1" x14ac:dyDescent="0.25"/>
    <row r="5363" ht="15.75" customHeight="1" x14ac:dyDescent="0.25"/>
    <row r="5364" ht="15.75" customHeight="1" x14ac:dyDescent="0.25"/>
    <row r="5365" ht="15.75" customHeight="1" x14ac:dyDescent="0.25"/>
    <row r="5366" ht="15.75" customHeight="1" x14ac:dyDescent="0.25"/>
    <row r="5367" ht="15.75" customHeight="1" x14ac:dyDescent="0.25"/>
    <row r="5368" ht="15.75" customHeight="1" x14ac:dyDescent="0.25"/>
    <row r="5369" ht="15.75" customHeight="1" x14ac:dyDescent="0.25"/>
    <row r="5370" ht="15.75" customHeight="1" x14ac:dyDescent="0.25"/>
    <row r="5371" ht="15.75" customHeight="1" x14ac:dyDescent="0.25"/>
    <row r="5372" ht="15.75" customHeight="1" x14ac:dyDescent="0.25"/>
    <row r="5373" ht="15.75" customHeight="1" x14ac:dyDescent="0.25"/>
    <row r="5374" ht="15.75" customHeight="1" x14ac:dyDescent="0.25"/>
    <row r="5375" ht="15.75" customHeight="1" x14ac:dyDescent="0.25"/>
    <row r="5376" ht="15.75" customHeight="1" x14ac:dyDescent="0.25"/>
    <row r="5377" ht="15.75" customHeight="1" x14ac:dyDescent="0.25"/>
    <row r="5378" ht="15.75" customHeight="1" x14ac:dyDescent="0.25"/>
    <row r="5379" ht="15.75" customHeight="1" x14ac:dyDescent="0.25"/>
    <row r="5380" ht="15.75" customHeight="1" x14ac:dyDescent="0.25"/>
    <row r="5381" ht="15.75" customHeight="1" x14ac:dyDescent="0.25"/>
    <row r="5382" ht="15.75" customHeight="1" x14ac:dyDescent="0.25"/>
    <row r="5383" ht="15.75" customHeight="1" x14ac:dyDescent="0.25"/>
    <row r="5384" ht="15.75" customHeight="1" x14ac:dyDescent="0.25"/>
    <row r="5385" ht="15.75" customHeight="1" x14ac:dyDescent="0.25"/>
    <row r="5386" ht="15.75" customHeight="1" x14ac:dyDescent="0.25"/>
    <row r="5387" ht="15.75" customHeight="1" x14ac:dyDescent="0.25"/>
    <row r="5388" ht="15.75" customHeight="1" x14ac:dyDescent="0.25"/>
    <row r="5389" ht="15.75" customHeight="1" x14ac:dyDescent="0.25"/>
    <row r="5390" ht="15.75" customHeight="1" x14ac:dyDescent="0.25"/>
    <row r="5391" ht="15.75" customHeight="1" x14ac:dyDescent="0.25"/>
    <row r="5392" ht="15.75" customHeight="1" x14ac:dyDescent="0.25"/>
    <row r="5393" ht="15.75" customHeight="1" x14ac:dyDescent="0.25"/>
    <row r="5394" ht="15.75" customHeight="1" x14ac:dyDescent="0.25"/>
    <row r="5395" ht="15.75" customHeight="1" x14ac:dyDescent="0.25"/>
    <row r="5396" ht="15.75" customHeight="1" x14ac:dyDescent="0.25"/>
    <row r="5397" ht="15.75" customHeight="1" x14ac:dyDescent="0.25"/>
    <row r="5398" ht="15.75" customHeight="1" x14ac:dyDescent="0.25"/>
    <row r="5399" ht="15.75" customHeight="1" x14ac:dyDescent="0.25"/>
    <row r="5400" ht="15.75" customHeight="1" x14ac:dyDescent="0.25"/>
    <row r="5401" ht="15.75" customHeight="1" x14ac:dyDescent="0.25"/>
    <row r="5402" ht="15.75" customHeight="1" x14ac:dyDescent="0.25"/>
    <row r="5403" ht="15.75" customHeight="1" x14ac:dyDescent="0.25"/>
    <row r="5404" ht="15.75" customHeight="1" x14ac:dyDescent="0.25"/>
    <row r="5405" ht="15.75" customHeight="1" x14ac:dyDescent="0.25"/>
    <row r="5406" ht="15.75" customHeight="1" x14ac:dyDescent="0.25"/>
    <row r="5407" ht="15.75" customHeight="1" x14ac:dyDescent="0.25"/>
    <row r="5408" ht="15.75" customHeight="1" x14ac:dyDescent="0.25"/>
    <row r="5409" ht="15.75" customHeight="1" x14ac:dyDescent="0.25"/>
    <row r="5410" ht="15.75" customHeight="1" x14ac:dyDescent="0.25"/>
    <row r="5411" ht="15.75" customHeight="1" x14ac:dyDescent="0.25"/>
    <row r="5412" ht="15.75" customHeight="1" x14ac:dyDescent="0.25"/>
    <row r="5413" ht="15.75" customHeight="1" x14ac:dyDescent="0.25"/>
    <row r="5414" ht="15.75" customHeight="1" x14ac:dyDescent="0.25"/>
    <row r="5415" ht="15.75" customHeight="1" x14ac:dyDescent="0.25"/>
    <row r="5416" ht="15.75" customHeight="1" x14ac:dyDescent="0.25"/>
    <row r="5417" ht="15.75" customHeight="1" x14ac:dyDescent="0.25"/>
    <row r="5418" ht="15.75" customHeight="1" x14ac:dyDescent="0.25"/>
    <row r="5419" ht="15.75" customHeight="1" x14ac:dyDescent="0.25"/>
    <row r="5420" ht="15.75" customHeight="1" x14ac:dyDescent="0.25"/>
    <row r="5421" ht="15.75" customHeight="1" x14ac:dyDescent="0.25"/>
    <row r="5422" ht="15.75" customHeight="1" x14ac:dyDescent="0.25"/>
    <row r="5423" ht="15.75" customHeight="1" x14ac:dyDescent="0.25"/>
    <row r="5424" ht="15.75" customHeight="1" x14ac:dyDescent="0.25"/>
    <row r="5425" ht="15.75" customHeight="1" x14ac:dyDescent="0.25"/>
    <row r="5426" ht="15.75" customHeight="1" x14ac:dyDescent="0.25"/>
    <row r="5427" ht="15.75" customHeight="1" x14ac:dyDescent="0.25"/>
    <row r="5428" ht="15.75" customHeight="1" x14ac:dyDescent="0.25"/>
    <row r="5429" ht="15.75" customHeight="1" x14ac:dyDescent="0.25"/>
    <row r="5430" ht="15.75" customHeight="1" x14ac:dyDescent="0.25"/>
    <row r="5431" ht="15.75" customHeight="1" x14ac:dyDescent="0.25"/>
    <row r="5432" ht="15.75" customHeight="1" x14ac:dyDescent="0.25"/>
    <row r="5433" ht="15.75" customHeight="1" x14ac:dyDescent="0.25"/>
    <row r="5434" ht="15.75" customHeight="1" x14ac:dyDescent="0.25"/>
    <row r="5435" ht="15.75" customHeight="1" x14ac:dyDescent="0.25"/>
    <row r="5436" ht="15.75" customHeight="1" x14ac:dyDescent="0.25"/>
    <row r="5437" ht="15.75" customHeight="1" x14ac:dyDescent="0.25"/>
    <row r="5438" ht="15.75" customHeight="1" x14ac:dyDescent="0.25"/>
    <row r="5439" ht="15.75" customHeight="1" x14ac:dyDescent="0.25"/>
    <row r="5440" ht="15.75" customHeight="1" x14ac:dyDescent="0.25"/>
    <row r="5441" ht="15.75" customHeight="1" x14ac:dyDescent="0.25"/>
    <row r="5442" ht="15.75" customHeight="1" x14ac:dyDescent="0.25"/>
    <row r="5443" ht="15.75" customHeight="1" x14ac:dyDescent="0.25"/>
    <row r="5444" ht="15.75" customHeight="1" x14ac:dyDescent="0.25"/>
    <row r="5445" ht="15.75" customHeight="1" x14ac:dyDescent="0.25"/>
    <row r="5446" ht="15.75" customHeight="1" x14ac:dyDescent="0.25"/>
    <row r="5447" ht="15.75" customHeight="1" x14ac:dyDescent="0.25"/>
    <row r="5448" ht="15.75" customHeight="1" x14ac:dyDescent="0.25"/>
    <row r="5449" ht="15.75" customHeight="1" x14ac:dyDescent="0.25"/>
    <row r="5450" ht="15.75" customHeight="1" x14ac:dyDescent="0.25"/>
    <row r="5451" ht="15.75" customHeight="1" x14ac:dyDescent="0.25"/>
    <row r="5452" ht="15.75" customHeight="1" x14ac:dyDescent="0.25"/>
    <row r="5453" ht="15.75" customHeight="1" x14ac:dyDescent="0.25"/>
    <row r="5454" ht="15.75" customHeight="1" x14ac:dyDescent="0.25"/>
    <row r="5455" ht="15.75" customHeight="1" x14ac:dyDescent="0.25"/>
    <row r="5456" ht="15.75" customHeight="1" x14ac:dyDescent="0.25"/>
    <row r="5457" ht="15.75" customHeight="1" x14ac:dyDescent="0.25"/>
    <row r="5458" ht="15.75" customHeight="1" x14ac:dyDescent="0.25"/>
    <row r="5459" ht="15.75" customHeight="1" x14ac:dyDescent="0.25"/>
    <row r="5460" ht="15.75" customHeight="1" x14ac:dyDescent="0.25"/>
    <row r="5461" ht="15.75" customHeight="1" x14ac:dyDescent="0.25"/>
    <row r="5462" ht="15.75" customHeight="1" x14ac:dyDescent="0.25"/>
    <row r="5463" ht="15.75" customHeight="1" x14ac:dyDescent="0.25"/>
    <row r="5464" ht="15.75" customHeight="1" x14ac:dyDescent="0.25"/>
    <row r="5465" ht="15.75" customHeight="1" x14ac:dyDescent="0.25"/>
    <row r="5466" ht="15.75" customHeight="1" x14ac:dyDescent="0.25"/>
    <row r="5467" ht="15.75" customHeight="1" x14ac:dyDescent="0.25"/>
    <row r="5468" ht="15.75" customHeight="1" x14ac:dyDescent="0.25"/>
    <row r="5469" ht="15.75" customHeight="1" x14ac:dyDescent="0.25"/>
    <row r="5470" ht="15.75" customHeight="1" x14ac:dyDescent="0.25"/>
    <row r="5471" ht="15.75" customHeight="1" x14ac:dyDescent="0.25"/>
    <row r="5472" ht="15.75" customHeight="1" x14ac:dyDescent="0.25"/>
    <row r="5473" ht="15.75" customHeight="1" x14ac:dyDescent="0.25"/>
    <row r="5474" ht="15.75" customHeight="1" x14ac:dyDescent="0.25"/>
    <row r="5475" ht="15.75" customHeight="1" x14ac:dyDescent="0.25"/>
    <row r="5476" ht="15.75" customHeight="1" x14ac:dyDescent="0.25"/>
    <row r="5477" ht="15.75" customHeight="1" x14ac:dyDescent="0.25"/>
    <row r="5478" ht="15.75" customHeight="1" x14ac:dyDescent="0.25"/>
    <row r="5479" ht="15.75" customHeight="1" x14ac:dyDescent="0.25"/>
    <row r="5480" ht="15.75" customHeight="1" x14ac:dyDescent="0.25"/>
    <row r="5481" ht="15.75" customHeight="1" x14ac:dyDescent="0.25"/>
    <row r="5482" ht="15.75" customHeight="1" x14ac:dyDescent="0.25"/>
    <row r="5483" ht="15.75" customHeight="1" x14ac:dyDescent="0.25"/>
    <row r="5484" ht="15.75" customHeight="1" x14ac:dyDescent="0.25"/>
    <row r="5485" ht="15.75" customHeight="1" x14ac:dyDescent="0.25"/>
    <row r="5486" ht="15.75" customHeight="1" x14ac:dyDescent="0.25"/>
    <row r="5487" ht="15.75" customHeight="1" x14ac:dyDescent="0.25"/>
    <row r="5488" ht="15.75" customHeight="1" x14ac:dyDescent="0.25"/>
    <row r="5489" ht="15.75" customHeight="1" x14ac:dyDescent="0.25"/>
    <row r="5490" ht="15.75" customHeight="1" x14ac:dyDescent="0.25"/>
    <row r="5491" ht="15.75" customHeight="1" x14ac:dyDescent="0.25"/>
    <row r="5492" ht="15.75" customHeight="1" x14ac:dyDescent="0.25"/>
    <row r="5493" ht="15.75" customHeight="1" x14ac:dyDescent="0.25"/>
    <row r="5494" ht="15.75" customHeight="1" x14ac:dyDescent="0.25"/>
    <row r="5495" ht="15.75" customHeight="1" x14ac:dyDescent="0.25"/>
    <row r="5496" ht="15.75" customHeight="1" x14ac:dyDescent="0.25"/>
    <row r="5497" ht="15.75" customHeight="1" x14ac:dyDescent="0.25"/>
    <row r="5498" ht="15.75" customHeight="1" x14ac:dyDescent="0.25"/>
    <row r="5499" ht="15.75" customHeight="1" x14ac:dyDescent="0.25"/>
    <row r="5500" ht="15.75" customHeight="1" x14ac:dyDescent="0.25"/>
    <row r="5501" ht="15.75" customHeight="1" x14ac:dyDescent="0.25"/>
    <row r="5502" ht="15.75" customHeight="1" x14ac:dyDescent="0.25"/>
    <row r="5503" ht="15.75" customHeight="1" x14ac:dyDescent="0.25"/>
    <row r="5504" ht="15.75" customHeight="1" x14ac:dyDescent="0.25"/>
    <row r="5505" ht="15.75" customHeight="1" x14ac:dyDescent="0.25"/>
    <row r="5506" ht="15.75" customHeight="1" x14ac:dyDescent="0.25"/>
    <row r="5507" ht="15.75" customHeight="1" x14ac:dyDescent="0.25"/>
    <row r="5508" ht="15.75" customHeight="1" x14ac:dyDescent="0.25"/>
    <row r="5509" ht="15.75" customHeight="1" x14ac:dyDescent="0.25"/>
    <row r="5510" ht="15.75" customHeight="1" x14ac:dyDescent="0.25"/>
    <row r="5511" ht="15.75" customHeight="1" x14ac:dyDescent="0.25"/>
    <row r="5512" ht="15.75" customHeight="1" x14ac:dyDescent="0.25"/>
    <row r="5513" ht="15.75" customHeight="1" x14ac:dyDescent="0.25"/>
    <row r="5514" ht="15.75" customHeight="1" x14ac:dyDescent="0.25"/>
    <row r="5515" ht="15.75" customHeight="1" x14ac:dyDescent="0.25"/>
    <row r="5516" ht="15.75" customHeight="1" x14ac:dyDescent="0.25"/>
    <row r="5517" ht="15.75" customHeight="1" x14ac:dyDescent="0.25"/>
    <row r="5518" ht="15.75" customHeight="1" x14ac:dyDescent="0.25"/>
    <row r="5519" ht="15.75" customHeight="1" x14ac:dyDescent="0.25"/>
    <row r="5520" ht="15.75" customHeight="1" x14ac:dyDescent="0.25"/>
    <row r="5521" ht="15.75" customHeight="1" x14ac:dyDescent="0.25"/>
    <row r="5522" ht="15.75" customHeight="1" x14ac:dyDescent="0.25"/>
    <row r="5523" ht="15.75" customHeight="1" x14ac:dyDescent="0.25"/>
    <row r="5524" ht="15.75" customHeight="1" x14ac:dyDescent="0.25"/>
    <row r="5525" ht="15.75" customHeight="1" x14ac:dyDescent="0.25"/>
    <row r="5526" ht="15.75" customHeight="1" x14ac:dyDescent="0.25"/>
    <row r="5527" ht="15.75" customHeight="1" x14ac:dyDescent="0.25"/>
    <row r="5528" ht="15.75" customHeight="1" x14ac:dyDescent="0.25"/>
    <row r="5529" ht="15.75" customHeight="1" x14ac:dyDescent="0.25"/>
    <row r="5530" ht="15.75" customHeight="1" x14ac:dyDescent="0.25"/>
    <row r="5531" ht="15.75" customHeight="1" x14ac:dyDescent="0.25"/>
    <row r="5532" ht="15.75" customHeight="1" x14ac:dyDescent="0.25"/>
    <row r="5533" ht="15.75" customHeight="1" x14ac:dyDescent="0.25"/>
    <row r="5534" ht="15.75" customHeight="1" x14ac:dyDescent="0.25"/>
    <row r="5535" ht="15.75" customHeight="1" x14ac:dyDescent="0.25"/>
    <row r="5536" ht="15.75" customHeight="1" x14ac:dyDescent="0.25"/>
    <row r="5537" ht="15.75" customHeight="1" x14ac:dyDescent="0.25"/>
    <row r="5538" ht="15.75" customHeight="1" x14ac:dyDescent="0.25"/>
    <row r="5539" ht="15.75" customHeight="1" x14ac:dyDescent="0.25"/>
    <row r="5540" ht="15.75" customHeight="1" x14ac:dyDescent="0.25"/>
    <row r="5541" ht="15.75" customHeight="1" x14ac:dyDescent="0.25"/>
    <row r="5542" ht="15.75" customHeight="1" x14ac:dyDescent="0.25"/>
    <row r="5543" ht="15.75" customHeight="1" x14ac:dyDescent="0.25"/>
    <row r="5544" ht="15.75" customHeight="1" x14ac:dyDescent="0.25"/>
    <row r="5545" ht="15.75" customHeight="1" x14ac:dyDescent="0.25"/>
    <row r="5546" ht="15.75" customHeight="1" x14ac:dyDescent="0.25"/>
    <row r="5547" ht="15.75" customHeight="1" x14ac:dyDescent="0.25"/>
    <row r="5548" ht="15.75" customHeight="1" x14ac:dyDescent="0.25"/>
    <row r="5549" ht="15.75" customHeight="1" x14ac:dyDescent="0.25"/>
    <row r="5550" ht="15.75" customHeight="1" x14ac:dyDescent="0.25"/>
    <row r="5551" ht="15.75" customHeight="1" x14ac:dyDescent="0.25"/>
    <row r="5552" ht="15.75" customHeight="1" x14ac:dyDescent="0.25"/>
    <row r="5553" ht="15.75" customHeight="1" x14ac:dyDescent="0.25"/>
    <row r="5554" ht="15.75" customHeight="1" x14ac:dyDescent="0.25"/>
    <row r="5555" ht="15.75" customHeight="1" x14ac:dyDescent="0.25"/>
    <row r="5556" ht="15.75" customHeight="1" x14ac:dyDescent="0.25"/>
    <row r="5557" ht="15.75" customHeight="1" x14ac:dyDescent="0.25"/>
    <row r="5558" ht="15.75" customHeight="1" x14ac:dyDescent="0.25"/>
    <row r="5559" ht="15.75" customHeight="1" x14ac:dyDescent="0.25"/>
    <row r="5560" ht="15.75" customHeight="1" x14ac:dyDescent="0.25"/>
    <row r="5561" ht="15.75" customHeight="1" x14ac:dyDescent="0.25"/>
    <row r="5562" ht="15.75" customHeight="1" x14ac:dyDescent="0.25"/>
    <row r="5563" ht="15.75" customHeight="1" x14ac:dyDescent="0.25"/>
    <row r="5564" ht="15.75" customHeight="1" x14ac:dyDescent="0.25"/>
    <row r="5565" ht="15.75" customHeight="1" x14ac:dyDescent="0.25"/>
    <row r="5566" ht="15.75" customHeight="1" x14ac:dyDescent="0.25"/>
    <row r="5567" ht="15.75" customHeight="1" x14ac:dyDescent="0.25"/>
    <row r="5568" ht="15.75" customHeight="1" x14ac:dyDescent="0.25"/>
    <row r="5569" ht="15.75" customHeight="1" x14ac:dyDescent="0.25"/>
    <row r="5570" ht="15.75" customHeight="1" x14ac:dyDescent="0.25"/>
    <row r="5571" ht="15.75" customHeight="1" x14ac:dyDescent="0.25"/>
    <row r="5572" ht="15.75" customHeight="1" x14ac:dyDescent="0.25"/>
    <row r="5573" ht="15.75" customHeight="1" x14ac:dyDescent="0.25"/>
    <row r="5574" ht="15.75" customHeight="1" x14ac:dyDescent="0.25"/>
    <row r="5575" ht="15.75" customHeight="1" x14ac:dyDescent="0.25"/>
    <row r="5576" ht="15.75" customHeight="1" x14ac:dyDescent="0.25"/>
    <row r="5577" ht="15.75" customHeight="1" x14ac:dyDescent="0.25"/>
    <row r="5578" ht="15.75" customHeight="1" x14ac:dyDescent="0.25"/>
    <row r="5579" ht="15.75" customHeight="1" x14ac:dyDescent="0.25"/>
    <row r="5580" ht="15.75" customHeight="1" x14ac:dyDescent="0.25"/>
    <row r="5581" ht="15.75" customHeight="1" x14ac:dyDescent="0.25"/>
    <row r="5582" ht="15.75" customHeight="1" x14ac:dyDescent="0.25"/>
    <row r="5583" ht="15.75" customHeight="1" x14ac:dyDescent="0.25"/>
    <row r="5584" ht="15.75" customHeight="1" x14ac:dyDescent="0.25"/>
    <row r="5585" ht="15.75" customHeight="1" x14ac:dyDescent="0.25"/>
    <row r="5586" ht="15.75" customHeight="1" x14ac:dyDescent="0.25"/>
    <row r="5587" ht="15.75" customHeight="1" x14ac:dyDescent="0.25"/>
    <row r="5588" ht="15.75" customHeight="1" x14ac:dyDescent="0.25"/>
    <row r="5589" ht="15.75" customHeight="1" x14ac:dyDescent="0.25"/>
    <row r="5590" ht="15.75" customHeight="1" x14ac:dyDescent="0.25"/>
    <row r="5591" ht="15.75" customHeight="1" x14ac:dyDescent="0.25"/>
    <row r="5592" ht="15.75" customHeight="1" x14ac:dyDescent="0.25"/>
    <row r="5593" ht="15.75" customHeight="1" x14ac:dyDescent="0.25"/>
    <row r="5594" ht="15.75" customHeight="1" x14ac:dyDescent="0.25"/>
    <row r="5595" ht="15.75" customHeight="1" x14ac:dyDescent="0.25"/>
    <row r="5596" ht="15.75" customHeight="1" x14ac:dyDescent="0.25"/>
    <row r="5597" ht="15.75" customHeight="1" x14ac:dyDescent="0.25"/>
    <row r="5598" ht="15.75" customHeight="1" x14ac:dyDescent="0.25"/>
    <row r="5599" ht="15.75" customHeight="1" x14ac:dyDescent="0.25"/>
    <row r="5600" ht="15.75" customHeight="1" x14ac:dyDescent="0.25"/>
    <row r="5601" ht="15.75" customHeight="1" x14ac:dyDescent="0.25"/>
    <row r="5602" ht="15.75" customHeight="1" x14ac:dyDescent="0.25"/>
    <row r="5603" ht="15.75" customHeight="1" x14ac:dyDescent="0.25"/>
    <row r="5604" ht="15.75" customHeight="1" x14ac:dyDescent="0.25"/>
    <row r="5605" ht="15.75" customHeight="1" x14ac:dyDescent="0.25"/>
    <row r="5606" ht="15.75" customHeight="1" x14ac:dyDescent="0.25"/>
    <row r="5607" ht="15.75" customHeight="1" x14ac:dyDescent="0.25"/>
    <row r="5608" ht="15.75" customHeight="1" x14ac:dyDescent="0.25"/>
    <row r="5609" ht="15.75" customHeight="1" x14ac:dyDescent="0.25"/>
    <row r="5610" ht="15.75" customHeight="1" x14ac:dyDescent="0.25"/>
    <row r="5611" ht="15.75" customHeight="1" x14ac:dyDescent="0.25"/>
    <row r="5612" ht="15.75" customHeight="1" x14ac:dyDescent="0.25"/>
    <row r="5613" ht="15.75" customHeight="1" x14ac:dyDescent="0.25"/>
    <row r="5614" ht="15.75" customHeight="1" x14ac:dyDescent="0.25"/>
    <row r="5615" ht="15.75" customHeight="1" x14ac:dyDescent="0.25"/>
    <row r="5616" ht="15.75" customHeight="1" x14ac:dyDescent="0.25"/>
    <row r="5617" ht="15.75" customHeight="1" x14ac:dyDescent="0.25"/>
    <row r="5618" ht="15.75" customHeight="1" x14ac:dyDescent="0.25"/>
    <row r="5619" ht="15.75" customHeight="1" x14ac:dyDescent="0.25"/>
    <row r="5620" ht="15.75" customHeight="1" x14ac:dyDescent="0.25"/>
    <row r="5621" ht="15.75" customHeight="1" x14ac:dyDescent="0.25"/>
    <row r="5622" ht="15.75" customHeight="1" x14ac:dyDescent="0.25"/>
    <row r="5623" ht="15.75" customHeight="1" x14ac:dyDescent="0.25"/>
    <row r="5624" ht="15.75" customHeight="1" x14ac:dyDescent="0.25"/>
    <row r="5625" ht="15.75" customHeight="1" x14ac:dyDescent="0.25"/>
    <row r="5626" ht="15.75" customHeight="1" x14ac:dyDescent="0.25"/>
    <row r="5627" ht="15.75" customHeight="1" x14ac:dyDescent="0.25"/>
    <row r="5628" ht="15.75" customHeight="1" x14ac:dyDescent="0.25"/>
    <row r="5629" ht="15.75" customHeight="1" x14ac:dyDescent="0.25"/>
    <row r="5630" ht="15.75" customHeight="1" x14ac:dyDescent="0.25"/>
    <row r="5631" ht="15.75" customHeight="1" x14ac:dyDescent="0.25"/>
    <row r="5632" ht="15.75" customHeight="1" x14ac:dyDescent="0.25"/>
    <row r="5633" ht="15.75" customHeight="1" x14ac:dyDescent="0.25"/>
    <row r="5634" ht="15.75" customHeight="1" x14ac:dyDescent="0.25"/>
    <row r="5635" ht="15.75" customHeight="1" x14ac:dyDescent="0.25"/>
    <row r="5636" ht="15.75" customHeight="1" x14ac:dyDescent="0.25"/>
    <row r="5637" ht="15.75" customHeight="1" x14ac:dyDescent="0.25"/>
    <row r="5638" ht="15.75" customHeight="1" x14ac:dyDescent="0.25"/>
    <row r="5639" ht="15.75" customHeight="1" x14ac:dyDescent="0.25"/>
    <row r="5640" ht="15.75" customHeight="1" x14ac:dyDescent="0.25"/>
    <row r="5641" ht="15.75" customHeight="1" x14ac:dyDescent="0.25"/>
    <row r="5642" ht="15.75" customHeight="1" x14ac:dyDescent="0.25"/>
    <row r="5643" ht="15.75" customHeight="1" x14ac:dyDescent="0.25"/>
    <row r="5644" ht="15.75" customHeight="1" x14ac:dyDescent="0.25"/>
    <row r="5645" ht="15.75" customHeight="1" x14ac:dyDescent="0.25"/>
    <row r="5646" ht="15.75" customHeight="1" x14ac:dyDescent="0.25"/>
    <row r="5647" ht="15.75" customHeight="1" x14ac:dyDescent="0.25"/>
    <row r="5648" ht="15.75" customHeight="1" x14ac:dyDescent="0.25"/>
    <row r="5649" ht="15.75" customHeight="1" x14ac:dyDescent="0.25"/>
    <row r="5650" ht="15.75" customHeight="1" x14ac:dyDescent="0.25"/>
    <row r="5651" ht="15.75" customHeight="1" x14ac:dyDescent="0.25"/>
    <row r="5652" ht="15.75" customHeight="1" x14ac:dyDescent="0.25"/>
    <row r="5653" ht="15.75" customHeight="1" x14ac:dyDescent="0.25"/>
    <row r="5654" ht="15.75" customHeight="1" x14ac:dyDescent="0.25"/>
    <row r="5655" ht="15.75" customHeight="1" x14ac:dyDescent="0.25"/>
    <row r="5656" ht="15.75" customHeight="1" x14ac:dyDescent="0.25"/>
    <row r="5657" ht="15.75" customHeight="1" x14ac:dyDescent="0.25"/>
    <row r="5658" ht="15.75" customHeight="1" x14ac:dyDescent="0.25"/>
    <row r="5659" ht="15.75" customHeight="1" x14ac:dyDescent="0.25"/>
    <row r="5660" ht="15.75" customHeight="1" x14ac:dyDescent="0.25"/>
    <row r="5661" ht="15.75" customHeight="1" x14ac:dyDescent="0.25"/>
    <row r="5662" ht="15.75" customHeight="1" x14ac:dyDescent="0.25"/>
    <row r="5663" ht="15.75" customHeight="1" x14ac:dyDescent="0.25"/>
    <row r="5664" ht="15.75" customHeight="1" x14ac:dyDescent="0.25"/>
    <row r="5665" ht="15.75" customHeight="1" x14ac:dyDescent="0.25"/>
    <row r="5666" ht="15.75" customHeight="1" x14ac:dyDescent="0.25"/>
    <row r="5667" ht="15.75" customHeight="1" x14ac:dyDescent="0.25"/>
    <row r="5668" ht="15.75" customHeight="1" x14ac:dyDescent="0.25"/>
    <row r="5669" ht="15.75" customHeight="1" x14ac:dyDescent="0.25"/>
    <row r="5670" ht="15.75" customHeight="1" x14ac:dyDescent="0.25"/>
    <row r="5671" ht="15.75" customHeight="1" x14ac:dyDescent="0.25"/>
    <row r="5672" ht="15.75" customHeight="1" x14ac:dyDescent="0.25"/>
    <row r="5673" ht="15.75" customHeight="1" x14ac:dyDescent="0.25"/>
    <row r="5674" ht="15.75" customHeight="1" x14ac:dyDescent="0.25"/>
    <row r="5675" ht="15.75" customHeight="1" x14ac:dyDescent="0.25"/>
    <row r="5676" ht="15.75" customHeight="1" x14ac:dyDescent="0.25"/>
    <row r="5677" ht="15.75" customHeight="1" x14ac:dyDescent="0.25"/>
    <row r="5678" ht="15.75" customHeight="1" x14ac:dyDescent="0.25"/>
    <row r="5679" ht="15.75" customHeight="1" x14ac:dyDescent="0.25"/>
    <row r="5680" ht="15.75" customHeight="1" x14ac:dyDescent="0.25"/>
    <row r="5681" ht="15.75" customHeight="1" x14ac:dyDescent="0.25"/>
    <row r="5682" ht="15.75" customHeight="1" x14ac:dyDescent="0.25"/>
    <row r="5683" ht="15.75" customHeight="1" x14ac:dyDescent="0.25"/>
    <row r="5684" ht="15.75" customHeight="1" x14ac:dyDescent="0.25"/>
    <row r="5685" ht="15.75" customHeight="1" x14ac:dyDescent="0.25"/>
    <row r="5686" ht="15.75" customHeight="1" x14ac:dyDescent="0.25"/>
    <row r="5687" ht="15.75" customHeight="1" x14ac:dyDescent="0.25"/>
    <row r="5688" ht="15.75" customHeight="1" x14ac:dyDescent="0.25"/>
    <row r="5689" ht="15.75" customHeight="1" x14ac:dyDescent="0.25"/>
    <row r="5690" ht="15.75" customHeight="1" x14ac:dyDescent="0.25"/>
    <row r="5691" ht="15.75" customHeight="1" x14ac:dyDescent="0.25"/>
    <row r="5692" ht="15.75" customHeight="1" x14ac:dyDescent="0.25"/>
    <row r="5693" ht="15.75" customHeight="1" x14ac:dyDescent="0.25"/>
    <row r="5694" ht="15.75" customHeight="1" x14ac:dyDescent="0.25"/>
    <row r="5695" ht="15.75" customHeight="1" x14ac:dyDescent="0.25"/>
    <row r="5696" ht="15.75" customHeight="1" x14ac:dyDescent="0.25"/>
    <row r="5697" ht="15.75" customHeight="1" x14ac:dyDescent="0.25"/>
    <row r="5698" ht="15.75" customHeight="1" x14ac:dyDescent="0.25"/>
    <row r="5699" ht="15.75" customHeight="1" x14ac:dyDescent="0.25"/>
    <row r="5700" ht="15.75" customHeight="1" x14ac:dyDescent="0.25"/>
    <row r="5701" ht="15.75" customHeight="1" x14ac:dyDescent="0.25"/>
    <row r="5702" ht="15.75" customHeight="1" x14ac:dyDescent="0.25"/>
    <row r="5703" ht="15.75" customHeight="1" x14ac:dyDescent="0.25"/>
    <row r="5704" ht="15.75" customHeight="1" x14ac:dyDescent="0.25"/>
    <row r="5705" ht="15.75" customHeight="1" x14ac:dyDescent="0.25"/>
    <row r="5706" ht="15.75" customHeight="1" x14ac:dyDescent="0.25"/>
    <row r="5707" ht="15.75" customHeight="1" x14ac:dyDescent="0.25"/>
    <row r="5708" ht="15.75" customHeight="1" x14ac:dyDescent="0.25"/>
    <row r="5709" ht="15.75" customHeight="1" x14ac:dyDescent="0.25"/>
    <row r="5710" ht="15.75" customHeight="1" x14ac:dyDescent="0.25"/>
    <row r="5711" ht="15.75" customHeight="1" x14ac:dyDescent="0.25"/>
    <row r="5712" ht="15.75" customHeight="1" x14ac:dyDescent="0.25"/>
    <row r="5713" ht="15.75" customHeight="1" x14ac:dyDescent="0.25"/>
    <row r="5714" ht="15.75" customHeight="1" x14ac:dyDescent="0.25"/>
    <row r="5715" ht="15.75" customHeight="1" x14ac:dyDescent="0.25"/>
    <row r="5716" ht="15.75" customHeight="1" x14ac:dyDescent="0.25"/>
    <row r="5717" ht="15.75" customHeight="1" x14ac:dyDescent="0.25"/>
    <row r="5718" ht="15.75" customHeight="1" x14ac:dyDescent="0.25"/>
    <row r="5719" ht="15.75" customHeight="1" x14ac:dyDescent="0.25"/>
    <row r="5720" ht="15.75" customHeight="1" x14ac:dyDescent="0.25"/>
    <row r="5721" ht="15.75" customHeight="1" x14ac:dyDescent="0.25"/>
    <row r="5722" ht="15.75" customHeight="1" x14ac:dyDescent="0.25"/>
    <row r="5723" ht="15.75" customHeight="1" x14ac:dyDescent="0.25"/>
    <row r="5724" ht="15.75" customHeight="1" x14ac:dyDescent="0.25"/>
    <row r="5725" ht="15.75" customHeight="1" x14ac:dyDescent="0.25"/>
    <row r="5726" ht="15.75" customHeight="1" x14ac:dyDescent="0.25"/>
    <row r="5727" ht="15.75" customHeight="1" x14ac:dyDescent="0.25"/>
    <row r="5728" ht="15.75" customHeight="1" x14ac:dyDescent="0.25"/>
    <row r="5729" ht="15.75" customHeight="1" x14ac:dyDescent="0.25"/>
    <row r="5730" ht="15.75" customHeight="1" x14ac:dyDescent="0.25"/>
    <row r="5731" ht="15.75" customHeight="1" x14ac:dyDescent="0.25"/>
    <row r="5732" ht="15.75" customHeight="1" x14ac:dyDescent="0.25"/>
    <row r="5733" ht="15.75" customHeight="1" x14ac:dyDescent="0.25"/>
    <row r="5734" ht="15.75" customHeight="1" x14ac:dyDescent="0.25"/>
    <row r="5735" ht="15.75" customHeight="1" x14ac:dyDescent="0.25"/>
    <row r="5736" ht="15.75" customHeight="1" x14ac:dyDescent="0.25"/>
    <row r="5737" ht="15.75" customHeight="1" x14ac:dyDescent="0.25"/>
    <row r="5738" ht="15.75" customHeight="1" x14ac:dyDescent="0.25"/>
    <row r="5739" ht="15.75" customHeight="1" x14ac:dyDescent="0.25"/>
    <row r="5740" ht="15.75" customHeight="1" x14ac:dyDescent="0.25"/>
    <row r="5741" ht="15.75" customHeight="1" x14ac:dyDescent="0.25"/>
    <row r="5742" ht="15.75" customHeight="1" x14ac:dyDescent="0.25"/>
    <row r="5743" ht="15.75" customHeight="1" x14ac:dyDescent="0.25"/>
    <row r="5744" ht="15.75" customHeight="1" x14ac:dyDescent="0.25"/>
    <row r="5745" ht="15.75" customHeight="1" x14ac:dyDescent="0.25"/>
    <row r="5746" ht="15.75" customHeight="1" x14ac:dyDescent="0.25"/>
    <row r="5747" ht="15.75" customHeight="1" x14ac:dyDescent="0.25"/>
    <row r="5748" ht="15.75" customHeight="1" x14ac:dyDescent="0.25"/>
    <row r="5749" ht="15.75" customHeight="1" x14ac:dyDescent="0.25"/>
    <row r="5750" ht="15.75" customHeight="1" x14ac:dyDescent="0.25"/>
    <row r="5751" ht="15.75" customHeight="1" x14ac:dyDescent="0.25"/>
    <row r="5752" ht="15.75" customHeight="1" x14ac:dyDescent="0.25"/>
    <row r="5753" ht="15.75" customHeight="1" x14ac:dyDescent="0.25"/>
    <row r="5754" ht="15.75" customHeight="1" x14ac:dyDescent="0.25"/>
    <row r="5755" ht="15.75" customHeight="1" x14ac:dyDescent="0.25"/>
    <row r="5756" ht="15.75" customHeight="1" x14ac:dyDescent="0.25"/>
    <row r="5757" ht="15.75" customHeight="1" x14ac:dyDescent="0.25"/>
    <row r="5758" ht="15.75" customHeight="1" x14ac:dyDescent="0.25"/>
    <row r="5759" ht="15.75" customHeight="1" x14ac:dyDescent="0.25"/>
    <row r="5760" ht="15.75" customHeight="1" x14ac:dyDescent="0.25"/>
    <row r="5761" ht="15.75" customHeight="1" x14ac:dyDescent="0.25"/>
    <row r="5762" ht="15.75" customHeight="1" x14ac:dyDescent="0.25"/>
    <row r="5763" ht="15.75" customHeight="1" x14ac:dyDescent="0.25"/>
    <row r="5764" ht="15.75" customHeight="1" x14ac:dyDescent="0.25"/>
    <row r="5765" ht="15.75" customHeight="1" x14ac:dyDescent="0.25"/>
    <row r="5766" ht="15.75" customHeight="1" x14ac:dyDescent="0.25"/>
    <row r="5767" ht="15.75" customHeight="1" x14ac:dyDescent="0.25"/>
    <row r="5768" ht="15.75" customHeight="1" x14ac:dyDescent="0.25"/>
    <row r="5769" ht="15.75" customHeight="1" x14ac:dyDescent="0.25"/>
    <row r="5770" ht="15.75" customHeight="1" x14ac:dyDescent="0.25"/>
    <row r="5771" ht="15.75" customHeight="1" x14ac:dyDescent="0.25"/>
    <row r="5772" ht="15.75" customHeight="1" x14ac:dyDescent="0.25"/>
    <row r="5773" ht="15.75" customHeight="1" x14ac:dyDescent="0.25"/>
    <row r="5774" ht="15.75" customHeight="1" x14ac:dyDescent="0.25"/>
    <row r="5775" ht="15.75" customHeight="1" x14ac:dyDescent="0.25"/>
    <row r="5776" ht="15.75" customHeight="1" x14ac:dyDescent="0.25"/>
    <row r="5777" ht="15.75" customHeight="1" x14ac:dyDescent="0.25"/>
    <row r="5778" ht="15.75" customHeight="1" x14ac:dyDescent="0.25"/>
    <row r="5779" ht="15.75" customHeight="1" x14ac:dyDescent="0.25"/>
    <row r="5780" ht="15.75" customHeight="1" x14ac:dyDescent="0.25"/>
    <row r="5781" ht="15.75" customHeight="1" x14ac:dyDescent="0.25"/>
    <row r="5782" ht="15.75" customHeight="1" x14ac:dyDescent="0.25"/>
    <row r="5783" ht="15.75" customHeight="1" x14ac:dyDescent="0.25"/>
    <row r="5784" ht="15.75" customHeight="1" x14ac:dyDescent="0.25"/>
    <row r="5785" ht="15.75" customHeight="1" x14ac:dyDescent="0.25"/>
    <row r="5786" ht="15.75" customHeight="1" x14ac:dyDescent="0.25"/>
    <row r="5787" ht="15.75" customHeight="1" x14ac:dyDescent="0.25"/>
    <row r="5788" ht="15.75" customHeight="1" x14ac:dyDescent="0.25"/>
    <row r="5789" ht="15.75" customHeight="1" x14ac:dyDescent="0.25"/>
    <row r="5790" ht="15.75" customHeight="1" x14ac:dyDescent="0.25"/>
    <row r="5791" ht="15.75" customHeight="1" x14ac:dyDescent="0.25"/>
    <row r="5792" ht="15.75" customHeight="1" x14ac:dyDescent="0.25"/>
    <row r="5793" ht="15.75" customHeight="1" x14ac:dyDescent="0.25"/>
    <row r="5794" ht="15.75" customHeight="1" x14ac:dyDescent="0.25"/>
    <row r="5795" ht="15.75" customHeight="1" x14ac:dyDescent="0.25"/>
    <row r="5796" ht="15.75" customHeight="1" x14ac:dyDescent="0.25"/>
    <row r="5797" ht="15.75" customHeight="1" x14ac:dyDescent="0.25"/>
    <row r="5798" ht="15.75" customHeight="1" x14ac:dyDescent="0.25"/>
    <row r="5799" ht="15.75" customHeight="1" x14ac:dyDescent="0.25"/>
    <row r="5800" ht="15.75" customHeight="1" x14ac:dyDescent="0.25"/>
    <row r="5801" ht="15.75" customHeight="1" x14ac:dyDescent="0.25"/>
    <row r="5802" ht="15.75" customHeight="1" x14ac:dyDescent="0.25"/>
    <row r="5803" ht="15.75" customHeight="1" x14ac:dyDescent="0.25"/>
    <row r="5804" ht="15.75" customHeight="1" x14ac:dyDescent="0.25"/>
    <row r="5805" ht="15.75" customHeight="1" x14ac:dyDescent="0.25"/>
    <row r="5806" ht="15.75" customHeight="1" x14ac:dyDescent="0.25"/>
    <row r="5807" ht="15.75" customHeight="1" x14ac:dyDescent="0.25"/>
    <row r="5808" ht="15.75" customHeight="1" x14ac:dyDescent="0.25"/>
    <row r="5809" ht="15.75" customHeight="1" x14ac:dyDescent="0.25"/>
    <row r="5810" ht="15.75" customHeight="1" x14ac:dyDescent="0.25"/>
    <row r="5811" ht="15.75" customHeight="1" x14ac:dyDescent="0.25"/>
    <row r="5812" ht="15.75" customHeight="1" x14ac:dyDescent="0.25"/>
    <row r="5813" ht="15.75" customHeight="1" x14ac:dyDescent="0.25"/>
    <row r="5814" ht="15.75" customHeight="1" x14ac:dyDescent="0.25"/>
    <row r="5815" ht="15.75" customHeight="1" x14ac:dyDescent="0.25"/>
    <row r="5816" ht="15.75" customHeight="1" x14ac:dyDescent="0.25"/>
    <row r="5817" ht="15.75" customHeight="1" x14ac:dyDescent="0.25"/>
    <row r="5818" ht="15.75" customHeight="1" x14ac:dyDescent="0.25"/>
    <row r="5819" ht="15.75" customHeight="1" x14ac:dyDescent="0.25"/>
    <row r="5820" ht="15.75" customHeight="1" x14ac:dyDescent="0.25"/>
    <row r="5821" ht="15.75" customHeight="1" x14ac:dyDescent="0.25"/>
    <row r="5822" ht="15.75" customHeight="1" x14ac:dyDescent="0.25"/>
    <row r="5823" ht="15.75" customHeight="1" x14ac:dyDescent="0.25"/>
    <row r="5824" ht="15.75" customHeight="1" x14ac:dyDescent="0.25"/>
    <row r="5825" ht="15.75" customHeight="1" x14ac:dyDescent="0.25"/>
    <row r="5826" ht="15.75" customHeight="1" x14ac:dyDescent="0.25"/>
    <row r="5827" ht="15.75" customHeight="1" x14ac:dyDescent="0.25"/>
    <row r="5828" ht="15.75" customHeight="1" x14ac:dyDescent="0.25"/>
    <row r="5829" ht="15.75" customHeight="1" x14ac:dyDescent="0.25"/>
    <row r="5830" ht="15.75" customHeight="1" x14ac:dyDescent="0.25"/>
    <row r="5831" ht="15.75" customHeight="1" x14ac:dyDescent="0.25"/>
    <row r="5832" ht="15.75" customHeight="1" x14ac:dyDescent="0.25"/>
    <row r="5833" ht="15.75" customHeight="1" x14ac:dyDescent="0.25"/>
    <row r="5834" ht="15.75" customHeight="1" x14ac:dyDescent="0.25"/>
    <row r="5835" ht="15.75" customHeight="1" x14ac:dyDescent="0.25"/>
    <row r="5836" ht="15.75" customHeight="1" x14ac:dyDescent="0.25"/>
    <row r="5837" ht="15.75" customHeight="1" x14ac:dyDescent="0.25"/>
    <row r="5838" ht="15.75" customHeight="1" x14ac:dyDescent="0.25"/>
    <row r="5839" ht="15.75" customHeight="1" x14ac:dyDescent="0.25"/>
    <row r="5840" ht="15.75" customHeight="1" x14ac:dyDescent="0.25"/>
    <row r="5841" ht="15.75" customHeight="1" x14ac:dyDescent="0.25"/>
    <row r="5842" ht="15.75" customHeight="1" x14ac:dyDescent="0.25"/>
    <row r="5843" ht="15.75" customHeight="1" x14ac:dyDescent="0.25"/>
    <row r="5844" ht="15.75" customHeight="1" x14ac:dyDescent="0.25"/>
    <row r="5845" ht="15.75" customHeight="1" x14ac:dyDescent="0.25"/>
    <row r="5846" ht="15.75" customHeight="1" x14ac:dyDescent="0.25"/>
    <row r="5847" ht="15.75" customHeight="1" x14ac:dyDescent="0.25"/>
    <row r="5848" ht="15.75" customHeight="1" x14ac:dyDescent="0.25"/>
    <row r="5849" ht="15.75" customHeight="1" x14ac:dyDescent="0.25"/>
    <row r="5850" ht="15.75" customHeight="1" x14ac:dyDescent="0.25"/>
    <row r="5851" ht="15.75" customHeight="1" x14ac:dyDescent="0.25"/>
    <row r="5852" ht="15.75" customHeight="1" x14ac:dyDescent="0.25"/>
    <row r="5853" ht="15.75" customHeight="1" x14ac:dyDescent="0.25"/>
    <row r="5854" ht="15.75" customHeight="1" x14ac:dyDescent="0.25"/>
    <row r="5855" ht="15.75" customHeight="1" x14ac:dyDescent="0.25"/>
    <row r="5856" ht="15.75" customHeight="1" x14ac:dyDescent="0.25"/>
    <row r="5857" ht="15.75" customHeight="1" x14ac:dyDescent="0.25"/>
    <row r="5858" ht="15.75" customHeight="1" x14ac:dyDescent="0.25"/>
    <row r="5859" ht="15.75" customHeight="1" x14ac:dyDescent="0.25"/>
    <row r="5860" ht="15.75" customHeight="1" x14ac:dyDescent="0.25"/>
    <row r="5861" ht="15.75" customHeight="1" x14ac:dyDescent="0.25"/>
    <row r="5862" ht="15.75" customHeight="1" x14ac:dyDescent="0.25"/>
    <row r="5863" ht="15.75" customHeight="1" x14ac:dyDescent="0.25"/>
    <row r="5864" ht="15.75" customHeight="1" x14ac:dyDescent="0.25"/>
    <row r="5865" ht="15.75" customHeight="1" x14ac:dyDescent="0.25"/>
    <row r="5866" ht="15.75" customHeight="1" x14ac:dyDescent="0.25"/>
    <row r="5867" ht="15.75" customHeight="1" x14ac:dyDescent="0.25"/>
    <row r="5868" ht="15.75" customHeight="1" x14ac:dyDescent="0.25"/>
    <row r="5869" ht="15.75" customHeight="1" x14ac:dyDescent="0.25"/>
    <row r="5870" ht="15.75" customHeight="1" x14ac:dyDescent="0.25"/>
    <row r="5871" ht="15.75" customHeight="1" x14ac:dyDescent="0.25"/>
    <row r="5872" ht="15.75" customHeight="1" x14ac:dyDescent="0.25"/>
    <row r="5873" ht="15.75" customHeight="1" x14ac:dyDescent="0.25"/>
    <row r="5874" ht="15.75" customHeight="1" x14ac:dyDescent="0.25"/>
    <row r="5875" ht="15.75" customHeight="1" x14ac:dyDescent="0.25"/>
    <row r="5876" ht="15.75" customHeight="1" x14ac:dyDescent="0.25"/>
    <row r="5877" ht="15.75" customHeight="1" x14ac:dyDescent="0.25"/>
    <row r="5878" ht="15.75" customHeight="1" x14ac:dyDescent="0.25"/>
    <row r="5879" ht="15.75" customHeight="1" x14ac:dyDescent="0.25"/>
    <row r="5880" ht="15.75" customHeight="1" x14ac:dyDescent="0.25"/>
    <row r="5881" ht="15.75" customHeight="1" x14ac:dyDescent="0.25"/>
    <row r="5882" ht="15.75" customHeight="1" x14ac:dyDescent="0.25"/>
    <row r="5883" ht="15.75" customHeight="1" x14ac:dyDescent="0.25"/>
    <row r="5884" ht="15.75" customHeight="1" x14ac:dyDescent="0.25"/>
    <row r="5885" ht="15.75" customHeight="1" x14ac:dyDescent="0.25"/>
    <row r="5886" ht="15.75" customHeight="1" x14ac:dyDescent="0.25"/>
    <row r="5887" ht="15.75" customHeight="1" x14ac:dyDescent="0.25"/>
    <row r="5888" ht="15.75" customHeight="1" x14ac:dyDescent="0.25"/>
    <row r="5889" ht="15.75" customHeight="1" x14ac:dyDescent="0.25"/>
    <row r="5890" ht="15.75" customHeight="1" x14ac:dyDescent="0.25"/>
    <row r="5891" ht="15.75" customHeight="1" x14ac:dyDescent="0.25"/>
    <row r="5892" ht="15.75" customHeight="1" x14ac:dyDescent="0.25"/>
    <row r="5893" ht="15.75" customHeight="1" x14ac:dyDescent="0.25"/>
    <row r="5894" ht="15.75" customHeight="1" x14ac:dyDescent="0.25"/>
    <row r="5895" ht="15.75" customHeight="1" x14ac:dyDescent="0.25"/>
    <row r="5896" ht="15.75" customHeight="1" x14ac:dyDescent="0.25"/>
    <row r="5897" ht="15.75" customHeight="1" x14ac:dyDescent="0.25"/>
    <row r="5898" ht="15.75" customHeight="1" x14ac:dyDescent="0.25"/>
    <row r="5899" ht="15.75" customHeight="1" x14ac:dyDescent="0.25"/>
    <row r="5900" ht="15.75" customHeight="1" x14ac:dyDescent="0.25"/>
    <row r="5901" ht="15.75" customHeight="1" x14ac:dyDescent="0.25"/>
    <row r="5902" ht="15.75" customHeight="1" x14ac:dyDescent="0.25"/>
    <row r="5903" ht="15.75" customHeight="1" x14ac:dyDescent="0.25"/>
    <row r="5904" ht="15.75" customHeight="1" x14ac:dyDescent="0.25"/>
    <row r="5905" ht="15.75" customHeight="1" x14ac:dyDescent="0.25"/>
    <row r="5906" ht="15.75" customHeight="1" x14ac:dyDescent="0.25"/>
    <row r="5907" ht="15.75" customHeight="1" x14ac:dyDescent="0.25"/>
    <row r="5908" ht="15.75" customHeight="1" x14ac:dyDescent="0.25"/>
    <row r="5909" ht="15.75" customHeight="1" x14ac:dyDescent="0.25"/>
    <row r="5910" ht="15.75" customHeight="1" x14ac:dyDescent="0.25"/>
    <row r="5911" ht="15.75" customHeight="1" x14ac:dyDescent="0.25"/>
    <row r="5912" ht="15.75" customHeight="1" x14ac:dyDescent="0.25"/>
    <row r="5913" ht="15.75" customHeight="1" x14ac:dyDescent="0.25"/>
    <row r="5914" ht="15.75" customHeight="1" x14ac:dyDescent="0.25"/>
    <row r="5915" ht="15.75" customHeight="1" x14ac:dyDescent="0.25"/>
    <row r="5916" ht="15.75" customHeight="1" x14ac:dyDescent="0.25"/>
    <row r="5917" ht="15.75" customHeight="1" x14ac:dyDescent="0.25"/>
    <row r="5918" ht="15.75" customHeight="1" x14ac:dyDescent="0.25"/>
    <row r="5919" ht="15.75" customHeight="1" x14ac:dyDescent="0.25"/>
    <row r="5920" ht="15.75" customHeight="1" x14ac:dyDescent="0.25"/>
    <row r="5921" ht="15.75" customHeight="1" x14ac:dyDescent="0.25"/>
    <row r="5922" ht="15.75" customHeight="1" x14ac:dyDescent="0.25"/>
    <row r="5923" ht="15.75" customHeight="1" x14ac:dyDescent="0.25"/>
    <row r="5924" ht="15.75" customHeight="1" x14ac:dyDescent="0.25"/>
    <row r="5925" ht="15.75" customHeight="1" x14ac:dyDescent="0.25"/>
    <row r="5926" ht="15.75" customHeight="1" x14ac:dyDescent="0.25"/>
    <row r="5927" ht="15.75" customHeight="1" x14ac:dyDescent="0.25"/>
    <row r="5928" ht="15.75" customHeight="1" x14ac:dyDescent="0.25"/>
    <row r="5929" ht="15.75" customHeight="1" x14ac:dyDescent="0.25"/>
    <row r="5930" ht="15.75" customHeight="1" x14ac:dyDescent="0.25"/>
    <row r="5931" ht="15.75" customHeight="1" x14ac:dyDescent="0.25"/>
    <row r="5932" ht="15.75" customHeight="1" x14ac:dyDescent="0.25"/>
    <row r="5933" ht="15.75" customHeight="1" x14ac:dyDescent="0.25"/>
    <row r="5934" ht="15.75" customHeight="1" x14ac:dyDescent="0.25"/>
    <row r="5935" ht="15.75" customHeight="1" x14ac:dyDescent="0.25"/>
    <row r="5936" ht="15.75" customHeight="1" x14ac:dyDescent="0.25"/>
    <row r="5937" ht="15.75" customHeight="1" x14ac:dyDescent="0.25"/>
    <row r="5938" ht="15.75" customHeight="1" x14ac:dyDescent="0.25"/>
    <row r="5939" ht="15.75" customHeight="1" x14ac:dyDescent="0.25"/>
    <row r="5940" ht="15.75" customHeight="1" x14ac:dyDescent="0.25"/>
    <row r="5941" ht="15.75" customHeight="1" x14ac:dyDescent="0.25"/>
    <row r="5942" ht="15.75" customHeight="1" x14ac:dyDescent="0.25"/>
    <row r="5943" ht="15.75" customHeight="1" x14ac:dyDescent="0.25"/>
    <row r="5944" ht="15.75" customHeight="1" x14ac:dyDescent="0.25"/>
    <row r="5945" ht="15.75" customHeight="1" x14ac:dyDescent="0.25"/>
    <row r="5946" ht="15.75" customHeight="1" x14ac:dyDescent="0.25"/>
    <row r="5947" ht="15.75" customHeight="1" x14ac:dyDescent="0.25"/>
    <row r="5948" ht="15.75" customHeight="1" x14ac:dyDescent="0.25"/>
    <row r="5949" ht="15.75" customHeight="1" x14ac:dyDescent="0.25"/>
    <row r="5950" ht="15.75" customHeight="1" x14ac:dyDescent="0.25"/>
    <row r="5951" ht="15.75" customHeight="1" x14ac:dyDescent="0.25"/>
    <row r="5952" ht="15.75" customHeight="1" x14ac:dyDescent="0.25"/>
    <row r="5953" ht="15.75" customHeight="1" x14ac:dyDescent="0.25"/>
    <row r="5954" ht="15.75" customHeight="1" x14ac:dyDescent="0.25"/>
    <row r="5955" ht="15.75" customHeight="1" x14ac:dyDescent="0.25"/>
    <row r="5956" ht="15.75" customHeight="1" x14ac:dyDescent="0.25"/>
    <row r="5957" ht="15.75" customHeight="1" x14ac:dyDescent="0.25"/>
    <row r="5958" ht="15.75" customHeight="1" x14ac:dyDescent="0.25"/>
    <row r="5959" ht="15.75" customHeight="1" x14ac:dyDescent="0.25"/>
    <row r="5960" ht="15.75" customHeight="1" x14ac:dyDescent="0.25"/>
    <row r="5961" ht="15.75" customHeight="1" x14ac:dyDescent="0.25"/>
    <row r="5962" ht="15.75" customHeight="1" x14ac:dyDescent="0.25"/>
    <row r="5963" ht="15.75" customHeight="1" x14ac:dyDescent="0.25"/>
    <row r="5964" ht="15.75" customHeight="1" x14ac:dyDescent="0.25"/>
    <row r="5965" ht="15.75" customHeight="1" x14ac:dyDescent="0.25"/>
    <row r="5966" ht="15.75" customHeight="1" x14ac:dyDescent="0.25"/>
    <row r="5967" ht="15.75" customHeight="1" x14ac:dyDescent="0.25"/>
    <row r="5968" ht="15.75" customHeight="1" x14ac:dyDescent="0.25"/>
    <row r="5969" ht="15.75" customHeight="1" x14ac:dyDescent="0.25"/>
    <row r="5970" ht="15.75" customHeight="1" x14ac:dyDescent="0.25"/>
    <row r="5971" ht="15.75" customHeight="1" x14ac:dyDescent="0.25"/>
    <row r="5972" ht="15.75" customHeight="1" x14ac:dyDescent="0.25"/>
    <row r="5973" ht="15.75" customHeight="1" x14ac:dyDescent="0.25"/>
    <row r="5974" ht="15.75" customHeight="1" x14ac:dyDescent="0.25"/>
    <row r="5975" ht="15.75" customHeight="1" x14ac:dyDescent="0.25"/>
    <row r="5976" ht="15.75" customHeight="1" x14ac:dyDescent="0.25"/>
    <row r="5977" ht="15.75" customHeight="1" x14ac:dyDescent="0.25"/>
    <row r="5978" ht="15.75" customHeight="1" x14ac:dyDescent="0.25"/>
    <row r="5979" ht="15.75" customHeight="1" x14ac:dyDescent="0.25"/>
    <row r="5980" ht="15.75" customHeight="1" x14ac:dyDescent="0.25"/>
    <row r="5981" ht="15.75" customHeight="1" x14ac:dyDescent="0.25"/>
    <row r="5982" ht="15.75" customHeight="1" x14ac:dyDescent="0.25"/>
    <row r="5983" ht="15.75" customHeight="1" x14ac:dyDescent="0.25"/>
    <row r="5984" ht="15.75" customHeight="1" x14ac:dyDescent="0.25"/>
    <row r="5985" ht="15.75" customHeight="1" x14ac:dyDescent="0.25"/>
    <row r="5986" ht="15.75" customHeight="1" x14ac:dyDescent="0.25"/>
    <row r="5987" ht="15.75" customHeight="1" x14ac:dyDescent="0.25"/>
    <row r="5988" ht="15.75" customHeight="1" x14ac:dyDescent="0.25"/>
    <row r="5989" ht="15.75" customHeight="1" x14ac:dyDescent="0.25"/>
    <row r="5990" ht="15.75" customHeight="1" x14ac:dyDescent="0.25"/>
    <row r="5991" ht="15.75" customHeight="1" x14ac:dyDescent="0.25"/>
    <row r="5992" ht="15.75" customHeight="1" x14ac:dyDescent="0.25"/>
    <row r="5993" ht="15.75" customHeight="1" x14ac:dyDescent="0.25"/>
    <row r="5994" ht="15.75" customHeight="1" x14ac:dyDescent="0.25"/>
    <row r="5995" ht="15.75" customHeight="1" x14ac:dyDescent="0.25"/>
    <row r="5996" ht="15.75" customHeight="1" x14ac:dyDescent="0.25"/>
    <row r="5997" ht="15.75" customHeight="1" x14ac:dyDescent="0.25"/>
    <row r="5998" ht="15.75" customHeight="1" x14ac:dyDescent="0.25"/>
    <row r="5999" ht="15.75" customHeight="1" x14ac:dyDescent="0.25"/>
    <row r="6000" ht="15.75" customHeight="1" x14ac:dyDescent="0.25"/>
    <row r="6001" ht="15.75" customHeight="1" x14ac:dyDescent="0.25"/>
    <row r="6002" ht="15.75" customHeight="1" x14ac:dyDescent="0.25"/>
    <row r="6003" ht="15.75" customHeight="1" x14ac:dyDescent="0.25"/>
    <row r="6004" ht="15.75" customHeight="1" x14ac:dyDescent="0.25"/>
    <row r="6005" ht="15.75" customHeight="1" x14ac:dyDescent="0.25"/>
    <row r="6006" ht="15.75" customHeight="1" x14ac:dyDescent="0.25"/>
    <row r="6007" ht="15.75" customHeight="1" x14ac:dyDescent="0.25"/>
    <row r="6008" ht="15.75" customHeight="1" x14ac:dyDescent="0.25"/>
    <row r="6009" ht="15.75" customHeight="1" x14ac:dyDescent="0.25"/>
    <row r="6010" ht="15.75" customHeight="1" x14ac:dyDescent="0.25"/>
    <row r="6011" ht="15.75" customHeight="1" x14ac:dyDescent="0.25"/>
    <row r="6012" ht="15.75" customHeight="1" x14ac:dyDescent="0.25"/>
    <row r="6013" ht="15.75" customHeight="1" x14ac:dyDescent="0.25"/>
    <row r="6014" ht="15.75" customHeight="1" x14ac:dyDescent="0.25"/>
    <row r="6015" ht="15.75" customHeight="1" x14ac:dyDescent="0.25"/>
    <row r="6016" ht="15.75" customHeight="1" x14ac:dyDescent="0.25"/>
    <row r="6017" ht="15.75" customHeight="1" x14ac:dyDescent="0.25"/>
    <row r="6018" ht="15.75" customHeight="1" x14ac:dyDescent="0.25"/>
    <row r="6019" ht="15.75" customHeight="1" x14ac:dyDescent="0.25"/>
    <row r="6020" ht="15.75" customHeight="1" x14ac:dyDescent="0.25"/>
    <row r="6021" ht="15.75" customHeight="1" x14ac:dyDescent="0.25"/>
    <row r="6022" ht="15.75" customHeight="1" x14ac:dyDescent="0.25"/>
    <row r="6023" ht="15.75" customHeight="1" x14ac:dyDescent="0.25"/>
    <row r="6024" ht="15.75" customHeight="1" x14ac:dyDescent="0.25"/>
    <row r="6025" ht="15.75" customHeight="1" x14ac:dyDescent="0.25"/>
    <row r="6026" ht="15.75" customHeight="1" x14ac:dyDescent="0.25"/>
    <row r="6027" ht="15.75" customHeight="1" x14ac:dyDescent="0.25"/>
    <row r="6028" ht="15.75" customHeight="1" x14ac:dyDescent="0.25"/>
    <row r="6029" ht="15.75" customHeight="1" x14ac:dyDescent="0.25"/>
    <row r="6030" ht="15.75" customHeight="1" x14ac:dyDescent="0.25"/>
    <row r="6031" ht="15.75" customHeight="1" x14ac:dyDescent="0.25"/>
    <row r="6032" ht="15.75" customHeight="1" x14ac:dyDescent="0.25"/>
    <row r="6033" ht="15.75" customHeight="1" x14ac:dyDescent="0.25"/>
    <row r="6034" ht="15.75" customHeight="1" x14ac:dyDescent="0.25"/>
    <row r="6035" ht="15.75" customHeight="1" x14ac:dyDescent="0.25"/>
    <row r="6036" ht="15.75" customHeight="1" x14ac:dyDescent="0.25"/>
    <row r="6037" ht="15.75" customHeight="1" x14ac:dyDescent="0.25"/>
    <row r="6038" ht="15.75" customHeight="1" x14ac:dyDescent="0.25"/>
    <row r="6039" ht="15.75" customHeight="1" x14ac:dyDescent="0.25"/>
    <row r="6040" ht="15.75" customHeight="1" x14ac:dyDescent="0.25"/>
    <row r="6041" ht="15.75" customHeight="1" x14ac:dyDescent="0.25"/>
    <row r="6042" ht="15.75" customHeight="1" x14ac:dyDescent="0.25"/>
    <row r="6043" ht="15.75" customHeight="1" x14ac:dyDescent="0.25"/>
    <row r="6044" ht="15.75" customHeight="1" x14ac:dyDescent="0.25"/>
    <row r="6045" ht="15.75" customHeight="1" x14ac:dyDescent="0.25"/>
    <row r="6046" ht="15.75" customHeight="1" x14ac:dyDescent="0.25"/>
    <row r="6047" ht="15.75" customHeight="1" x14ac:dyDescent="0.25"/>
    <row r="6048" ht="15.75" customHeight="1" x14ac:dyDescent="0.25"/>
    <row r="6049" ht="15.75" customHeight="1" x14ac:dyDescent="0.25"/>
    <row r="6050" ht="15.75" customHeight="1" x14ac:dyDescent="0.25"/>
    <row r="6051" ht="15.75" customHeight="1" x14ac:dyDescent="0.25"/>
    <row r="6052" ht="15.75" customHeight="1" x14ac:dyDescent="0.25"/>
    <row r="6053" ht="15.75" customHeight="1" x14ac:dyDescent="0.25"/>
    <row r="6054" ht="15.75" customHeight="1" x14ac:dyDescent="0.25"/>
    <row r="6055" ht="15.75" customHeight="1" x14ac:dyDescent="0.25"/>
    <row r="6056" ht="15.75" customHeight="1" x14ac:dyDescent="0.25"/>
    <row r="6057" ht="15.75" customHeight="1" x14ac:dyDescent="0.25"/>
    <row r="6058" ht="15.75" customHeight="1" x14ac:dyDescent="0.25"/>
    <row r="6059" ht="15.75" customHeight="1" x14ac:dyDescent="0.25"/>
    <row r="6060" ht="15.75" customHeight="1" x14ac:dyDescent="0.25"/>
    <row r="6061" ht="15.75" customHeight="1" x14ac:dyDescent="0.25"/>
    <row r="6062" ht="15.75" customHeight="1" x14ac:dyDescent="0.25"/>
    <row r="6063" ht="15.75" customHeight="1" x14ac:dyDescent="0.25"/>
    <row r="6064" ht="15.75" customHeight="1" x14ac:dyDescent="0.25"/>
    <row r="6065" ht="15.75" customHeight="1" x14ac:dyDescent="0.25"/>
    <row r="6066" ht="15.75" customHeight="1" x14ac:dyDescent="0.25"/>
    <row r="6067" ht="15.75" customHeight="1" x14ac:dyDescent="0.25"/>
    <row r="6068" ht="15.75" customHeight="1" x14ac:dyDescent="0.25"/>
    <row r="6069" ht="15.75" customHeight="1" x14ac:dyDescent="0.25"/>
    <row r="6070" ht="15.75" customHeight="1" x14ac:dyDescent="0.25"/>
    <row r="6071" ht="15.75" customHeight="1" x14ac:dyDescent="0.25"/>
    <row r="6072" ht="15.75" customHeight="1" x14ac:dyDescent="0.25"/>
    <row r="6073" ht="15.75" customHeight="1" x14ac:dyDescent="0.25"/>
    <row r="6074" ht="15.75" customHeight="1" x14ac:dyDescent="0.25"/>
    <row r="6075" ht="15.75" customHeight="1" x14ac:dyDescent="0.25"/>
    <row r="6076" ht="15.75" customHeight="1" x14ac:dyDescent="0.25"/>
    <row r="6077" ht="15.75" customHeight="1" x14ac:dyDescent="0.25"/>
    <row r="6078" ht="15.75" customHeight="1" x14ac:dyDescent="0.25"/>
    <row r="6079" ht="15.75" customHeight="1" x14ac:dyDescent="0.25"/>
    <row r="6080" ht="15.75" customHeight="1" x14ac:dyDescent="0.25"/>
    <row r="6081" ht="15.75" customHeight="1" x14ac:dyDescent="0.25"/>
    <row r="6082" ht="15.75" customHeight="1" x14ac:dyDescent="0.25"/>
    <row r="6083" ht="15.75" customHeight="1" x14ac:dyDescent="0.25"/>
    <row r="6084" ht="15.75" customHeight="1" x14ac:dyDescent="0.25"/>
    <row r="6085" ht="15.75" customHeight="1" x14ac:dyDescent="0.25"/>
    <row r="6086" ht="15.75" customHeight="1" x14ac:dyDescent="0.25"/>
    <row r="6087" ht="15.75" customHeight="1" x14ac:dyDescent="0.25"/>
    <row r="6088" ht="15.75" customHeight="1" x14ac:dyDescent="0.25"/>
    <row r="6089" ht="15.75" customHeight="1" x14ac:dyDescent="0.25"/>
    <row r="6090" ht="15.75" customHeight="1" x14ac:dyDescent="0.25"/>
    <row r="6091" ht="15.75" customHeight="1" x14ac:dyDescent="0.25"/>
    <row r="6092" ht="15.75" customHeight="1" x14ac:dyDescent="0.25"/>
    <row r="6093" ht="15.75" customHeight="1" x14ac:dyDescent="0.25"/>
    <row r="6094" ht="15.75" customHeight="1" x14ac:dyDescent="0.25"/>
    <row r="6095" ht="15.75" customHeight="1" x14ac:dyDescent="0.25"/>
    <row r="6096" ht="15.75" customHeight="1" x14ac:dyDescent="0.25"/>
    <row r="6097" ht="15.75" customHeight="1" x14ac:dyDescent="0.25"/>
    <row r="6098" ht="15.75" customHeight="1" x14ac:dyDescent="0.25"/>
    <row r="6099" ht="15.75" customHeight="1" x14ac:dyDescent="0.25"/>
    <row r="6100" ht="15.75" customHeight="1" x14ac:dyDescent="0.25"/>
    <row r="6101" ht="15.75" customHeight="1" x14ac:dyDescent="0.25"/>
    <row r="6102" ht="15.75" customHeight="1" x14ac:dyDescent="0.25"/>
    <row r="6103" ht="15.75" customHeight="1" x14ac:dyDescent="0.25"/>
    <row r="6104" ht="15.75" customHeight="1" x14ac:dyDescent="0.25"/>
    <row r="6105" ht="15.75" customHeight="1" x14ac:dyDescent="0.25"/>
    <row r="6106" ht="15.75" customHeight="1" x14ac:dyDescent="0.25"/>
    <row r="6107" ht="15.75" customHeight="1" x14ac:dyDescent="0.25"/>
    <row r="6108" ht="15.75" customHeight="1" x14ac:dyDescent="0.25"/>
    <row r="6109" ht="15.75" customHeight="1" x14ac:dyDescent="0.25"/>
    <row r="6110" ht="15.75" customHeight="1" x14ac:dyDescent="0.25"/>
    <row r="6111" ht="15.75" customHeight="1" x14ac:dyDescent="0.25"/>
    <row r="6112" ht="15.75" customHeight="1" x14ac:dyDescent="0.25"/>
    <row r="6113" ht="15.75" customHeight="1" x14ac:dyDescent="0.25"/>
    <row r="6114" ht="15.75" customHeight="1" x14ac:dyDescent="0.25"/>
    <row r="6115" ht="15.75" customHeight="1" x14ac:dyDescent="0.25"/>
    <row r="6116" ht="15.75" customHeight="1" x14ac:dyDescent="0.25"/>
    <row r="6117" ht="15.75" customHeight="1" x14ac:dyDescent="0.25"/>
    <row r="6118" ht="15.75" customHeight="1" x14ac:dyDescent="0.25"/>
    <row r="6119" ht="15.75" customHeight="1" x14ac:dyDescent="0.25"/>
    <row r="6120" ht="15.75" customHeight="1" x14ac:dyDescent="0.25"/>
    <row r="6121" ht="15.75" customHeight="1" x14ac:dyDescent="0.25"/>
    <row r="6122" ht="15.75" customHeight="1" x14ac:dyDescent="0.25"/>
    <row r="6123" ht="15.75" customHeight="1" x14ac:dyDescent="0.25"/>
    <row r="6124" ht="15.75" customHeight="1" x14ac:dyDescent="0.25"/>
    <row r="6125" ht="15.75" customHeight="1" x14ac:dyDescent="0.25"/>
    <row r="6126" ht="15.75" customHeight="1" x14ac:dyDescent="0.25"/>
    <row r="6127" ht="15.75" customHeight="1" x14ac:dyDescent="0.25"/>
    <row r="6128" ht="15.75" customHeight="1" x14ac:dyDescent="0.25"/>
    <row r="6129" ht="15.75" customHeight="1" x14ac:dyDescent="0.25"/>
    <row r="6130" ht="15.75" customHeight="1" x14ac:dyDescent="0.25"/>
    <row r="6131" ht="15.75" customHeight="1" x14ac:dyDescent="0.25"/>
    <row r="6132" ht="15.75" customHeight="1" x14ac:dyDescent="0.25"/>
    <row r="6133" ht="15.75" customHeight="1" x14ac:dyDescent="0.25"/>
    <row r="6134" ht="15.75" customHeight="1" x14ac:dyDescent="0.25"/>
    <row r="6135" ht="15.75" customHeight="1" x14ac:dyDescent="0.25"/>
    <row r="6136" ht="15.75" customHeight="1" x14ac:dyDescent="0.25"/>
    <row r="6137" ht="15.75" customHeight="1" x14ac:dyDescent="0.25"/>
    <row r="6138" ht="15.75" customHeight="1" x14ac:dyDescent="0.25"/>
    <row r="6139" ht="15.75" customHeight="1" x14ac:dyDescent="0.25"/>
    <row r="6140" ht="15.75" customHeight="1" x14ac:dyDescent="0.25"/>
    <row r="6141" ht="15.75" customHeight="1" x14ac:dyDescent="0.25"/>
    <row r="6142" ht="15.75" customHeight="1" x14ac:dyDescent="0.25"/>
    <row r="6143" ht="15.75" customHeight="1" x14ac:dyDescent="0.25"/>
    <row r="6144" ht="15.75" customHeight="1" x14ac:dyDescent="0.25"/>
    <row r="6145" ht="15.75" customHeight="1" x14ac:dyDescent="0.25"/>
    <row r="6146" ht="15.75" customHeight="1" x14ac:dyDescent="0.25"/>
    <row r="6147" ht="15.75" customHeight="1" x14ac:dyDescent="0.25"/>
    <row r="6148" ht="15.75" customHeight="1" x14ac:dyDescent="0.25"/>
    <row r="6149" ht="15.75" customHeight="1" x14ac:dyDescent="0.25"/>
    <row r="6150" ht="15.75" customHeight="1" x14ac:dyDescent="0.25"/>
    <row r="6151" ht="15.75" customHeight="1" x14ac:dyDescent="0.25"/>
    <row r="6152" ht="15.75" customHeight="1" x14ac:dyDescent="0.25"/>
    <row r="6153" ht="15.75" customHeight="1" x14ac:dyDescent="0.25"/>
    <row r="6154" ht="15.75" customHeight="1" x14ac:dyDescent="0.25"/>
    <row r="6155" ht="15.75" customHeight="1" x14ac:dyDescent="0.25"/>
    <row r="6156" ht="15.75" customHeight="1" x14ac:dyDescent="0.25"/>
    <row r="6157" ht="15.75" customHeight="1" x14ac:dyDescent="0.25"/>
    <row r="6158" ht="15.75" customHeight="1" x14ac:dyDescent="0.25"/>
    <row r="6159" ht="15.75" customHeight="1" x14ac:dyDescent="0.25"/>
    <row r="6160" ht="15.75" customHeight="1" x14ac:dyDescent="0.25"/>
    <row r="6161" ht="15.75" customHeight="1" x14ac:dyDescent="0.25"/>
    <row r="6162" ht="15.75" customHeight="1" x14ac:dyDescent="0.25"/>
    <row r="6163" ht="15.75" customHeight="1" x14ac:dyDescent="0.25"/>
    <row r="6164" ht="15.75" customHeight="1" x14ac:dyDescent="0.25"/>
    <row r="6165" ht="15.75" customHeight="1" x14ac:dyDescent="0.25"/>
    <row r="6166" ht="15.75" customHeight="1" x14ac:dyDescent="0.25"/>
    <row r="6167" ht="15.75" customHeight="1" x14ac:dyDescent="0.25"/>
    <row r="6168" ht="15.75" customHeight="1" x14ac:dyDescent="0.25"/>
    <row r="6169" ht="15.75" customHeight="1" x14ac:dyDescent="0.25"/>
    <row r="6170" ht="15.75" customHeight="1" x14ac:dyDescent="0.25"/>
    <row r="6171" ht="15.75" customHeight="1" x14ac:dyDescent="0.25"/>
    <row r="6172" ht="15.75" customHeight="1" x14ac:dyDescent="0.25"/>
    <row r="6173" ht="15.75" customHeight="1" x14ac:dyDescent="0.25"/>
    <row r="6174" ht="15.75" customHeight="1" x14ac:dyDescent="0.25"/>
    <row r="6175" ht="15.75" customHeight="1" x14ac:dyDescent="0.25"/>
    <row r="6176" ht="15.75" customHeight="1" x14ac:dyDescent="0.25"/>
    <row r="6177" ht="15.75" customHeight="1" x14ac:dyDescent="0.25"/>
    <row r="6178" ht="15.75" customHeight="1" x14ac:dyDescent="0.25"/>
    <row r="6179" ht="15.75" customHeight="1" x14ac:dyDescent="0.25"/>
    <row r="6180" ht="15.75" customHeight="1" x14ac:dyDescent="0.25"/>
    <row r="6181" ht="15.75" customHeight="1" x14ac:dyDescent="0.25"/>
    <row r="6182" ht="15.75" customHeight="1" x14ac:dyDescent="0.25"/>
    <row r="6183" ht="15.75" customHeight="1" x14ac:dyDescent="0.25"/>
    <row r="6184" ht="15.75" customHeight="1" x14ac:dyDescent="0.25"/>
    <row r="6185" ht="15.75" customHeight="1" x14ac:dyDescent="0.25"/>
    <row r="6186" ht="15.75" customHeight="1" x14ac:dyDescent="0.25"/>
    <row r="6187" ht="15.75" customHeight="1" x14ac:dyDescent="0.25"/>
    <row r="6188" ht="15.75" customHeight="1" x14ac:dyDescent="0.25"/>
    <row r="6189" ht="15.75" customHeight="1" x14ac:dyDescent="0.25"/>
    <row r="6190" ht="15.75" customHeight="1" x14ac:dyDescent="0.25"/>
    <row r="6191" ht="15.75" customHeight="1" x14ac:dyDescent="0.25"/>
    <row r="6192" ht="15.75" customHeight="1" x14ac:dyDescent="0.25"/>
    <row r="6193" ht="15.75" customHeight="1" x14ac:dyDescent="0.25"/>
    <row r="6194" ht="15.75" customHeight="1" x14ac:dyDescent="0.25"/>
    <row r="6195" ht="15.75" customHeight="1" x14ac:dyDescent="0.25"/>
    <row r="6196" ht="15.75" customHeight="1" x14ac:dyDescent="0.25"/>
    <row r="6197" ht="15.75" customHeight="1" x14ac:dyDescent="0.25"/>
    <row r="6198" ht="15.75" customHeight="1" x14ac:dyDescent="0.25"/>
    <row r="6199" ht="15.75" customHeight="1" x14ac:dyDescent="0.25"/>
    <row r="6200" ht="15.75" customHeight="1" x14ac:dyDescent="0.25"/>
    <row r="6201" ht="15.75" customHeight="1" x14ac:dyDescent="0.25"/>
    <row r="6202" ht="15.75" customHeight="1" x14ac:dyDescent="0.25"/>
    <row r="6203" ht="15.75" customHeight="1" x14ac:dyDescent="0.25"/>
    <row r="6204" ht="15.75" customHeight="1" x14ac:dyDescent="0.25"/>
    <row r="6205" ht="15.75" customHeight="1" x14ac:dyDescent="0.25"/>
    <row r="6206" ht="15.75" customHeight="1" x14ac:dyDescent="0.25"/>
    <row r="6207" ht="15.75" customHeight="1" x14ac:dyDescent="0.25"/>
    <row r="6208" ht="15.75" customHeight="1" x14ac:dyDescent="0.25"/>
    <row r="6209" ht="15.75" customHeight="1" x14ac:dyDescent="0.25"/>
    <row r="6210" ht="15.75" customHeight="1" x14ac:dyDescent="0.25"/>
    <row r="6211" ht="15.75" customHeight="1" x14ac:dyDescent="0.25"/>
    <row r="6212" ht="15.75" customHeight="1" x14ac:dyDescent="0.25"/>
    <row r="6213" ht="15.75" customHeight="1" x14ac:dyDescent="0.25"/>
    <row r="6214" ht="15.75" customHeight="1" x14ac:dyDescent="0.25"/>
    <row r="6215" ht="15.75" customHeight="1" x14ac:dyDescent="0.25"/>
    <row r="6216" ht="15.75" customHeight="1" x14ac:dyDescent="0.25"/>
    <row r="6217" ht="15.75" customHeight="1" x14ac:dyDescent="0.25"/>
    <row r="6218" ht="15.75" customHeight="1" x14ac:dyDescent="0.25"/>
    <row r="6219" ht="15.75" customHeight="1" x14ac:dyDescent="0.25"/>
    <row r="6220" ht="15.75" customHeight="1" x14ac:dyDescent="0.25"/>
    <row r="6221" ht="15.75" customHeight="1" x14ac:dyDescent="0.25"/>
    <row r="6222" ht="15.75" customHeight="1" x14ac:dyDescent="0.25"/>
    <row r="6223" ht="15.75" customHeight="1" x14ac:dyDescent="0.25"/>
    <row r="6224" ht="15.75" customHeight="1" x14ac:dyDescent="0.25"/>
    <row r="6225" ht="15.75" customHeight="1" x14ac:dyDescent="0.25"/>
    <row r="6226" ht="15.75" customHeight="1" x14ac:dyDescent="0.25"/>
    <row r="6227" ht="15.75" customHeight="1" x14ac:dyDescent="0.25"/>
    <row r="6228" ht="15.75" customHeight="1" x14ac:dyDescent="0.25"/>
    <row r="6229" ht="15.75" customHeight="1" x14ac:dyDescent="0.25"/>
    <row r="6230" ht="15.75" customHeight="1" x14ac:dyDescent="0.25"/>
    <row r="6231" ht="15.75" customHeight="1" x14ac:dyDescent="0.25"/>
    <row r="6232" ht="15.75" customHeight="1" x14ac:dyDescent="0.25"/>
    <row r="6233" ht="15.75" customHeight="1" x14ac:dyDescent="0.25"/>
    <row r="6234" ht="15.75" customHeight="1" x14ac:dyDescent="0.25"/>
    <row r="6235" ht="15.75" customHeight="1" x14ac:dyDescent="0.25"/>
    <row r="6236" ht="15.75" customHeight="1" x14ac:dyDescent="0.25"/>
    <row r="6237" ht="15.75" customHeight="1" x14ac:dyDescent="0.25"/>
    <row r="6238" ht="15.75" customHeight="1" x14ac:dyDescent="0.25"/>
    <row r="6239" ht="15.75" customHeight="1" x14ac:dyDescent="0.25"/>
    <row r="6240" ht="15.75" customHeight="1" x14ac:dyDescent="0.25"/>
    <row r="6241" ht="15.75" customHeight="1" x14ac:dyDescent="0.25"/>
    <row r="6242" ht="15.75" customHeight="1" x14ac:dyDescent="0.25"/>
    <row r="6243" ht="15.75" customHeight="1" x14ac:dyDescent="0.25"/>
    <row r="6244" ht="15.75" customHeight="1" x14ac:dyDescent="0.25"/>
    <row r="6245" ht="15.75" customHeight="1" x14ac:dyDescent="0.25"/>
    <row r="6246" ht="15.75" customHeight="1" x14ac:dyDescent="0.25"/>
    <row r="6247" ht="15.75" customHeight="1" x14ac:dyDescent="0.25"/>
    <row r="6248" ht="15.75" customHeight="1" x14ac:dyDescent="0.25"/>
    <row r="6249" ht="15.75" customHeight="1" x14ac:dyDescent="0.25"/>
    <row r="6250" ht="15.75" customHeight="1" x14ac:dyDescent="0.25"/>
    <row r="6251" ht="15.75" customHeight="1" x14ac:dyDescent="0.25"/>
    <row r="6252" ht="15.75" customHeight="1" x14ac:dyDescent="0.25"/>
    <row r="6253" ht="15.75" customHeight="1" x14ac:dyDescent="0.25"/>
    <row r="6254" ht="15.75" customHeight="1" x14ac:dyDescent="0.25"/>
    <row r="6255" ht="15.75" customHeight="1" x14ac:dyDescent="0.25"/>
    <row r="6256" ht="15.75" customHeight="1" x14ac:dyDescent="0.25"/>
    <row r="6257" ht="15.75" customHeight="1" x14ac:dyDescent="0.25"/>
    <row r="6258" ht="15.75" customHeight="1" x14ac:dyDescent="0.25"/>
    <row r="6259" ht="15.75" customHeight="1" x14ac:dyDescent="0.25"/>
    <row r="6260" ht="15.75" customHeight="1" x14ac:dyDescent="0.25"/>
    <row r="6261" ht="15.75" customHeight="1" x14ac:dyDescent="0.25"/>
    <row r="6262" ht="15.75" customHeight="1" x14ac:dyDescent="0.25"/>
    <row r="6263" ht="15.75" customHeight="1" x14ac:dyDescent="0.25"/>
    <row r="6264" ht="15.75" customHeight="1" x14ac:dyDescent="0.25"/>
    <row r="6265" ht="15.75" customHeight="1" x14ac:dyDescent="0.25"/>
    <row r="6266" ht="15.75" customHeight="1" x14ac:dyDescent="0.25"/>
    <row r="6267" ht="15.75" customHeight="1" x14ac:dyDescent="0.25"/>
    <row r="6268" ht="15.75" customHeight="1" x14ac:dyDescent="0.25"/>
    <row r="6269" ht="15.75" customHeight="1" x14ac:dyDescent="0.25"/>
    <row r="6270" ht="15.75" customHeight="1" x14ac:dyDescent="0.25"/>
    <row r="6271" ht="15.75" customHeight="1" x14ac:dyDescent="0.25"/>
    <row r="6272" ht="15.75" customHeight="1" x14ac:dyDescent="0.25"/>
    <row r="6273" ht="15.75" customHeight="1" x14ac:dyDescent="0.25"/>
    <row r="6274" ht="15.75" customHeight="1" x14ac:dyDescent="0.25"/>
    <row r="6275" ht="15.75" customHeight="1" x14ac:dyDescent="0.25"/>
    <row r="6276" ht="15.75" customHeight="1" x14ac:dyDescent="0.25"/>
    <row r="6277" ht="15.75" customHeight="1" x14ac:dyDescent="0.25"/>
    <row r="6278" ht="15.75" customHeight="1" x14ac:dyDescent="0.25"/>
    <row r="6279" ht="15.75" customHeight="1" x14ac:dyDescent="0.25"/>
    <row r="6280" ht="15.75" customHeight="1" x14ac:dyDescent="0.25"/>
    <row r="6281" ht="15.75" customHeight="1" x14ac:dyDescent="0.25"/>
    <row r="6282" ht="15.75" customHeight="1" x14ac:dyDescent="0.25"/>
    <row r="6283" ht="15.75" customHeight="1" x14ac:dyDescent="0.25"/>
    <row r="6284" ht="15.75" customHeight="1" x14ac:dyDescent="0.25"/>
    <row r="6285" ht="15.75" customHeight="1" x14ac:dyDescent="0.25"/>
    <row r="6286" ht="15.75" customHeight="1" x14ac:dyDescent="0.25"/>
    <row r="6287" ht="15.75" customHeight="1" x14ac:dyDescent="0.25"/>
    <row r="6288" ht="15.75" customHeight="1" x14ac:dyDescent="0.25"/>
    <row r="6289" ht="15.75" customHeight="1" x14ac:dyDescent="0.25"/>
    <row r="6290" ht="15.75" customHeight="1" x14ac:dyDescent="0.25"/>
    <row r="6291" ht="15.75" customHeight="1" x14ac:dyDescent="0.25"/>
    <row r="6292" ht="15.75" customHeight="1" x14ac:dyDescent="0.25"/>
    <row r="6293" ht="15.75" customHeight="1" x14ac:dyDescent="0.25"/>
    <row r="6294" ht="15.75" customHeight="1" x14ac:dyDescent="0.25"/>
    <row r="6295" ht="15.75" customHeight="1" x14ac:dyDescent="0.25"/>
    <row r="6296" ht="15.75" customHeight="1" x14ac:dyDescent="0.25"/>
    <row r="6297" ht="15.75" customHeight="1" x14ac:dyDescent="0.25"/>
    <row r="6298" ht="15.75" customHeight="1" x14ac:dyDescent="0.25"/>
    <row r="6299" ht="15.75" customHeight="1" x14ac:dyDescent="0.25"/>
    <row r="6300" ht="15.75" customHeight="1" x14ac:dyDescent="0.25"/>
    <row r="6301" ht="15.75" customHeight="1" x14ac:dyDescent="0.25"/>
    <row r="6302" ht="15.75" customHeight="1" x14ac:dyDescent="0.25"/>
    <row r="6303" ht="15.75" customHeight="1" x14ac:dyDescent="0.25"/>
    <row r="6304" ht="15.75" customHeight="1" x14ac:dyDescent="0.25"/>
    <row r="6305" ht="15.75" customHeight="1" x14ac:dyDescent="0.25"/>
    <row r="6306" ht="15.75" customHeight="1" x14ac:dyDescent="0.25"/>
    <row r="6307" ht="15.75" customHeight="1" x14ac:dyDescent="0.25"/>
    <row r="6308" ht="15.75" customHeight="1" x14ac:dyDescent="0.25"/>
    <row r="6309" ht="15.75" customHeight="1" x14ac:dyDescent="0.25"/>
    <row r="6310" ht="15.75" customHeight="1" x14ac:dyDescent="0.25"/>
    <row r="6311" ht="15.75" customHeight="1" x14ac:dyDescent="0.25"/>
    <row r="6312" ht="15.75" customHeight="1" x14ac:dyDescent="0.25"/>
    <row r="6313" ht="15.75" customHeight="1" x14ac:dyDescent="0.25"/>
    <row r="6314" ht="15.75" customHeight="1" x14ac:dyDescent="0.25"/>
    <row r="6315" ht="15.75" customHeight="1" x14ac:dyDescent="0.25"/>
    <row r="6316" ht="15.75" customHeight="1" x14ac:dyDescent="0.25"/>
    <row r="6317" ht="15.75" customHeight="1" x14ac:dyDescent="0.25"/>
    <row r="6318" ht="15.75" customHeight="1" x14ac:dyDescent="0.25"/>
    <row r="6319" ht="15.75" customHeight="1" x14ac:dyDescent="0.25"/>
    <row r="6320" ht="15.75" customHeight="1" x14ac:dyDescent="0.25"/>
    <row r="6321" ht="15.75" customHeight="1" x14ac:dyDescent="0.25"/>
    <row r="6322" ht="15.75" customHeight="1" x14ac:dyDescent="0.25"/>
    <row r="6323" ht="15.75" customHeight="1" x14ac:dyDescent="0.25"/>
    <row r="6324" ht="15.75" customHeight="1" x14ac:dyDescent="0.25"/>
    <row r="6325" ht="15.75" customHeight="1" x14ac:dyDescent="0.25"/>
    <row r="6326" ht="15.75" customHeight="1" x14ac:dyDescent="0.25"/>
    <row r="6327" ht="15.75" customHeight="1" x14ac:dyDescent="0.25"/>
    <row r="6328" ht="15.75" customHeight="1" x14ac:dyDescent="0.25"/>
    <row r="6329" ht="15.75" customHeight="1" x14ac:dyDescent="0.25"/>
    <row r="6330" ht="15.75" customHeight="1" x14ac:dyDescent="0.25"/>
    <row r="6331" ht="15.75" customHeight="1" x14ac:dyDescent="0.25"/>
    <row r="6332" ht="15.75" customHeight="1" x14ac:dyDescent="0.25"/>
    <row r="6333" ht="15.75" customHeight="1" x14ac:dyDescent="0.25"/>
    <row r="6334" ht="15.75" customHeight="1" x14ac:dyDescent="0.25"/>
    <row r="6335" ht="15.75" customHeight="1" x14ac:dyDescent="0.25"/>
    <row r="6336" ht="15.75" customHeight="1" x14ac:dyDescent="0.25"/>
    <row r="6337" ht="15.75" customHeight="1" x14ac:dyDescent="0.25"/>
    <row r="6338" ht="15.75" customHeight="1" x14ac:dyDescent="0.25"/>
    <row r="6339" ht="15.75" customHeight="1" x14ac:dyDescent="0.25"/>
    <row r="6340" ht="15.75" customHeight="1" x14ac:dyDescent="0.25"/>
    <row r="6341" ht="15.75" customHeight="1" x14ac:dyDescent="0.25"/>
    <row r="6342" ht="15.75" customHeight="1" x14ac:dyDescent="0.25"/>
    <row r="6343" ht="15.75" customHeight="1" x14ac:dyDescent="0.25"/>
    <row r="6344" ht="15.75" customHeight="1" x14ac:dyDescent="0.25"/>
    <row r="6345" ht="15.75" customHeight="1" x14ac:dyDescent="0.25"/>
    <row r="6346" ht="15.75" customHeight="1" x14ac:dyDescent="0.25"/>
    <row r="6347" ht="15.75" customHeight="1" x14ac:dyDescent="0.25"/>
    <row r="6348" ht="15.75" customHeight="1" x14ac:dyDescent="0.25"/>
    <row r="6349" ht="15.75" customHeight="1" x14ac:dyDescent="0.25"/>
    <row r="6350" ht="15.75" customHeight="1" x14ac:dyDescent="0.25"/>
    <row r="6351" ht="15.75" customHeight="1" x14ac:dyDescent="0.25"/>
    <row r="6352" ht="15.75" customHeight="1" x14ac:dyDescent="0.25"/>
    <row r="6353" ht="15.75" customHeight="1" x14ac:dyDescent="0.25"/>
    <row r="6354" ht="15.75" customHeight="1" x14ac:dyDescent="0.25"/>
    <row r="6355" ht="15.75" customHeight="1" x14ac:dyDescent="0.25"/>
    <row r="6356" ht="15.75" customHeight="1" x14ac:dyDescent="0.25"/>
    <row r="6357" ht="15.75" customHeight="1" x14ac:dyDescent="0.25"/>
    <row r="6358" ht="15.75" customHeight="1" x14ac:dyDescent="0.25"/>
    <row r="6359" ht="15.75" customHeight="1" x14ac:dyDescent="0.25"/>
    <row r="6360" ht="15.75" customHeight="1" x14ac:dyDescent="0.25"/>
    <row r="6361" ht="15.75" customHeight="1" x14ac:dyDescent="0.25"/>
    <row r="6362" ht="15.75" customHeight="1" x14ac:dyDescent="0.25"/>
    <row r="6363" ht="15.75" customHeight="1" x14ac:dyDescent="0.25"/>
    <row r="6364" ht="15.75" customHeight="1" x14ac:dyDescent="0.25"/>
    <row r="6365" ht="15.75" customHeight="1" x14ac:dyDescent="0.25"/>
    <row r="6366" ht="15.75" customHeight="1" x14ac:dyDescent="0.25"/>
    <row r="6367" ht="15.75" customHeight="1" x14ac:dyDescent="0.25"/>
    <row r="6368" ht="15.75" customHeight="1" x14ac:dyDescent="0.25"/>
    <row r="6369" ht="15.75" customHeight="1" x14ac:dyDescent="0.25"/>
    <row r="6370" ht="15.75" customHeight="1" x14ac:dyDescent="0.25"/>
    <row r="6371" ht="15.75" customHeight="1" x14ac:dyDescent="0.25"/>
    <row r="6372" ht="15.75" customHeight="1" x14ac:dyDescent="0.25"/>
    <row r="6373" ht="15.75" customHeight="1" x14ac:dyDescent="0.25"/>
    <row r="6374" ht="15.75" customHeight="1" x14ac:dyDescent="0.25"/>
    <row r="6375" ht="15.75" customHeight="1" x14ac:dyDescent="0.25"/>
    <row r="6376" ht="15.75" customHeight="1" x14ac:dyDescent="0.25"/>
    <row r="6377" ht="15.75" customHeight="1" x14ac:dyDescent="0.25"/>
    <row r="6378" ht="15.75" customHeight="1" x14ac:dyDescent="0.25"/>
    <row r="6379" ht="15.75" customHeight="1" x14ac:dyDescent="0.25"/>
    <row r="6380" ht="15.75" customHeight="1" x14ac:dyDescent="0.25"/>
    <row r="6381" ht="15.75" customHeight="1" x14ac:dyDescent="0.25"/>
    <row r="6382" ht="15.75" customHeight="1" x14ac:dyDescent="0.25"/>
    <row r="6383" ht="15.75" customHeight="1" x14ac:dyDescent="0.25"/>
    <row r="6384" ht="15.75" customHeight="1" x14ac:dyDescent="0.25"/>
    <row r="6385" ht="15.75" customHeight="1" x14ac:dyDescent="0.25"/>
    <row r="6386" ht="15.75" customHeight="1" x14ac:dyDescent="0.25"/>
    <row r="6387" ht="15.75" customHeight="1" x14ac:dyDescent="0.25"/>
    <row r="6388" ht="15.75" customHeight="1" x14ac:dyDescent="0.25"/>
    <row r="6389" ht="15.75" customHeight="1" x14ac:dyDescent="0.25"/>
    <row r="6390" ht="15.75" customHeight="1" x14ac:dyDescent="0.25"/>
    <row r="6391" ht="15.75" customHeight="1" x14ac:dyDescent="0.25"/>
    <row r="6392" ht="15.75" customHeight="1" x14ac:dyDescent="0.25"/>
    <row r="6393" ht="15.75" customHeight="1" x14ac:dyDescent="0.25"/>
    <row r="6394" ht="15.75" customHeight="1" x14ac:dyDescent="0.25"/>
    <row r="6395" ht="15.75" customHeight="1" x14ac:dyDescent="0.25"/>
    <row r="6396" ht="15.75" customHeight="1" x14ac:dyDescent="0.25"/>
    <row r="6397" ht="15.75" customHeight="1" x14ac:dyDescent="0.25"/>
    <row r="6398" ht="15.75" customHeight="1" x14ac:dyDescent="0.25"/>
    <row r="6399" ht="15.75" customHeight="1" x14ac:dyDescent="0.25"/>
    <row r="6400" ht="15.75" customHeight="1" x14ac:dyDescent="0.25"/>
    <row r="6401" ht="15.75" customHeight="1" x14ac:dyDescent="0.25"/>
    <row r="6402" ht="15.75" customHeight="1" x14ac:dyDescent="0.25"/>
    <row r="6403" ht="15.75" customHeight="1" x14ac:dyDescent="0.25"/>
    <row r="6404" ht="15.75" customHeight="1" x14ac:dyDescent="0.25"/>
    <row r="6405" ht="15.75" customHeight="1" x14ac:dyDescent="0.25"/>
    <row r="6406" ht="15.75" customHeight="1" x14ac:dyDescent="0.25"/>
    <row r="6407" ht="15.75" customHeight="1" x14ac:dyDescent="0.25"/>
    <row r="6408" ht="15.75" customHeight="1" x14ac:dyDescent="0.25"/>
    <row r="6409" ht="15.75" customHeight="1" x14ac:dyDescent="0.25"/>
    <row r="6410" ht="15.75" customHeight="1" x14ac:dyDescent="0.25"/>
    <row r="6411" ht="15.75" customHeight="1" x14ac:dyDescent="0.25"/>
    <row r="6412" ht="15.75" customHeight="1" x14ac:dyDescent="0.25"/>
    <row r="6413" ht="15.75" customHeight="1" x14ac:dyDescent="0.25"/>
    <row r="6414" ht="15.75" customHeight="1" x14ac:dyDescent="0.25"/>
    <row r="6415" ht="15.75" customHeight="1" x14ac:dyDescent="0.25"/>
    <row r="6416" ht="15.75" customHeight="1" x14ac:dyDescent="0.25"/>
    <row r="6417" ht="15.75" customHeight="1" x14ac:dyDescent="0.25"/>
    <row r="6418" ht="15.75" customHeight="1" x14ac:dyDescent="0.25"/>
    <row r="6419" ht="15.75" customHeight="1" x14ac:dyDescent="0.25"/>
    <row r="6420" ht="15.75" customHeight="1" x14ac:dyDescent="0.25"/>
    <row r="6421" ht="15.75" customHeight="1" x14ac:dyDescent="0.25"/>
    <row r="6422" ht="15.75" customHeight="1" x14ac:dyDescent="0.25"/>
    <row r="6423" ht="15.75" customHeight="1" x14ac:dyDescent="0.25"/>
    <row r="6424" ht="15.75" customHeight="1" x14ac:dyDescent="0.25"/>
    <row r="6425" ht="15.75" customHeight="1" x14ac:dyDescent="0.25"/>
    <row r="6426" ht="15.75" customHeight="1" x14ac:dyDescent="0.25"/>
    <row r="6427" ht="15.75" customHeight="1" x14ac:dyDescent="0.25"/>
    <row r="6428" ht="15.75" customHeight="1" x14ac:dyDescent="0.25"/>
    <row r="6429" ht="15.75" customHeight="1" x14ac:dyDescent="0.25"/>
    <row r="6430" ht="15.75" customHeight="1" x14ac:dyDescent="0.25"/>
    <row r="6431" ht="15.75" customHeight="1" x14ac:dyDescent="0.25"/>
    <row r="6432" ht="15.75" customHeight="1" x14ac:dyDescent="0.25"/>
    <row r="6433" ht="15.75" customHeight="1" x14ac:dyDescent="0.25"/>
    <row r="6434" ht="15.75" customHeight="1" x14ac:dyDescent="0.25"/>
    <row r="6435" ht="15.75" customHeight="1" x14ac:dyDescent="0.25"/>
    <row r="6436" ht="15.75" customHeight="1" x14ac:dyDescent="0.25"/>
    <row r="6437" ht="15.75" customHeight="1" x14ac:dyDescent="0.25"/>
    <row r="6438" ht="15.75" customHeight="1" x14ac:dyDescent="0.25"/>
    <row r="6439" ht="15.75" customHeight="1" x14ac:dyDescent="0.25"/>
    <row r="6440" ht="15.75" customHeight="1" x14ac:dyDescent="0.25"/>
    <row r="6441" ht="15.75" customHeight="1" x14ac:dyDescent="0.25"/>
    <row r="6442" ht="15.75" customHeight="1" x14ac:dyDescent="0.25"/>
    <row r="6443" ht="15.75" customHeight="1" x14ac:dyDescent="0.25"/>
    <row r="6444" ht="15.75" customHeight="1" x14ac:dyDescent="0.25"/>
    <row r="6445" ht="15.75" customHeight="1" x14ac:dyDescent="0.25"/>
    <row r="6446" ht="15.75" customHeight="1" x14ac:dyDescent="0.25"/>
    <row r="6447" ht="15.75" customHeight="1" x14ac:dyDescent="0.25"/>
    <row r="6448" ht="15.75" customHeight="1" x14ac:dyDescent="0.25"/>
    <row r="6449" ht="15.75" customHeight="1" x14ac:dyDescent="0.25"/>
    <row r="6450" ht="15.75" customHeight="1" x14ac:dyDescent="0.25"/>
    <row r="6451" ht="15.75" customHeight="1" x14ac:dyDescent="0.25"/>
    <row r="6452" ht="15.75" customHeight="1" x14ac:dyDescent="0.25"/>
    <row r="6453" ht="15.75" customHeight="1" x14ac:dyDescent="0.25"/>
    <row r="6454" ht="15.75" customHeight="1" x14ac:dyDescent="0.25"/>
    <row r="6455" ht="15.75" customHeight="1" x14ac:dyDescent="0.25"/>
    <row r="6456" ht="15.75" customHeight="1" x14ac:dyDescent="0.25"/>
    <row r="6457" ht="15.75" customHeight="1" x14ac:dyDescent="0.25"/>
    <row r="6458" ht="15.75" customHeight="1" x14ac:dyDescent="0.25"/>
    <row r="6459" ht="15.75" customHeight="1" x14ac:dyDescent="0.25"/>
    <row r="6460" ht="15.75" customHeight="1" x14ac:dyDescent="0.25"/>
    <row r="6461" ht="15.75" customHeight="1" x14ac:dyDescent="0.25"/>
    <row r="6462" ht="15.75" customHeight="1" x14ac:dyDescent="0.25"/>
    <row r="6463" ht="15.75" customHeight="1" x14ac:dyDescent="0.25"/>
    <row r="6464" ht="15.75" customHeight="1" x14ac:dyDescent="0.25"/>
    <row r="6465" ht="15.75" customHeight="1" x14ac:dyDescent="0.25"/>
    <row r="6466" ht="15.75" customHeight="1" x14ac:dyDescent="0.25"/>
    <row r="6467" ht="15.75" customHeight="1" x14ac:dyDescent="0.25"/>
    <row r="6468" ht="15.75" customHeight="1" x14ac:dyDescent="0.25"/>
    <row r="6469" ht="15.75" customHeight="1" x14ac:dyDescent="0.25"/>
    <row r="6470" ht="15.75" customHeight="1" x14ac:dyDescent="0.25"/>
    <row r="6471" ht="15.75" customHeight="1" x14ac:dyDescent="0.25"/>
    <row r="6472" ht="15.75" customHeight="1" x14ac:dyDescent="0.25"/>
    <row r="6473" ht="15.75" customHeight="1" x14ac:dyDescent="0.25"/>
    <row r="6474" ht="15.75" customHeight="1" x14ac:dyDescent="0.25"/>
    <row r="6475" ht="15.75" customHeight="1" x14ac:dyDescent="0.25"/>
    <row r="6476" ht="15.75" customHeight="1" x14ac:dyDescent="0.25"/>
    <row r="6477" ht="15.75" customHeight="1" x14ac:dyDescent="0.25"/>
    <row r="6478" ht="15.75" customHeight="1" x14ac:dyDescent="0.25"/>
    <row r="6479" ht="15.75" customHeight="1" x14ac:dyDescent="0.25"/>
    <row r="6480" ht="15.75" customHeight="1" x14ac:dyDescent="0.25"/>
    <row r="6481" ht="15.75" customHeight="1" x14ac:dyDescent="0.25"/>
    <row r="6482" ht="15.75" customHeight="1" x14ac:dyDescent="0.25"/>
    <row r="6483" ht="15.75" customHeight="1" x14ac:dyDescent="0.25"/>
    <row r="6484" ht="15.75" customHeight="1" x14ac:dyDescent="0.25"/>
    <row r="6485" ht="15.75" customHeight="1" x14ac:dyDescent="0.25"/>
    <row r="6486" ht="15.75" customHeight="1" x14ac:dyDescent="0.25"/>
    <row r="6487" ht="15.75" customHeight="1" x14ac:dyDescent="0.25"/>
    <row r="6488" ht="15.75" customHeight="1" x14ac:dyDescent="0.25"/>
    <row r="6489" ht="15.75" customHeight="1" x14ac:dyDescent="0.25"/>
    <row r="6490" ht="15.75" customHeight="1" x14ac:dyDescent="0.25"/>
    <row r="6491" ht="15.75" customHeight="1" x14ac:dyDescent="0.25"/>
    <row r="6492" ht="15.75" customHeight="1" x14ac:dyDescent="0.25"/>
    <row r="6493" ht="15.75" customHeight="1" x14ac:dyDescent="0.25"/>
    <row r="6494" ht="15.75" customHeight="1" x14ac:dyDescent="0.25"/>
    <row r="6495" ht="15.75" customHeight="1" x14ac:dyDescent="0.25"/>
    <row r="6496" ht="15.75" customHeight="1" x14ac:dyDescent="0.25"/>
    <row r="6497" ht="15.75" customHeight="1" x14ac:dyDescent="0.25"/>
    <row r="6498" ht="15.75" customHeight="1" x14ac:dyDescent="0.25"/>
    <row r="6499" ht="15.75" customHeight="1" x14ac:dyDescent="0.25"/>
    <row r="6500" ht="15.75" customHeight="1" x14ac:dyDescent="0.25"/>
    <row r="6501" ht="15.75" customHeight="1" x14ac:dyDescent="0.25"/>
    <row r="6502" ht="15.75" customHeight="1" x14ac:dyDescent="0.25"/>
    <row r="6503" ht="15.75" customHeight="1" x14ac:dyDescent="0.25"/>
    <row r="6504" ht="15.75" customHeight="1" x14ac:dyDescent="0.25"/>
    <row r="6505" ht="15.75" customHeight="1" x14ac:dyDescent="0.25"/>
    <row r="6506" ht="15.75" customHeight="1" x14ac:dyDescent="0.25"/>
    <row r="6507" ht="15.75" customHeight="1" x14ac:dyDescent="0.25"/>
    <row r="6508" ht="15.75" customHeight="1" x14ac:dyDescent="0.25"/>
    <row r="6509" ht="15.75" customHeight="1" x14ac:dyDescent="0.25"/>
    <row r="6510" ht="15.75" customHeight="1" x14ac:dyDescent="0.25"/>
    <row r="6511" ht="15.75" customHeight="1" x14ac:dyDescent="0.25"/>
    <row r="6512" ht="15.75" customHeight="1" x14ac:dyDescent="0.25"/>
    <row r="6513" ht="15.75" customHeight="1" x14ac:dyDescent="0.25"/>
    <row r="6514" ht="15.75" customHeight="1" x14ac:dyDescent="0.25"/>
    <row r="6515" ht="15.75" customHeight="1" x14ac:dyDescent="0.25"/>
    <row r="6516" ht="15.75" customHeight="1" x14ac:dyDescent="0.25"/>
    <row r="6517" ht="15.75" customHeight="1" x14ac:dyDescent="0.25"/>
    <row r="6518" ht="15.75" customHeight="1" x14ac:dyDescent="0.25"/>
    <row r="6519" ht="15.75" customHeight="1" x14ac:dyDescent="0.25"/>
    <row r="6520" ht="15.75" customHeight="1" x14ac:dyDescent="0.25"/>
    <row r="6521" ht="15.75" customHeight="1" x14ac:dyDescent="0.25"/>
    <row r="6522" ht="15.75" customHeight="1" x14ac:dyDescent="0.25"/>
    <row r="6523" ht="15.75" customHeight="1" x14ac:dyDescent="0.25"/>
    <row r="6524" ht="15.75" customHeight="1" x14ac:dyDescent="0.25"/>
    <row r="6525" ht="15.75" customHeight="1" x14ac:dyDescent="0.25"/>
    <row r="6526" ht="15.75" customHeight="1" x14ac:dyDescent="0.25"/>
    <row r="6527" ht="15.75" customHeight="1" x14ac:dyDescent="0.25"/>
    <row r="6528" ht="15.75" customHeight="1" x14ac:dyDescent="0.25"/>
    <row r="6529" ht="15.75" customHeight="1" x14ac:dyDescent="0.25"/>
    <row r="6530" ht="15.75" customHeight="1" x14ac:dyDescent="0.25"/>
    <row r="6531" ht="15.75" customHeight="1" x14ac:dyDescent="0.25"/>
    <row r="6532" ht="15.75" customHeight="1" x14ac:dyDescent="0.25"/>
    <row r="6533" ht="15.75" customHeight="1" x14ac:dyDescent="0.25"/>
    <row r="6534" ht="15.75" customHeight="1" x14ac:dyDescent="0.25"/>
    <row r="6535" ht="15.75" customHeight="1" x14ac:dyDescent="0.25"/>
    <row r="6536" ht="15.75" customHeight="1" x14ac:dyDescent="0.25"/>
    <row r="6537" ht="15.75" customHeight="1" x14ac:dyDescent="0.25"/>
    <row r="6538" ht="15.75" customHeight="1" x14ac:dyDescent="0.25"/>
    <row r="6539" ht="15.75" customHeight="1" x14ac:dyDescent="0.25"/>
    <row r="6540" ht="15.75" customHeight="1" x14ac:dyDescent="0.25"/>
    <row r="6541" ht="15.75" customHeight="1" x14ac:dyDescent="0.25"/>
    <row r="6542" ht="15.75" customHeight="1" x14ac:dyDescent="0.25"/>
    <row r="6543" ht="15.75" customHeight="1" x14ac:dyDescent="0.25"/>
    <row r="6544" ht="15.75" customHeight="1" x14ac:dyDescent="0.25"/>
    <row r="6545" ht="15.75" customHeight="1" x14ac:dyDescent="0.25"/>
    <row r="6546" ht="15.75" customHeight="1" x14ac:dyDescent="0.25"/>
    <row r="6547" ht="15.75" customHeight="1" x14ac:dyDescent="0.25"/>
    <row r="6548" ht="15.75" customHeight="1" x14ac:dyDescent="0.25"/>
    <row r="6549" ht="15.75" customHeight="1" x14ac:dyDescent="0.25"/>
    <row r="6550" ht="15.75" customHeight="1" x14ac:dyDescent="0.25"/>
    <row r="6551" ht="15.75" customHeight="1" x14ac:dyDescent="0.25"/>
    <row r="6552" ht="15.75" customHeight="1" x14ac:dyDescent="0.25"/>
    <row r="6553" ht="15.75" customHeight="1" x14ac:dyDescent="0.25"/>
    <row r="6554" ht="15.75" customHeight="1" x14ac:dyDescent="0.25"/>
    <row r="6555" ht="15.75" customHeight="1" x14ac:dyDescent="0.25"/>
    <row r="6556" ht="15.75" customHeight="1" x14ac:dyDescent="0.25"/>
    <row r="6557" ht="15.75" customHeight="1" x14ac:dyDescent="0.25"/>
    <row r="6558" ht="15.75" customHeight="1" x14ac:dyDescent="0.25"/>
    <row r="6559" ht="15.75" customHeight="1" x14ac:dyDescent="0.25"/>
    <row r="6560" ht="15.75" customHeight="1" x14ac:dyDescent="0.25"/>
    <row r="6561" ht="15.75" customHeight="1" x14ac:dyDescent="0.25"/>
    <row r="6562" ht="15.75" customHeight="1" x14ac:dyDescent="0.25"/>
    <row r="6563" ht="15.75" customHeight="1" x14ac:dyDescent="0.25"/>
    <row r="6564" ht="15.75" customHeight="1" x14ac:dyDescent="0.25"/>
    <row r="6565" ht="15.75" customHeight="1" x14ac:dyDescent="0.25"/>
    <row r="6566" ht="15.75" customHeight="1" x14ac:dyDescent="0.25"/>
    <row r="6567" ht="15.75" customHeight="1" x14ac:dyDescent="0.25"/>
    <row r="6568" ht="15.75" customHeight="1" x14ac:dyDescent="0.25"/>
    <row r="6569" ht="15.75" customHeight="1" x14ac:dyDescent="0.25"/>
    <row r="6570" ht="15.75" customHeight="1" x14ac:dyDescent="0.25"/>
    <row r="6571" ht="15.75" customHeight="1" x14ac:dyDescent="0.25"/>
    <row r="6572" ht="15.75" customHeight="1" x14ac:dyDescent="0.25"/>
    <row r="6573" ht="15.75" customHeight="1" x14ac:dyDescent="0.25"/>
    <row r="6574" ht="15.75" customHeight="1" x14ac:dyDescent="0.25"/>
    <row r="6575" ht="15.75" customHeight="1" x14ac:dyDescent="0.25"/>
    <row r="6576" ht="15.75" customHeight="1" x14ac:dyDescent="0.25"/>
    <row r="6577" ht="15.75" customHeight="1" x14ac:dyDescent="0.25"/>
    <row r="6578" ht="15.75" customHeight="1" x14ac:dyDescent="0.25"/>
    <row r="6579" ht="15.75" customHeight="1" x14ac:dyDescent="0.25"/>
    <row r="6580" ht="15.75" customHeight="1" x14ac:dyDescent="0.25"/>
    <row r="6581" ht="15.75" customHeight="1" x14ac:dyDescent="0.25"/>
    <row r="6582" ht="15.75" customHeight="1" x14ac:dyDescent="0.25"/>
    <row r="6583" ht="15.75" customHeight="1" x14ac:dyDescent="0.25"/>
    <row r="6584" ht="15.75" customHeight="1" x14ac:dyDescent="0.25"/>
    <row r="6585" ht="15.75" customHeight="1" x14ac:dyDescent="0.25"/>
    <row r="6586" ht="15.75" customHeight="1" x14ac:dyDescent="0.25"/>
    <row r="6587" ht="15.75" customHeight="1" x14ac:dyDescent="0.25"/>
    <row r="6588" ht="15.75" customHeight="1" x14ac:dyDescent="0.25"/>
    <row r="6589" ht="15.75" customHeight="1" x14ac:dyDescent="0.25"/>
    <row r="6590" ht="15.75" customHeight="1" x14ac:dyDescent="0.25"/>
    <row r="6591" ht="15.75" customHeight="1" x14ac:dyDescent="0.25"/>
    <row r="6592" ht="15.75" customHeight="1" x14ac:dyDescent="0.25"/>
    <row r="6593" ht="15.75" customHeight="1" x14ac:dyDescent="0.25"/>
    <row r="6594" ht="15.75" customHeight="1" x14ac:dyDescent="0.25"/>
    <row r="6595" ht="15.75" customHeight="1" x14ac:dyDescent="0.25"/>
    <row r="6596" ht="15.75" customHeight="1" x14ac:dyDescent="0.25"/>
    <row r="6597" ht="15.75" customHeight="1" x14ac:dyDescent="0.25"/>
    <row r="6598" ht="15.75" customHeight="1" x14ac:dyDescent="0.25"/>
    <row r="6599" ht="15.75" customHeight="1" x14ac:dyDescent="0.25"/>
    <row r="6600" ht="15.75" customHeight="1" x14ac:dyDescent="0.25"/>
    <row r="6601" ht="15.75" customHeight="1" x14ac:dyDescent="0.25"/>
    <row r="6602" ht="15.75" customHeight="1" x14ac:dyDescent="0.25"/>
    <row r="6603" ht="15.75" customHeight="1" x14ac:dyDescent="0.25"/>
    <row r="6604" ht="15.75" customHeight="1" x14ac:dyDescent="0.25"/>
    <row r="6605" ht="15.75" customHeight="1" x14ac:dyDescent="0.25"/>
    <row r="6606" ht="15.75" customHeight="1" x14ac:dyDescent="0.25"/>
    <row r="6607" ht="15.75" customHeight="1" x14ac:dyDescent="0.25"/>
    <row r="6608" ht="15.75" customHeight="1" x14ac:dyDescent="0.25"/>
    <row r="6609" ht="15.75" customHeight="1" x14ac:dyDescent="0.25"/>
    <row r="6610" ht="15.75" customHeight="1" x14ac:dyDescent="0.25"/>
    <row r="6611" ht="15.75" customHeight="1" x14ac:dyDescent="0.25"/>
    <row r="6612" ht="15.75" customHeight="1" x14ac:dyDescent="0.25"/>
    <row r="6613" ht="15.75" customHeight="1" x14ac:dyDescent="0.25"/>
    <row r="6614" ht="15.75" customHeight="1" x14ac:dyDescent="0.25"/>
    <row r="6615" ht="15.75" customHeight="1" x14ac:dyDescent="0.25"/>
    <row r="6616" ht="15.75" customHeight="1" x14ac:dyDescent="0.25"/>
    <row r="6617" ht="15.75" customHeight="1" x14ac:dyDescent="0.25"/>
    <row r="6618" ht="15.75" customHeight="1" x14ac:dyDescent="0.25"/>
    <row r="6619" ht="15.75" customHeight="1" x14ac:dyDescent="0.25"/>
    <row r="6620" ht="15.75" customHeight="1" x14ac:dyDescent="0.25"/>
    <row r="6621" ht="15.75" customHeight="1" x14ac:dyDescent="0.25"/>
    <row r="6622" ht="15.75" customHeight="1" x14ac:dyDescent="0.25"/>
    <row r="6623" ht="15.75" customHeight="1" x14ac:dyDescent="0.25"/>
    <row r="6624" ht="15.75" customHeight="1" x14ac:dyDescent="0.25"/>
    <row r="6625" ht="15.75" customHeight="1" x14ac:dyDescent="0.25"/>
    <row r="6626" ht="15.75" customHeight="1" x14ac:dyDescent="0.25"/>
    <row r="6627" ht="15.75" customHeight="1" x14ac:dyDescent="0.25"/>
    <row r="6628" ht="15.75" customHeight="1" x14ac:dyDescent="0.25"/>
    <row r="6629" ht="15.75" customHeight="1" x14ac:dyDescent="0.25"/>
    <row r="6630" ht="15.75" customHeight="1" x14ac:dyDescent="0.25"/>
    <row r="6631" ht="15.75" customHeight="1" x14ac:dyDescent="0.25"/>
    <row r="6632" ht="15.75" customHeight="1" x14ac:dyDescent="0.25"/>
    <row r="6633" ht="15.75" customHeight="1" x14ac:dyDescent="0.25"/>
    <row r="6634" ht="15.75" customHeight="1" x14ac:dyDescent="0.25"/>
    <row r="6635" ht="15.75" customHeight="1" x14ac:dyDescent="0.25"/>
    <row r="6636" ht="15.75" customHeight="1" x14ac:dyDescent="0.25"/>
    <row r="6637" ht="15.75" customHeight="1" x14ac:dyDescent="0.25"/>
    <row r="6638" ht="15.75" customHeight="1" x14ac:dyDescent="0.25"/>
    <row r="6639" ht="15.75" customHeight="1" x14ac:dyDescent="0.25"/>
    <row r="6640" ht="15.75" customHeight="1" x14ac:dyDescent="0.25"/>
    <row r="6641" ht="15.75" customHeight="1" x14ac:dyDescent="0.25"/>
    <row r="6642" ht="15.75" customHeight="1" x14ac:dyDescent="0.25"/>
    <row r="6643" ht="15.75" customHeight="1" x14ac:dyDescent="0.25"/>
    <row r="6644" ht="15.75" customHeight="1" x14ac:dyDescent="0.25"/>
    <row r="6645" ht="15.75" customHeight="1" x14ac:dyDescent="0.25"/>
    <row r="6646" ht="15.75" customHeight="1" x14ac:dyDescent="0.25"/>
    <row r="6647" ht="15.75" customHeight="1" x14ac:dyDescent="0.25"/>
    <row r="6648" ht="15.75" customHeight="1" x14ac:dyDescent="0.25"/>
    <row r="6649" ht="15.75" customHeight="1" x14ac:dyDescent="0.25"/>
    <row r="6650" ht="15.75" customHeight="1" x14ac:dyDescent="0.25"/>
    <row r="6651" ht="15.75" customHeight="1" x14ac:dyDescent="0.25"/>
    <row r="6652" ht="15.75" customHeight="1" x14ac:dyDescent="0.25"/>
    <row r="6653" ht="15.75" customHeight="1" x14ac:dyDescent="0.25"/>
    <row r="6654" ht="15.75" customHeight="1" x14ac:dyDescent="0.25"/>
    <row r="6655" ht="15.75" customHeight="1" x14ac:dyDescent="0.25"/>
    <row r="6656" ht="15.75" customHeight="1" x14ac:dyDescent="0.25"/>
    <row r="6657" ht="15.75" customHeight="1" x14ac:dyDescent="0.25"/>
    <row r="6658" ht="15.75" customHeight="1" x14ac:dyDescent="0.25"/>
    <row r="6659" ht="15.75" customHeight="1" x14ac:dyDescent="0.25"/>
    <row r="6660" ht="15.75" customHeight="1" x14ac:dyDescent="0.25"/>
    <row r="6661" ht="15.75" customHeight="1" x14ac:dyDescent="0.25"/>
    <row r="6662" ht="15.75" customHeight="1" x14ac:dyDescent="0.25"/>
    <row r="6663" ht="15.75" customHeight="1" x14ac:dyDescent="0.25"/>
    <row r="6664" ht="15.75" customHeight="1" x14ac:dyDescent="0.25"/>
    <row r="6665" ht="15.75" customHeight="1" x14ac:dyDescent="0.25"/>
    <row r="6666" ht="15.75" customHeight="1" x14ac:dyDescent="0.25"/>
    <row r="6667" ht="15.75" customHeight="1" x14ac:dyDescent="0.25"/>
    <row r="6668" ht="15.75" customHeight="1" x14ac:dyDescent="0.25"/>
    <row r="6669" ht="15.75" customHeight="1" x14ac:dyDescent="0.25"/>
    <row r="6670" ht="15.75" customHeight="1" x14ac:dyDescent="0.25"/>
    <row r="6671" ht="15.75" customHeight="1" x14ac:dyDescent="0.25"/>
    <row r="6672" ht="15.75" customHeight="1" x14ac:dyDescent="0.25"/>
    <row r="6673" ht="15.75" customHeight="1" x14ac:dyDescent="0.25"/>
    <row r="6674" ht="15.75" customHeight="1" x14ac:dyDescent="0.25"/>
    <row r="6675" ht="15.75" customHeight="1" x14ac:dyDescent="0.25"/>
    <row r="6676" ht="15.75" customHeight="1" x14ac:dyDescent="0.25"/>
    <row r="6677" ht="15.75" customHeight="1" x14ac:dyDescent="0.25"/>
    <row r="6678" ht="15.75" customHeight="1" x14ac:dyDescent="0.25"/>
    <row r="6679" ht="15.75" customHeight="1" x14ac:dyDescent="0.25"/>
    <row r="6680" ht="15.75" customHeight="1" x14ac:dyDescent="0.25"/>
    <row r="6681" ht="15.75" customHeight="1" x14ac:dyDescent="0.25"/>
    <row r="6682" ht="15.75" customHeight="1" x14ac:dyDescent="0.25"/>
    <row r="6683" ht="15.75" customHeight="1" x14ac:dyDescent="0.25"/>
    <row r="6684" ht="15.75" customHeight="1" x14ac:dyDescent="0.25"/>
    <row r="6685" ht="15.75" customHeight="1" x14ac:dyDescent="0.25"/>
    <row r="6686" ht="15.75" customHeight="1" x14ac:dyDescent="0.25"/>
    <row r="6687" ht="15.75" customHeight="1" x14ac:dyDescent="0.25"/>
    <row r="6688" ht="15.75" customHeight="1" x14ac:dyDescent="0.25"/>
    <row r="6689" ht="15.75" customHeight="1" x14ac:dyDescent="0.25"/>
    <row r="6690" ht="15.75" customHeight="1" x14ac:dyDescent="0.25"/>
    <row r="6691" ht="15.75" customHeight="1" x14ac:dyDescent="0.25"/>
    <row r="6692" ht="15.75" customHeight="1" x14ac:dyDescent="0.25"/>
    <row r="6693" ht="15.75" customHeight="1" x14ac:dyDescent="0.25"/>
    <row r="6694" ht="15.75" customHeight="1" x14ac:dyDescent="0.25"/>
    <row r="6695" ht="15.75" customHeight="1" x14ac:dyDescent="0.25"/>
    <row r="6696" ht="15.75" customHeight="1" x14ac:dyDescent="0.25"/>
    <row r="6697" ht="15.75" customHeight="1" x14ac:dyDescent="0.25"/>
    <row r="6698" ht="15.75" customHeight="1" x14ac:dyDescent="0.25"/>
    <row r="6699" ht="15.75" customHeight="1" x14ac:dyDescent="0.25"/>
    <row r="6700" ht="15.75" customHeight="1" x14ac:dyDescent="0.25"/>
    <row r="6701" ht="15.75" customHeight="1" x14ac:dyDescent="0.25"/>
    <row r="6702" ht="15.75" customHeight="1" x14ac:dyDescent="0.25"/>
    <row r="6703" ht="15.75" customHeight="1" x14ac:dyDescent="0.25"/>
    <row r="6704" ht="15.75" customHeight="1" x14ac:dyDescent="0.25"/>
    <row r="6705" ht="15.75" customHeight="1" x14ac:dyDescent="0.25"/>
    <row r="6706" ht="15.75" customHeight="1" x14ac:dyDescent="0.25"/>
    <row r="6707" ht="15.75" customHeight="1" x14ac:dyDescent="0.25"/>
    <row r="6708" ht="15.75" customHeight="1" x14ac:dyDescent="0.25"/>
    <row r="6709" ht="15.75" customHeight="1" x14ac:dyDescent="0.25"/>
    <row r="6710" ht="15.75" customHeight="1" x14ac:dyDescent="0.25"/>
    <row r="6711" ht="15.75" customHeight="1" x14ac:dyDescent="0.25"/>
    <row r="6712" ht="15.75" customHeight="1" x14ac:dyDescent="0.25"/>
    <row r="6713" ht="15.75" customHeight="1" x14ac:dyDescent="0.25"/>
    <row r="6714" ht="15.75" customHeight="1" x14ac:dyDescent="0.25"/>
    <row r="6715" ht="15.75" customHeight="1" x14ac:dyDescent="0.25"/>
    <row r="6716" ht="15.75" customHeight="1" x14ac:dyDescent="0.25"/>
    <row r="6717" ht="15.75" customHeight="1" x14ac:dyDescent="0.25"/>
    <row r="6718" ht="15.75" customHeight="1" x14ac:dyDescent="0.25"/>
    <row r="6719" ht="15.75" customHeight="1" x14ac:dyDescent="0.25"/>
    <row r="6720" ht="15.75" customHeight="1" x14ac:dyDescent="0.25"/>
    <row r="6721" ht="15.75" customHeight="1" x14ac:dyDescent="0.25"/>
    <row r="6722" ht="15.75" customHeight="1" x14ac:dyDescent="0.25"/>
    <row r="6723" ht="15.75" customHeight="1" x14ac:dyDescent="0.25"/>
    <row r="6724" ht="15.75" customHeight="1" x14ac:dyDescent="0.25"/>
    <row r="6725" ht="15.75" customHeight="1" x14ac:dyDescent="0.25"/>
    <row r="6726" ht="15.75" customHeight="1" x14ac:dyDescent="0.25"/>
    <row r="6727" ht="15.75" customHeight="1" x14ac:dyDescent="0.25"/>
    <row r="6728" ht="15.75" customHeight="1" x14ac:dyDescent="0.25"/>
    <row r="6729" ht="15.75" customHeight="1" x14ac:dyDescent="0.25"/>
    <row r="6730" ht="15.75" customHeight="1" x14ac:dyDescent="0.25"/>
    <row r="6731" ht="15.75" customHeight="1" x14ac:dyDescent="0.25"/>
    <row r="6732" ht="15.75" customHeight="1" x14ac:dyDescent="0.25"/>
    <row r="6733" ht="15.75" customHeight="1" x14ac:dyDescent="0.25"/>
    <row r="6734" ht="15.75" customHeight="1" x14ac:dyDescent="0.25"/>
    <row r="6735" ht="15.75" customHeight="1" x14ac:dyDescent="0.25"/>
    <row r="6736" ht="15.75" customHeight="1" x14ac:dyDescent="0.25"/>
    <row r="6737" ht="15.75" customHeight="1" x14ac:dyDescent="0.25"/>
    <row r="6738" ht="15.75" customHeight="1" x14ac:dyDescent="0.25"/>
    <row r="6739" ht="15.75" customHeight="1" x14ac:dyDescent="0.25"/>
    <row r="6740" ht="15.75" customHeight="1" x14ac:dyDescent="0.25"/>
    <row r="6741" ht="15.75" customHeight="1" x14ac:dyDescent="0.25"/>
    <row r="6742" ht="15.75" customHeight="1" x14ac:dyDescent="0.25"/>
    <row r="6743" ht="15.75" customHeight="1" x14ac:dyDescent="0.25"/>
    <row r="6744" ht="15.75" customHeight="1" x14ac:dyDescent="0.25"/>
    <row r="6745" ht="15.75" customHeight="1" x14ac:dyDescent="0.25"/>
    <row r="6746" ht="15.75" customHeight="1" x14ac:dyDescent="0.25"/>
    <row r="6747" ht="15.75" customHeight="1" x14ac:dyDescent="0.25"/>
    <row r="6748" ht="15.75" customHeight="1" x14ac:dyDescent="0.25"/>
    <row r="6749" ht="15.75" customHeight="1" x14ac:dyDescent="0.25"/>
    <row r="6750" ht="15.75" customHeight="1" x14ac:dyDescent="0.25"/>
    <row r="6751" ht="15.75" customHeight="1" x14ac:dyDescent="0.25"/>
    <row r="6752" ht="15.75" customHeight="1" x14ac:dyDescent="0.25"/>
    <row r="6753" ht="15.75" customHeight="1" x14ac:dyDescent="0.25"/>
    <row r="6754" ht="15.75" customHeight="1" x14ac:dyDescent="0.25"/>
    <row r="6755" ht="15.75" customHeight="1" x14ac:dyDescent="0.25"/>
    <row r="6756" ht="15.75" customHeight="1" x14ac:dyDescent="0.25"/>
    <row r="6757" ht="15.75" customHeight="1" x14ac:dyDescent="0.25"/>
    <row r="6758" ht="15.75" customHeight="1" x14ac:dyDescent="0.25"/>
    <row r="6759" ht="15.75" customHeight="1" x14ac:dyDescent="0.25"/>
    <row r="6760" ht="15.75" customHeight="1" x14ac:dyDescent="0.25"/>
    <row r="6761" ht="15.75" customHeight="1" x14ac:dyDescent="0.25"/>
    <row r="6762" ht="15.75" customHeight="1" x14ac:dyDescent="0.25"/>
    <row r="6763" ht="15.75" customHeight="1" x14ac:dyDescent="0.25"/>
    <row r="6764" ht="15.75" customHeight="1" x14ac:dyDescent="0.25"/>
    <row r="6765" ht="15.75" customHeight="1" x14ac:dyDescent="0.25"/>
    <row r="6766" ht="15.75" customHeight="1" x14ac:dyDescent="0.25"/>
    <row r="6767" ht="15.75" customHeight="1" x14ac:dyDescent="0.25"/>
    <row r="6768" ht="15.75" customHeight="1" x14ac:dyDescent="0.25"/>
    <row r="6769" ht="15.75" customHeight="1" x14ac:dyDescent="0.25"/>
    <row r="6770" ht="15.75" customHeight="1" x14ac:dyDescent="0.25"/>
    <row r="6771" ht="15.75" customHeight="1" x14ac:dyDescent="0.25"/>
    <row r="6772" ht="15.75" customHeight="1" x14ac:dyDescent="0.25"/>
    <row r="6773" ht="15.75" customHeight="1" x14ac:dyDescent="0.25"/>
    <row r="6774" ht="15.75" customHeight="1" x14ac:dyDescent="0.25"/>
    <row r="6775" ht="15.75" customHeight="1" x14ac:dyDescent="0.25"/>
    <row r="6776" ht="15.75" customHeight="1" x14ac:dyDescent="0.25"/>
    <row r="6777" ht="15.75" customHeight="1" x14ac:dyDescent="0.25"/>
    <row r="6778" ht="15.75" customHeight="1" x14ac:dyDescent="0.25"/>
    <row r="6779" ht="15.75" customHeight="1" x14ac:dyDescent="0.25"/>
    <row r="6780" ht="15.75" customHeight="1" x14ac:dyDescent="0.25"/>
    <row r="6781" ht="15.75" customHeight="1" x14ac:dyDescent="0.25"/>
    <row r="6782" ht="15.75" customHeight="1" x14ac:dyDescent="0.25"/>
    <row r="6783" ht="15.75" customHeight="1" x14ac:dyDescent="0.25"/>
    <row r="6784" ht="15.75" customHeight="1" x14ac:dyDescent="0.25"/>
    <row r="6785" ht="15.75" customHeight="1" x14ac:dyDescent="0.25"/>
    <row r="6786" ht="15.75" customHeight="1" x14ac:dyDescent="0.25"/>
    <row r="6787" ht="15.75" customHeight="1" x14ac:dyDescent="0.25"/>
    <row r="6788" ht="15.75" customHeight="1" x14ac:dyDescent="0.25"/>
    <row r="6789" ht="15.75" customHeight="1" x14ac:dyDescent="0.25"/>
    <row r="6790" ht="15.75" customHeight="1" x14ac:dyDescent="0.25"/>
    <row r="6791" ht="15.75" customHeight="1" x14ac:dyDescent="0.25"/>
    <row r="6792" ht="15.75" customHeight="1" x14ac:dyDescent="0.25"/>
    <row r="6793" ht="15.75" customHeight="1" x14ac:dyDescent="0.25"/>
    <row r="6794" ht="15.75" customHeight="1" x14ac:dyDescent="0.25"/>
    <row r="6795" ht="15.75" customHeight="1" x14ac:dyDescent="0.25"/>
    <row r="6796" ht="15.75" customHeight="1" x14ac:dyDescent="0.25"/>
    <row r="6797" ht="15.75" customHeight="1" x14ac:dyDescent="0.25"/>
    <row r="6798" ht="15.75" customHeight="1" x14ac:dyDescent="0.25"/>
    <row r="6799" ht="15.75" customHeight="1" x14ac:dyDescent="0.25"/>
    <row r="6800" ht="15.75" customHeight="1" x14ac:dyDescent="0.25"/>
    <row r="6801" ht="15.75" customHeight="1" x14ac:dyDescent="0.25"/>
    <row r="6802" ht="15.75" customHeight="1" x14ac:dyDescent="0.25"/>
    <row r="6803" ht="15.75" customHeight="1" x14ac:dyDescent="0.25"/>
    <row r="6804" ht="15.75" customHeight="1" x14ac:dyDescent="0.25"/>
    <row r="6805" ht="15.75" customHeight="1" x14ac:dyDescent="0.25"/>
    <row r="6806" ht="15.75" customHeight="1" x14ac:dyDescent="0.25"/>
    <row r="6807" ht="15.75" customHeight="1" x14ac:dyDescent="0.25"/>
    <row r="6808" ht="15.75" customHeight="1" x14ac:dyDescent="0.25"/>
    <row r="6809" ht="15.75" customHeight="1" x14ac:dyDescent="0.25"/>
    <row r="6810" ht="15.75" customHeight="1" x14ac:dyDescent="0.25"/>
    <row r="6811" ht="15.75" customHeight="1" x14ac:dyDescent="0.25"/>
    <row r="6812" ht="15.75" customHeight="1" x14ac:dyDescent="0.25"/>
    <row r="6813" ht="15.75" customHeight="1" x14ac:dyDescent="0.25"/>
    <row r="6814" ht="15.75" customHeight="1" x14ac:dyDescent="0.25"/>
    <row r="6815" ht="15.75" customHeight="1" x14ac:dyDescent="0.25"/>
    <row r="6816" ht="15.75" customHeight="1" x14ac:dyDescent="0.25"/>
    <row r="6817" ht="15.75" customHeight="1" x14ac:dyDescent="0.25"/>
    <row r="6818" ht="15.75" customHeight="1" x14ac:dyDescent="0.25"/>
    <row r="6819" ht="15.75" customHeight="1" x14ac:dyDescent="0.25"/>
    <row r="6820" ht="15.75" customHeight="1" x14ac:dyDescent="0.25"/>
    <row r="6821" ht="15.75" customHeight="1" x14ac:dyDescent="0.25"/>
    <row r="6822" ht="15.75" customHeight="1" x14ac:dyDescent="0.25"/>
    <row r="6823" ht="15.75" customHeight="1" x14ac:dyDescent="0.25"/>
    <row r="6824" ht="15.75" customHeight="1" x14ac:dyDescent="0.25"/>
    <row r="6825" ht="15.75" customHeight="1" x14ac:dyDescent="0.25"/>
    <row r="6826" ht="15.75" customHeight="1" x14ac:dyDescent="0.25"/>
    <row r="6827" ht="15.75" customHeight="1" x14ac:dyDescent="0.25"/>
    <row r="6828" ht="15.75" customHeight="1" x14ac:dyDescent="0.25"/>
    <row r="6829" ht="15.75" customHeight="1" x14ac:dyDescent="0.25"/>
    <row r="6830" ht="15.75" customHeight="1" x14ac:dyDescent="0.25"/>
    <row r="6831" ht="15.75" customHeight="1" x14ac:dyDescent="0.25"/>
    <row r="6832" ht="15.75" customHeight="1" x14ac:dyDescent="0.25"/>
    <row r="6833" ht="15.75" customHeight="1" x14ac:dyDescent="0.25"/>
    <row r="6834" ht="15.75" customHeight="1" x14ac:dyDescent="0.25"/>
    <row r="6835" ht="15.75" customHeight="1" x14ac:dyDescent="0.25"/>
    <row r="6836" ht="15.75" customHeight="1" x14ac:dyDescent="0.25"/>
    <row r="6837" ht="15.75" customHeight="1" x14ac:dyDescent="0.25"/>
    <row r="6838" ht="15.75" customHeight="1" x14ac:dyDescent="0.25"/>
    <row r="6839" ht="15.75" customHeight="1" x14ac:dyDescent="0.25"/>
    <row r="6840" ht="15.75" customHeight="1" x14ac:dyDescent="0.25"/>
    <row r="6841" ht="15.75" customHeight="1" x14ac:dyDescent="0.25"/>
    <row r="6842" ht="15.75" customHeight="1" x14ac:dyDescent="0.25"/>
    <row r="6843" ht="15.75" customHeight="1" x14ac:dyDescent="0.25"/>
    <row r="6844" ht="15.75" customHeight="1" x14ac:dyDescent="0.25"/>
    <row r="6845" ht="15.75" customHeight="1" x14ac:dyDescent="0.25"/>
    <row r="6846" ht="15.75" customHeight="1" x14ac:dyDescent="0.25"/>
    <row r="6847" ht="15.75" customHeight="1" x14ac:dyDescent="0.25"/>
    <row r="6848" ht="15.75" customHeight="1" x14ac:dyDescent="0.25"/>
    <row r="6849" ht="15.75" customHeight="1" x14ac:dyDescent="0.25"/>
    <row r="6850" ht="15.75" customHeight="1" x14ac:dyDescent="0.25"/>
    <row r="6851" ht="15.75" customHeight="1" x14ac:dyDescent="0.25"/>
    <row r="6852" ht="15.75" customHeight="1" x14ac:dyDescent="0.25"/>
    <row r="6853" ht="15.75" customHeight="1" x14ac:dyDescent="0.25"/>
    <row r="6854" ht="15.75" customHeight="1" x14ac:dyDescent="0.25"/>
    <row r="6855" ht="15.75" customHeight="1" x14ac:dyDescent="0.25"/>
    <row r="6856" ht="15.75" customHeight="1" x14ac:dyDescent="0.25"/>
    <row r="6857" ht="15.75" customHeight="1" x14ac:dyDescent="0.25"/>
    <row r="6858" ht="15.75" customHeight="1" x14ac:dyDescent="0.25"/>
    <row r="6859" ht="15.75" customHeight="1" x14ac:dyDescent="0.25"/>
    <row r="6860" ht="15.75" customHeight="1" x14ac:dyDescent="0.25"/>
    <row r="6861" ht="15.75" customHeight="1" x14ac:dyDescent="0.25"/>
    <row r="6862" ht="15.75" customHeight="1" x14ac:dyDescent="0.25"/>
    <row r="6863" ht="15.75" customHeight="1" x14ac:dyDescent="0.25"/>
    <row r="6864" ht="15.75" customHeight="1" x14ac:dyDescent="0.25"/>
    <row r="6865" ht="15.75" customHeight="1" x14ac:dyDescent="0.25"/>
    <row r="6866" ht="15.75" customHeight="1" x14ac:dyDescent="0.25"/>
    <row r="6867" ht="15.75" customHeight="1" x14ac:dyDescent="0.25"/>
    <row r="6868" ht="15.75" customHeight="1" x14ac:dyDescent="0.25"/>
    <row r="6869" ht="15.75" customHeight="1" x14ac:dyDescent="0.25"/>
    <row r="6870" ht="15.75" customHeight="1" x14ac:dyDescent="0.25"/>
    <row r="6871" ht="15.75" customHeight="1" x14ac:dyDescent="0.25"/>
    <row r="6872" ht="15.75" customHeight="1" x14ac:dyDescent="0.25"/>
    <row r="6873" ht="15.75" customHeight="1" x14ac:dyDescent="0.25"/>
    <row r="6874" ht="15.75" customHeight="1" x14ac:dyDescent="0.25"/>
    <row r="6875" ht="15.75" customHeight="1" x14ac:dyDescent="0.25"/>
    <row r="6876" ht="15.75" customHeight="1" x14ac:dyDescent="0.25"/>
    <row r="6877" ht="15.75" customHeight="1" x14ac:dyDescent="0.25"/>
    <row r="6878" ht="15.75" customHeight="1" x14ac:dyDescent="0.25"/>
    <row r="6879" ht="15.75" customHeight="1" x14ac:dyDescent="0.25"/>
    <row r="6880" ht="15.75" customHeight="1" x14ac:dyDescent="0.25"/>
    <row r="6881" ht="15.75" customHeight="1" x14ac:dyDescent="0.25"/>
    <row r="6882" ht="15.75" customHeight="1" x14ac:dyDescent="0.25"/>
    <row r="6883" ht="15.75" customHeight="1" x14ac:dyDescent="0.25"/>
    <row r="6884" ht="15.75" customHeight="1" x14ac:dyDescent="0.25"/>
    <row r="6885" ht="15.75" customHeight="1" x14ac:dyDescent="0.25"/>
    <row r="6886" ht="15.75" customHeight="1" x14ac:dyDescent="0.25"/>
    <row r="6887" ht="15.75" customHeight="1" x14ac:dyDescent="0.25"/>
    <row r="6888" ht="15.75" customHeight="1" x14ac:dyDescent="0.25"/>
    <row r="6889" ht="15.75" customHeight="1" x14ac:dyDescent="0.25"/>
    <row r="6890" ht="15.75" customHeight="1" x14ac:dyDescent="0.25"/>
    <row r="6891" ht="15.75" customHeight="1" x14ac:dyDescent="0.25"/>
    <row r="6892" ht="15.75" customHeight="1" x14ac:dyDescent="0.25"/>
    <row r="6893" ht="15.75" customHeight="1" x14ac:dyDescent="0.25"/>
    <row r="6894" ht="15.75" customHeight="1" x14ac:dyDescent="0.25"/>
    <row r="6895" ht="15.75" customHeight="1" x14ac:dyDescent="0.25"/>
    <row r="6896" ht="15.75" customHeight="1" x14ac:dyDescent="0.25"/>
    <row r="6897" ht="15.75" customHeight="1" x14ac:dyDescent="0.25"/>
    <row r="6898" ht="15.75" customHeight="1" x14ac:dyDescent="0.25"/>
    <row r="6899" ht="15.75" customHeight="1" x14ac:dyDescent="0.25"/>
    <row r="6900" ht="15.75" customHeight="1" x14ac:dyDescent="0.25"/>
    <row r="6901" ht="15.75" customHeight="1" x14ac:dyDescent="0.25"/>
    <row r="6902" ht="15.75" customHeight="1" x14ac:dyDescent="0.25"/>
    <row r="6903" ht="15.75" customHeight="1" x14ac:dyDescent="0.25"/>
    <row r="6904" ht="15.75" customHeight="1" x14ac:dyDescent="0.25"/>
    <row r="6905" ht="15.75" customHeight="1" x14ac:dyDescent="0.25"/>
    <row r="6906" ht="15.75" customHeight="1" x14ac:dyDescent="0.25"/>
    <row r="6907" ht="15.75" customHeight="1" x14ac:dyDescent="0.25"/>
    <row r="6908" ht="15.75" customHeight="1" x14ac:dyDescent="0.25"/>
    <row r="6909" ht="15.75" customHeight="1" x14ac:dyDescent="0.25"/>
    <row r="6910" ht="15.75" customHeight="1" x14ac:dyDescent="0.25"/>
    <row r="6911" ht="15.75" customHeight="1" x14ac:dyDescent="0.25"/>
    <row r="6912" ht="15.75" customHeight="1" x14ac:dyDescent="0.25"/>
    <row r="6913" ht="15.75" customHeight="1" x14ac:dyDescent="0.25"/>
    <row r="6914" ht="15.75" customHeight="1" x14ac:dyDescent="0.25"/>
    <row r="6915" ht="15.75" customHeight="1" x14ac:dyDescent="0.25"/>
    <row r="6916" ht="15.75" customHeight="1" x14ac:dyDescent="0.25"/>
    <row r="6917" ht="15.75" customHeight="1" x14ac:dyDescent="0.25"/>
    <row r="6918" ht="15.75" customHeight="1" x14ac:dyDescent="0.25"/>
    <row r="6919" ht="15.75" customHeight="1" x14ac:dyDescent="0.25"/>
    <row r="6920" ht="15.75" customHeight="1" x14ac:dyDescent="0.25"/>
    <row r="6921" ht="15.75" customHeight="1" x14ac:dyDescent="0.25"/>
    <row r="6922" ht="15.75" customHeight="1" x14ac:dyDescent="0.25"/>
    <row r="6923" ht="15.75" customHeight="1" x14ac:dyDescent="0.25"/>
    <row r="6924" ht="15.75" customHeight="1" x14ac:dyDescent="0.25"/>
    <row r="6925" ht="15.75" customHeight="1" x14ac:dyDescent="0.25"/>
    <row r="6926" ht="15.75" customHeight="1" x14ac:dyDescent="0.25"/>
    <row r="6927" ht="15.75" customHeight="1" x14ac:dyDescent="0.25"/>
    <row r="6928" ht="15.75" customHeight="1" x14ac:dyDescent="0.25"/>
    <row r="6929" ht="15.75" customHeight="1" x14ac:dyDescent="0.25"/>
    <row r="6930" ht="15.75" customHeight="1" x14ac:dyDescent="0.25"/>
    <row r="6931" ht="15.75" customHeight="1" x14ac:dyDescent="0.25"/>
    <row r="6932" ht="15.75" customHeight="1" x14ac:dyDescent="0.25"/>
    <row r="6933" ht="15.75" customHeight="1" x14ac:dyDescent="0.25"/>
    <row r="6934" ht="15.75" customHeight="1" x14ac:dyDescent="0.25"/>
    <row r="6935" ht="15.75" customHeight="1" x14ac:dyDescent="0.25"/>
    <row r="6936" ht="15.75" customHeight="1" x14ac:dyDescent="0.25"/>
    <row r="6937" ht="15.75" customHeight="1" x14ac:dyDescent="0.25"/>
    <row r="6938" ht="15.75" customHeight="1" x14ac:dyDescent="0.25"/>
    <row r="6939" ht="15.75" customHeight="1" x14ac:dyDescent="0.25"/>
    <row r="6940" ht="15.75" customHeight="1" x14ac:dyDescent="0.25"/>
    <row r="6941" ht="15.75" customHeight="1" x14ac:dyDescent="0.25"/>
    <row r="6942" ht="15.75" customHeight="1" x14ac:dyDescent="0.25"/>
    <row r="6943" ht="15.75" customHeight="1" x14ac:dyDescent="0.25"/>
    <row r="6944" ht="15.75" customHeight="1" x14ac:dyDescent="0.25"/>
    <row r="6945" ht="15.75" customHeight="1" x14ac:dyDescent="0.25"/>
    <row r="6946" ht="15.75" customHeight="1" x14ac:dyDescent="0.25"/>
    <row r="6947" ht="15.75" customHeight="1" x14ac:dyDescent="0.25"/>
    <row r="6948" ht="15.75" customHeight="1" x14ac:dyDescent="0.25"/>
    <row r="6949" ht="15.75" customHeight="1" x14ac:dyDescent="0.25"/>
    <row r="6950" ht="15.75" customHeight="1" x14ac:dyDescent="0.25"/>
    <row r="6951" ht="15.75" customHeight="1" x14ac:dyDescent="0.25"/>
    <row r="6952" ht="15.75" customHeight="1" x14ac:dyDescent="0.25"/>
    <row r="6953" ht="15.75" customHeight="1" x14ac:dyDescent="0.25"/>
    <row r="6954" ht="15.75" customHeight="1" x14ac:dyDescent="0.25"/>
    <row r="6955" ht="15.75" customHeight="1" x14ac:dyDescent="0.25"/>
    <row r="6956" ht="15.75" customHeight="1" x14ac:dyDescent="0.25"/>
    <row r="6957" ht="15.75" customHeight="1" x14ac:dyDescent="0.25"/>
    <row r="6958" ht="15.75" customHeight="1" x14ac:dyDescent="0.25"/>
    <row r="6959" ht="15.75" customHeight="1" x14ac:dyDescent="0.25"/>
    <row r="6960" ht="15.75" customHeight="1" x14ac:dyDescent="0.25"/>
    <row r="6961" ht="15.75" customHeight="1" x14ac:dyDescent="0.25"/>
    <row r="6962" ht="15.75" customHeight="1" x14ac:dyDescent="0.25"/>
    <row r="6963" ht="15.75" customHeight="1" x14ac:dyDescent="0.25"/>
    <row r="6964" ht="15.75" customHeight="1" x14ac:dyDescent="0.25"/>
    <row r="6965" ht="15.75" customHeight="1" x14ac:dyDescent="0.25"/>
    <row r="6966" ht="15.75" customHeight="1" x14ac:dyDescent="0.25"/>
    <row r="6967" ht="15.75" customHeight="1" x14ac:dyDescent="0.25"/>
    <row r="6968" ht="15.75" customHeight="1" x14ac:dyDescent="0.25"/>
    <row r="6969" ht="15.75" customHeight="1" x14ac:dyDescent="0.25"/>
    <row r="6970" ht="15.75" customHeight="1" x14ac:dyDescent="0.25"/>
    <row r="6971" ht="15.75" customHeight="1" x14ac:dyDescent="0.25"/>
    <row r="6972" ht="15.75" customHeight="1" x14ac:dyDescent="0.25"/>
    <row r="6973" ht="15.75" customHeight="1" x14ac:dyDescent="0.25"/>
    <row r="6974" ht="15.75" customHeight="1" x14ac:dyDescent="0.25"/>
    <row r="6975" ht="15.75" customHeight="1" x14ac:dyDescent="0.25"/>
    <row r="6976" ht="15.75" customHeight="1" x14ac:dyDescent="0.25"/>
    <row r="6977" ht="15.75" customHeight="1" x14ac:dyDescent="0.25"/>
    <row r="6978" ht="15.75" customHeight="1" x14ac:dyDescent="0.25"/>
    <row r="6979" ht="15.75" customHeight="1" x14ac:dyDescent="0.25"/>
    <row r="6980" ht="15.75" customHeight="1" x14ac:dyDescent="0.25"/>
    <row r="6981" ht="15.75" customHeight="1" x14ac:dyDescent="0.25"/>
    <row r="6982" ht="15.75" customHeight="1" x14ac:dyDescent="0.25"/>
    <row r="6983" ht="15.75" customHeight="1" x14ac:dyDescent="0.25"/>
    <row r="6984" ht="15.75" customHeight="1" x14ac:dyDescent="0.25"/>
    <row r="6985" ht="15.75" customHeight="1" x14ac:dyDescent="0.25"/>
    <row r="6986" ht="15.75" customHeight="1" x14ac:dyDescent="0.25"/>
    <row r="6987" ht="15.75" customHeight="1" x14ac:dyDescent="0.25"/>
    <row r="6988" ht="15.75" customHeight="1" x14ac:dyDescent="0.25"/>
    <row r="6989" ht="15.75" customHeight="1" x14ac:dyDescent="0.25"/>
    <row r="6990" ht="15.75" customHeight="1" x14ac:dyDescent="0.25"/>
    <row r="6991" ht="15.75" customHeight="1" x14ac:dyDescent="0.25"/>
    <row r="6992" ht="15.75" customHeight="1" x14ac:dyDescent="0.25"/>
    <row r="6993" ht="15.75" customHeight="1" x14ac:dyDescent="0.25"/>
    <row r="6994" ht="15.75" customHeight="1" x14ac:dyDescent="0.25"/>
    <row r="6995" ht="15.75" customHeight="1" x14ac:dyDescent="0.25"/>
    <row r="6996" ht="15.75" customHeight="1" x14ac:dyDescent="0.25"/>
    <row r="6997" ht="15.75" customHeight="1" x14ac:dyDescent="0.25"/>
    <row r="6998" ht="15.75" customHeight="1" x14ac:dyDescent="0.25"/>
    <row r="6999" ht="15.75" customHeight="1" x14ac:dyDescent="0.25"/>
    <row r="7000" ht="15.75" customHeight="1" x14ac:dyDescent="0.25"/>
    <row r="7001" ht="15.75" customHeight="1" x14ac:dyDescent="0.25"/>
    <row r="7002" ht="15.75" customHeight="1" x14ac:dyDescent="0.25"/>
    <row r="7003" ht="15.75" customHeight="1" x14ac:dyDescent="0.25"/>
    <row r="7004" ht="15.75" customHeight="1" x14ac:dyDescent="0.25"/>
    <row r="7005" ht="15.75" customHeight="1" x14ac:dyDescent="0.25"/>
    <row r="7006" ht="15.75" customHeight="1" x14ac:dyDescent="0.25"/>
    <row r="7007" ht="15.75" customHeight="1" x14ac:dyDescent="0.25"/>
    <row r="7008" ht="15.75" customHeight="1" x14ac:dyDescent="0.25"/>
    <row r="7009" ht="15.75" customHeight="1" x14ac:dyDescent="0.25"/>
    <row r="7010" ht="15.75" customHeight="1" x14ac:dyDescent="0.25"/>
    <row r="7011" ht="15.75" customHeight="1" x14ac:dyDescent="0.25"/>
    <row r="7012" ht="15.75" customHeight="1" x14ac:dyDescent="0.25"/>
    <row r="7013" ht="15.75" customHeight="1" x14ac:dyDescent="0.25"/>
    <row r="7014" ht="15.75" customHeight="1" x14ac:dyDescent="0.25"/>
    <row r="7015" ht="15.75" customHeight="1" x14ac:dyDescent="0.25"/>
    <row r="7016" ht="15.75" customHeight="1" x14ac:dyDescent="0.25"/>
    <row r="7017" ht="15.75" customHeight="1" x14ac:dyDescent="0.25"/>
    <row r="7018" ht="15.75" customHeight="1" x14ac:dyDescent="0.25"/>
    <row r="7019" ht="15.75" customHeight="1" x14ac:dyDescent="0.25"/>
    <row r="7020" ht="15.75" customHeight="1" x14ac:dyDescent="0.25"/>
    <row r="7021" ht="15.75" customHeight="1" x14ac:dyDescent="0.25"/>
    <row r="7022" ht="15.75" customHeight="1" x14ac:dyDescent="0.25"/>
    <row r="7023" ht="15.75" customHeight="1" x14ac:dyDescent="0.25"/>
    <row r="7024" ht="15.75" customHeight="1" x14ac:dyDescent="0.25"/>
    <row r="7025" ht="15.75" customHeight="1" x14ac:dyDescent="0.25"/>
    <row r="7026" ht="15.75" customHeight="1" x14ac:dyDescent="0.25"/>
    <row r="7027" ht="15.75" customHeight="1" x14ac:dyDescent="0.25"/>
    <row r="7028" ht="15.75" customHeight="1" x14ac:dyDescent="0.25"/>
    <row r="7029" ht="15.75" customHeight="1" x14ac:dyDescent="0.25"/>
    <row r="7030" ht="15.75" customHeight="1" x14ac:dyDescent="0.25"/>
    <row r="7031" ht="15.75" customHeight="1" x14ac:dyDescent="0.25"/>
    <row r="7032" ht="15.75" customHeight="1" x14ac:dyDescent="0.25"/>
    <row r="7033" ht="15.75" customHeight="1" x14ac:dyDescent="0.25"/>
    <row r="7034" ht="15.75" customHeight="1" x14ac:dyDescent="0.25"/>
    <row r="7035" ht="15.75" customHeight="1" x14ac:dyDescent="0.25"/>
    <row r="7036" ht="15.75" customHeight="1" x14ac:dyDescent="0.25"/>
    <row r="7037" ht="15.75" customHeight="1" x14ac:dyDescent="0.25"/>
    <row r="7038" ht="15.75" customHeight="1" x14ac:dyDescent="0.25"/>
    <row r="7039" ht="15.75" customHeight="1" x14ac:dyDescent="0.25"/>
    <row r="7040" ht="15.75" customHeight="1" x14ac:dyDescent="0.25"/>
    <row r="7041" ht="15.75" customHeight="1" x14ac:dyDescent="0.25"/>
    <row r="7042" ht="15.75" customHeight="1" x14ac:dyDescent="0.25"/>
    <row r="7043" ht="15.75" customHeight="1" x14ac:dyDescent="0.25"/>
    <row r="7044" ht="15.75" customHeight="1" x14ac:dyDescent="0.25"/>
    <row r="7045" ht="15.75" customHeight="1" x14ac:dyDescent="0.25"/>
    <row r="7046" ht="15.75" customHeight="1" x14ac:dyDescent="0.25"/>
    <row r="7047" ht="15.75" customHeight="1" x14ac:dyDescent="0.25"/>
    <row r="7048" ht="15.75" customHeight="1" x14ac:dyDescent="0.25"/>
    <row r="7049" ht="15.75" customHeight="1" x14ac:dyDescent="0.25"/>
    <row r="7050" ht="15.75" customHeight="1" x14ac:dyDescent="0.25"/>
    <row r="7051" ht="15.75" customHeight="1" x14ac:dyDescent="0.25"/>
    <row r="7052" ht="15.75" customHeight="1" x14ac:dyDescent="0.25"/>
    <row r="7053" ht="15.75" customHeight="1" x14ac:dyDescent="0.25"/>
    <row r="7054" ht="15.75" customHeight="1" x14ac:dyDescent="0.25"/>
    <row r="7055" ht="15.75" customHeight="1" x14ac:dyDescent="0.25"/>
    <row r="7056" ht="15.75" customHeight="1" x14ac:dyDescent="0.25"/>
    <row r="7057" ht="15.75" customHeight="1" x14ac:dyDescent="0.25"/>
    <row r="7058" ht="15.75" customHeight="1" x14ac:dyDescent="0.25"/>
    <row r="7059" ht="15.75" customHeight="1" x14ac:dyDescent="0.25"/>
    <row r="7060" ht="15.75" customHeight="1" x14ac:dyDescent="0.25"/>
    <row r="7061" ht="15.75" customHeight="1" x14ac:dyDescent="0.25"/>
    <row r="7062" ht="15.75" customHeight="1" x14ac:dyDescent="0.25"/>
    <row r="7063" ht="15.75" customHeight="1" x14ac:dyDescent="0.25"/>
    <row r="7064" ht="15.75" customHeight="1" x14ac:dyDescent="0.25"/>
    <row r="7065" ht="15.75" customHeight="1" x14ac:dyDescent="0.25"/>
    <row r="7066" ht="15.75" customHeight="1" x14ac:dyDescent="0.25"/>
    <row r="7067" ht="15.75" customHeight="1" x14ac:dyDescent="0.25"/>
    <row r="7068" ht="15.75" customHeight="1" x14ac:dyDescent="0.25"/>
    <row r="7069" ht="15.75" customHeight="1" x14ac:dyDescent="0.25"/>
    <row r="7070" ht="15.75" customHeight="1" x14ac:dyDescent="0.25"/>
    <row r="7071" ht="15.75" customHeight="1" x14ac:dyDescent="0.25"/>
    <row r="7072" ht="15.75" customHeight="1" x14ac:dyDescent="0.25"/>
    <row r="7073" ht="15.75" customHeight="1" x14ac:dyDescent="0.25"/>
    <row r="7074" ht="15.75" customHeight="1" x14ac:dyDescent="0.25"/>
    <row r="7075" ht="15.75" customHeight="1" x14ac:dyDescent="0.25"/>
    <row r="7076" ht="15.75" customHeight="1" x14ac:dyDescent="0.25"/>
    <row r="7077" ht="15.75" customHeight="1" x14ac:dyDescent="0.25"/>
    <row r="7078" ht="15.75" customHeight="1" x14ac:dyDescent="0.25"/>
    <row r="7079" ht="15.75" customHeight="1" x14ac:dyDescent="0.25"/>
    <row r="7080" ht="15.75" customHeight="1" x14ac:dyDescent="0.25"/>
    <row r="7081" ht="15.75" customHeight="1" x14ac:dyDescent="0.25"/>
    <row r="7082" ht="15.75" customHeight="1" x14ac:dyDescent="0.25"/>
    <row r="7083" ht="15.75" customHeight="1" x14ac:dyDescent="0.25"/>
    <row r="7084" ht="15.75" customHeight="1" x14ac:dyDescent="0.25"/>
    <row r="7085" ht="15.75" customHeight="1" x14ac:dyDescent="0.25"/>
    <row r="7086" ht="15.75" customHeight="1" x14ac:dyDescent="0.25"/>
    <row r="7087" ht="15.75" customHeight="1" x14ac:dyDescent="0.25"/>
    <row r="7088" ht="15.75" customHeight="1" x14ac:dyDescent="0.25"/>
    <row r="7089" ht="15.75" customHeight="1" x14ac:dyDescent="0.25"/>
    <row r="7090" ht="15.75" customHeight="1" x14ac:dyDescent="0.25"/>
    <row r="7091" ht="15.75" customHeight="1" x14ac:dyDescent="0.25"/>
    <row r="7092" ht="15.75" customHeight="1" x14ac:dyDescent="0.25"/>
    <row r="7093" ht="15.75" customHeight="1" x14ac:dyDescent="0.25"/>
    <row r="7094" ht="15.75" customHeight="1" x14ac:dyDescent="0.25"/>
    <row r="7095" ht="15.75" customHeight="1" x14ac:dyDescent="0.25"/>
    <row r="7096" ht="15.75" customHeight="1" x14ac:dyDescent="0.25"/>
    <row r="7097" ht="15.75" customHeight="1" x14ac:dyDescent="0.25"/>
    <row r="7098" ht="15.75" customHeight="1" x14ac:dyDescent="0.25"/>
    <row r="7099" ht="15.75" customHeight="1" x14ac:dyDescent="0.25"/>
    <row r="7100" ht="15.75" customHeight="1" x14ac:dyDescent="0.25"/>
    <row r="7101" ht="15.75" customHeight="1" x14ac:dyDescent="0.25"/>
    <row r="7102" ht="15.75" customHeight="1" x14ac:dyDescent="0.25"/>
    <row r="7103" ht="15.75" customHeight="1" x14ac:dyDescent="0.25"/>
    <row r="7104" ht="15.75" customHeight="1" x14ac:dyDescent="0.25"/>
    <row r="7105" ht="15.75" customHeight="1" x14ac:dyDescent="0.25"/>
    <row r="7106" ht="15.75" customHeight="1" x14ac:dyDescent="0.25"/>
    <row r="7107" ht="15.75" customHeight="1" x14ac:dyDescent="0.25"/>
    <row r="7108" ht="15.75" customHeight="1" x14ac:dyDescent="0.25"/>
    <row r="7109" ht="15.75" customHeight="1" x14ac:dyDescent="0.25"/>
    <row r="7110" ht="15.75" customHeight="1" x14ac:dyDescent="0.25"/>
    <row r="7111" ht="15.75" customHeight="1" x14ac:dyDescent="0.25"/>
    <row r="7112" ht="15.75" customHeight="1" x14ac:dyDescent="0.25"/>
    <row r="7113" ht="15.75" customHeight="1" x14ac:dyDescent="0.25"/>
    <row r="7114" ht="15.75" customHeight="1" x14ac:dyDescent="0.25"/>
    <row r="7115" ht="15.75" customHeight="1" x14ac:dyDescent="0.25"/>
    <row r="7116" ht="15.75" customHeight="1" x14ac:dyDescent="0.25"/>
    <row r="7117" ht="15.75" customHeight="1" x14ac:dyDescent="0.25"/>
    <row r="7118" ht="15.75" customHeight="1" x14ac:dyDescent="0.25"/>
    <row r="7119" ht="15.75" customHeight="1" x14ac:dyDescent="0.25"/>
    <row r="7120" ht="15.75" customHeight="1" x14ac:dyDescent="0.25"/>
    <row r="7121" ht="15.75" customHeight="1" x14ac:dyDescent="0.25"/>
    <row r="7122" ht="15.75" customHeight="1" x14ac:dyDescent="0.25"/>
    <row r="7123" ht="15.75" customHeight="1" x14ac:dyDescent="0.25"/>
    <row r="7124" ht="15.75" customHeight="1" x14ac:dyDescent="0.25"/>
    <row r="7125" ht="15.75" customHeight="1" x14ac:dyDescent="0.25"/>
    <row r="7126" ht="15.75" customHeight="1" x14ac:dyDescent="0.25"/>
    <row r="7127" ht="15.75" customHeight="1" x14ac:dyDescent="0.25"/>
    <row r="7128" ht="15.75" customHeight="1" x14ac:dyDescent="0.25"/>
    <row r="7129" ht="15.75" customHeight="1" x14ac:dyDescent="0.25"/>
    <row r="7130" ht="15.75" customHeight="1" x14ac:dyDescent="0.25"/>
    <row r="7131" ht="15.75" customHeight="1" x14ac:dyDescent="0.25"/>
    <row r="7132" ht="15.75" customHeight="1" x14ac:dyDescent="0.25"/>
    <row r="7133" ht="15.75" customHeight="1" x14ac:dyDescent="0.25"/>
    <row r="7134" ht="15.75" customHeight="1" x14ac:dyDescent="0.25"/>
    <row r="7135" ht="15.75" customHeight="1" x14ac:dyDescent="0.25"/>
    <row r="7136" ht="15.75" customHeight="1" x14ac:dyDescent="0.25"/>
    <row r="7137" ht="15.75" customHeight="1" x14ac:dyDescent="0.25"/>
    <row r="7138" ht="15.75" customHeight="1" x14ac:dyDescent="0.25"/>
    <row r="7139" ht="15.75" customHeight="1" x14ac:dyDescent="0.25"/>
    <row r="7140" ht="15.75" customHeight="1" x14ac:dyDescent="0.25"/>
    <row r="7141" ht="15.75" customHeight="1" x14ac:dyDescent="0.25"/>
    <row r="7142" ht="15.75" customHeight="1" x14ac:dyDescent="0.25"/>
    <row r="7143" ht="15.75" customHeight="1" x14ac:dyDescent="0.25"/>
    <row r="7144" ht="15.75" customHeight="1" x14ac:dyDescent="0.25"/>
    <row r="7145" ht="15.75" customHeight="1" x14ac:dyDescent="0.25"/>
    <row r="7146" ht="15.75" customHeight="1" x14ac:dyDescent="0.25"/>
    <row r="7147" ht="15.75" customHeight="1" x14ac:dyDescent="0.25"/>
    <row r="7148" ht="15.75" customHeight="1" x14ac:dyDescent="0.25"/>
    <row r="7149" ht="15.75" customHeight="1" x14ac:dyDescent="0.25"/>
    <row r="7150" ht="15.75" customHeight="1" x14ac:dyDescent="0.25"/>
    <row r="7151" ht="15.75" customHeight="1" x14ac:dyDescent="0.25"/>
    <row r="7152" ht="15.75" customHeight="1" x14ac:dyDescent="0.25"/>
    <row r="7153" ht="15.75" customHeight="1" x14ac:dyDescent="0.25"/>
    <row r="7154" ht="15.75" customHeight="1" x14ac:dyDescent="0.25"/>
    <row r="7155" ht="15.75" customHeight="1" x14ac:dyDescent="0.25"/>
    <row r="7156" ht="15.75" customHeight="1" x14ac:dyDescent="0.25"/>
    <row r="7157" ht="15.75" customHeight="1" x14ac:dyDescent="0.25"/>
    <row r="7158" ht="15.75" customHeight="1" x14ac:dyDescent="0.25"/>
    <row r="7159" ht="15.75" customHeight="1" x14ac:dyDescent="0.25"/>
    <row r="7160" ht="15.75" customHeight="1" x14ac:dyDescent="0.25"/>
    <row r="7161" ht="15.75" customHeight="1" x14ac:dyDescent="0.25"/>
    <row r="7162" ht="15.75" customHeight="1" x14ac:dyDescent="0.25"/>
    <row r="7163" ht="15.75" customHeight="1" x14ac:dyDescent="0.25"/>
    <row r="7164" ht="15.75" customHeight="1" x14ac:dyDescent="0.25"/>
    <row r="7165" ht="15.75" customHeight="1" x14ac:dyDescent="0.25"/>
    <row r="7166" ht="15.75" customHeight="1" x14ac:dyDescent="0.25"/>
    <row r="7167" ht="15.75" customHeight="1" x14ac:dyDescent="0.25"/>
    <row r="7168" ht="15.75" customHeight="1" x14ac:dyDescent="0.25"/>
    <row r="7169" ht="15.75" customHeight="1" x14ac:dyDescent="0.25"/>
    <row r="7170" ht="15.75" customHeight="1" x14ac:dyDescent="0.25"/>
    <row r="7171" ht="15.75" customHeight="1" x14ac:dyDescent="0.25"/>
    <row r="7172" ht="15.75" customHeight="1" x14ac:dyDescent="0.25"/>
    <row r="7173" ht="15.75" customHeight="1" x14ac:dyDescent="0.25"/>
    <row r="7174" ht="15.75" customHeight="1" x14ac:dyDescent="0.25"/>
    <row r="7175" ht="15.75" customHeight="1" x14ac:dyDescent="0.25"/>
    <row r="7176" ht="15.75" customHeight="1" x14ac:dyDescent="0.25"/>
    <row r="7177" ht="15.75" customHeight="1" x14ac:dyDescent="0.25"/>
    <row r="7178" ht="15.75" customHeight="1" x14ac:dyDescent="0.25"/>
    <row r="7179" ht="15.75" customHeight="1" x14ac:dyDescent="0.25"/>
    <row r="7180" ht="15.75" customHeight="1" x14ac:dyDescent="0.25"/>
    <row r="7181" ht="15.75" customHeight="1" x14ac:dyDescent="0.25"/>
    <row r="7182" ht="15.75" customHeight="1" x14ac:dyDescent="0.25"/>
    <row r="7183" ht="15.75" customHeight="1" x14ac:dyDescent="0.25"/>
    <row r="7184" ht="15.75" customHeight="1" x14ac:dyDescent="0.25"/>
    <row r="7185" ht="15.75" customHeight="1" x14ac:dyDescent="0.25"/>
    <row r="7186" ht="15.75" customHeight="1" x14ac:dyDescent="0.25"/>
    <row r="7187" ht="15.75" customHeight="1" x14ac:dyDescent="0.25"/>
    <row r="7188" ht="15.75" customHeight="1" x14ac:dyDescent="0.25"/>
    <row r="7189" ht="15.75" customHeight="1" x14ac:dyDescent="0.25"/>
    <row r="7190" ht="15.75" customHeight="1" x14ac:dyDescent="0.25"/>
    <row r="7191" ht="15.75" customHeight="1" x14ac:dyDescent="0.25"/>
    <row r="7192" ht="15.75" customHeight="1" x14ac:dyDescent="0.25"/>
    <row r="7193" ht="15.75" customHeight="1" x14ac:dyDescent="0.25"/>
    <row r="7194" ht="15.75" customHeight="1" x14ac:dyDescent="0.25"/>
    <row r="7195" ht="15.75" customHeight="1" x14ac:dyDescent="0.25"/>
    <row r="7196" ht="15.75" customHeight="1" x14ac:dyDescent="0.25"/>
    <row r="7197" ht="15.75" customHeight="1" x14ac:dyDescent="0.25"/>
    <row r="7198" ht="15.75" customHeight="1" x14ac:dyDescent="0.25"/>
    <row r="7199" ht="15.75" customHeight="1" x14ac:dyDescent="0.25"/>
    <row r="7200" ht="15.75" customHeight="1" x14ac:dyDescent="0.25"/>
    <row r="7201" ht="15.75" customHeight="1" x14ac:dyDescent="0.25"/>
    <row r="7202" ht="15.75" customHeight="1" x14ac:dyDescent="0.25"/>
    <row r="7203" ht="15.75" customHeight="1" x14ac:dyDescent="0.25"/>
    <row r="7204" ht="15.75" customHeight="1" x14ac:dyDescent="0.25"/>
    <row r="7205" ht="15.75" customHeight="1" x14ac:dyDescent="0.25"/>
    <row r="7206" ht="15.75" customHeight="1" x14ac:dyDescent="0.25"/>
    <row r="7207" ht="15.75" customHeight="1" x14ac:dyDescent="0.25"/>
    <row r="7208" ht="15.75" customHeight="1" x14ac:dyDescent="0.25"/>
    <row r="7209" ht="15.75" customHeight="1" x14ac:dyDescent="0.25"/>
    <row r="7210" ht="15.75" customHeight="1" x14ac:dyDescent="0.25"/>
    <row r="7211" ht="15.75" customHeight="1" x14ac:dyDescent="0.25"/>
    <row r="7212" ht="15.75" customHeight="1" x14ac:dyDescent="0.25"/>
    <row r="7213" ht="15.75" customHeight="1" x14ac:dyDescent="0.25"/>
    <row r="7214" ht="15.75" customHeight="1" x14ac:dyDescent="0.25"/>
    <row r="7215" ht="15.75" customHeight="1" x14ac:dyDescent="0.25"/>
    <row r="7216" ht="15.75" customHeight="1" x14ac:dyDescent="0.25"/>
    <row r="7217" ht="15.75" customHeight="1" x14ac:dyDescent="0.25"/>
    <row r="7218" ht="15.75" customHeight="1" x14ac:dyDescent="0.25"/>
    <row r="7219" ht="15.75" customHeight="1" x14ac:dyDescent="0.25"/>
    <row r="7220" ht="15.75" customHeight="1" x14ac:dyDescent="0.25"/>
    <row r="7221" ht="15.75" customHeight="1" x14ac:dyDescent="0.25"/>
    <row r="7222" ht="15.75" customHeight="1" x14ac:dyDescent="0.25"/>
    <row r="7223" ht="15.75" customHeight="1" x14ac:dyDescent="0.25"/>
    <row r="7224" ht="15.75" customHeight="1" x14ac:dyDescent="0.25"/>
    <row r="7225" ht="15.75" customHeight="1" x14ac:dyDescent="0.25"/>
    <row r="7226" ht="15.75" customHeight="1" x14ac:dyDescent="0.25"/>
    <row r="7227" ht="15.75" customHeight="1" x14ac:dyDescent="0.25"/>
    <row r="7228" ht="15.75" customHeight="1" x14ac:dyDescent="0.25"/>
    <row r="7229" ht="15.75" customHeight="1" x14ac:dyDescent="0.25"/>
    <row r="7230" ht="15.75" customHeight="1" x14ac:dyDescent="0.25"/>
    <row r="7231" ht="15.75" customHeight="1" x14ac:dyDescent="0.25"/>
    <row r="7232" ht="15.75" customHeight="1" x14ac:dyDescent="0.25"/>
    <row r="7233" ht="15.75" customHeight="1" x14ac:dyDescent="0.25"/>
    <row r="7234" ht="15.75" customHeight="1" x14ac:dyDescent="0.25"/>
    <row r="7235" ht="15.75" customHeight="1" x14ac:dyDescent="0.25"/>
    <row r="7236" ht="15.75" customHeight="1" x14ac:dyDescent="0.25"/>
    <row r="7237" ht="15.75" customHeight="1" x14ac:dyDescent="0.25"/>
    <row r="7238" ht="15.75" customHeight="1" x14ac:dyDescent="0.25"/>
    <row r="7239" ht="15.75" customHeight="1" x14ac:dyDescent="0.25"/>
    <row r="7240" ht="15.75" customHeight="1" x14ac:dyDescent="0.25"/>
    <row r="7241" ht="15.75" customHeight="1" x14ac:dyDescent="0.25"/>
    <row r="7242" ht="15.75" customHeight="1" x14ac:dyDescent="0.25"/>
    <row r="7243" ht="15.75" customHeight="1" x14ac:dyDescent="0.25"/>
    <row r="7244" ht="15.75" customHeight="1" x14ac:dyDescent="0.25"/>
    <row r="7245" ht="15.75" customHeight="1" x14ac:dyDescent="0.25"/>
    <row r="7246" ht="15.75" customHeight="1" x14ac:dyDescent="0.25"/>
    <row r="7247" ht="15.75" customHeight="1" x14ac:dyDescent="0.25"/>
    <row r="7248" ht="15.75" customHeight="1" x14ac:dyDescent="0.25"/>
    <row r="7249" ht="15.75" customHeight="1" x14ac:dyDescent="0.25"/>
    <row r="7250" ht="15.75" customHeight="1" x14ac:dyDescent="0.25"/>
    <row r="7251" ht="15.75" customHeight="1" x14ac:dyDescent="0.25"/>
    <row r="7252" ht="15.75" customHeight="1" x14ac:dyDescent="0.25"/>
    <row r="7253" ht="15.75" customHeight="1" x14ac:dyDescent="0.25"/>
    <row r="7254" ht="15.75" customHeight="1" x14ac:dyDescent="0.25"/>
    <row r="7255" ht="15.75" customHeight="1" x14ac:dyDescent="0.25"/>
    <row r="7256" ht="15.75" customHeight="1" x14ac:dyDescent="0.25"/>
    <row r="7257" ht="15.75" customHeight="1" x14ac:dyDescent="0.25"/>
    <row r="7258" ht="15.75" customHeight="1" x14ac:dyDescent="0.25"/>
    <row r="7259" ht="15.75" customHeight="1" x14ac:dyDescent="0.25"/>
    <row r="7260" ht="15.75" customHeight="1" x14ac:dyDescent="0.25"/>
    <row r="7261" ht="15.75" customHeight="1" x14ac:dyDescent="0.25"/>
    <row r="7262" ht="15.75" customHeight="1" x14ac:dyDescent="0.25"/>
    <row r="7263" ht="15.75" customHeight="1" x14ac:dyDescent="0.25"/>
    <row r="7264" ht="15.75" customHeight="1" x14ac:dyDescent="0.25"/>
    <row r="7265" ht="15.75" customHeight="1" x14ac:dyDescent="0.25"/>
    <row r="7266" ht="15.75" customHeight="1" x14ac:dyDescent="0.25"/>
    <row r="7267" ht="15.75" customHeight="1" x14ac:dyDescent="0.25"/>
    <row r="7268" ht="15.75" customHeight="1" x14ac:dyDescent="0.25"/>
    <row r="7269" ht="15.75" customHeight="1" x14ac:dyDescent="0.25"/>
    <row r="7270" ht="15.75" customHeight="1" x14ac:dyDescent="0.25"/>
    <row r="7271" ht="15.75" customHeight="1" x14ac:dyDescent="0.25"/>
    <row r="7272" ht="15.75" customHeight="1" x14ac:dyDescent="0.25"/>
    <row r="7273" ht="15.75" customHeight="1" x14ac:dyDescent="0.25"/>
    <row r="7274" ht="15.75" customHeight="1" x14ac:dyDescent="0.25"/>
    <row r="7275" ht="15.75" customHeight="1" x14ac:dyDescent="0.25"/>
    <row r="7276" ht="15.75" customHeight="1" x14ac:dyDescent="0.25"/>
    <row r="7277" ht="15.75" customHeight="1" x14ac:dyDescent="0.25"/>
    <row r="7278" ht="15.75" customHeight="1" x14ac:dyDescent="0.25"/>
    <row r="7279" ht="15.75" customHeight="1" x14ac:dyDescent="0.25"/>
    <row r="7280" ht="15.75" customHeight="1" x14ac:dyDescent="0.25"/>
    <row r="7281" ht="15.75" customHeight="1" x14ac:dyDescent="0.25"/>
    <row r="7282" ht="15.75" customHeight="1" x14ac:dyDescent="0.25"/>
    <row r="7283" ht="15.75" customHeight="1" x14ac:dyDescent="0.25"/>
    <row r="7284" ht="15.75" customHeight="1" x14ac:dyDescent="0.25"/>
    <row r="7285" ht="15.75" customHeight="1" x14ac:dyDescent="0.25"/>
    <row r="7286" ht="15.75" customHeight="1" x14ac:dyDescent="0.25"/>
    <row r="7287" ht="15.75" customHeight="1" x14ac:dyDescent="0.25"/>
    <row r="7288" ht="15.75" customHeight="1" x14ac:dyDescent="0.25"/>
    <row r="7289" ht="15.75" customHeight="1" x14ac:dyDescent="0.25"/>
    <row r="7290" ht="15.75" customHeight="1" x14ac:dyDescent="0.25"/>
    <row r="7291" ht="15.75" customHeight="1" x14ac:dyDescent="0.25"/>
    <row r="7292" ht="15.75" customHeight="1" x14ac:dyDescent="0.25"/>
    <row r="7293" ht="15.75" customHeight="1" x14ac:dyDescent="0.25"/>
    <row r="7294" ht="15.75" customHeight="1" x14ac:dyDescent="0.25"/>
    <row r="7295" ht="15.75" customHeight="1" x14ac:dyDescent="0.25"/>
    <row r="7296" ht="15.75" customHeight="1" x14ac:dyDescent="0.25"/>
    <row r="7297" ht="15.75" customHeight="1" x14ac:dyDescent="0.25"/>
    <row r="7298" ht="15.75" customHeight="1" x14ac:dyDescent="0.25"/>
    <row r="7299" ht="15.75" customHeight="1" x14ac:dyDescent="0.25"/>
    <row r="7300" ht="15.75" customHeight="1" x14ac:dyDescent="0.25"/>
    <row r="7301" ht="15.75" customHeight="1" x14ac:dyDescent="0.25"/>
    <row r="7302" ht="15.75" customHeight="1" x14ac:dyDescent="0.25"/>
    <row r="7303" ht="15.75" customHeight="1" x14ac:dyDescent="0.25"/>
    <row r="7304" ht="15.75" customHeight="1" x14ac:dyDescent="0.25"/>
    <row r="7305" ht="15.75" customHeight="1" x14ac:dyDescent="0.25"/>
    <row r="7306" ht="15.75" customHeight="1" x14ac:dyDescent="0.25"/>
    <row r="7307" ht="15.75" customHeight="1" x14ac:dyDescent="0.25"/>
    <row r="7308" ht="15.75" customHeight="1" x14ac:dyDescent="0.25"/>
    <row r="7309" ht="15.75" customHeight="1" x14ac:dyDescent="0.25"/>
    <row r="7310" ht="15.75" customHeight="1" x14ac:dyDescent="0.25"/>
    <row r="7311" ht="15.75" customHeight="1" x14ac:dyDescent="0.25"/>
    <row r="7312" ht="15.75" customHeight="1" x14ac:dyDescent="0.25"/>
    <row r="7313" ht="15.75" customHeight="1" x14ac:dyDescent="0.25"/>
    <row r="7314" ht="15.75" customHeight="1" x14ac:dyDescent="0.25"/>
    <row r="7315" ht="15.75" customHeight="1" x14ac:dyDescent="0.25"/>
    <row r="7316" ht="15.75" customHeight="1" x14ac:dyDescent="0.25"/>
    <row r="7317" ht="15.75" customHeight="1" x14ac:dyDescent="0.25"/>
    <row r="7318" ht="15.75" customHeight="1" x14ac:dyDescent="0.25"/>
  </sheetData>
  <mergeCells count="2">
    <mergeCell ref="B1:D1"/>
    <mergeCell ref="B2:D3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Chain Comparison</vt:lpstr>
      <vt:lpstr>Instructions</vt:lpstr>
      <vt:lpstr>Top Chains (Live)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Margida</cp:lastModifiedBy>
  <dcterms:created xsi:type="dcterms:W3CDTF">2026-01-08T16:22:50Z</dcterms:created>
  <dcterms:modified xsi:type="dcterms:W3CDTF">2026-01-08T16:23:31Z</dcterms:modified>
</cp:coreProperties>
</file>